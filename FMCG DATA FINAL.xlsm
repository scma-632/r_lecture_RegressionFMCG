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lit\Dropbox\Personal\SCMA2023\"/>
    </mc:Choice>
  </mc:AlternateContent>
  <xr:revisionPtr revIDLastSave="0" documentId="13_ncr:1_{A02ACBE2-6BA0-4A71-A044-D0DD2C4B4736}" xr6:coauthVersionLast="47" xr6:coauthVersionMax="47" xr10:uidLastSave="{00000000-0000-0000-0000-000000000000}"/>
  <bookViews>
    <workbookView xWindow="780" yWindow="780" windowWidth="21600" windowHeight="11295" xr2:uid="{7F113458-CDC9-43AD-B0AE-8D10C8EBB77F}"/>
  </bookViews>
  <sheets>
    <sheet name="master" sheetId="37" r:id="rId1"/>
    <sheet name="nestle" sheetId="1" r:id="rId2"/>
    <sheet name="heritage" sheetId="36" r:id="rId3"/>
    <sheet name="guj ambuja" sheetId="2" r:id="rId4"/>
    <sheet name="KOHINOOR" sheetId="3" r:id="rId5"/>
    <sheet name="GRM" sheetId="4" r:id="rId6"/>
    <sheet name="RELAXO" sheetId="5" r:id="rId7"/>
    <sheet name="BATA" sheetId="6" r:id="rId8"/>
    <sheet name="MIRZA" sheetId="7" r:id="rId9"/>
    <sheet name="HUL" sheetId="8" r:id="rId10"/>
    <sheet name="DABUR" sheetId="9" r:id="rId11"/>
    <sheet name="GODREJ" sheetId="10" r:id="rId12"/>
    <sheet name="MARICO" sheetId="11" r:id="rId13"/>
    <sheet name="PGHH" sheetId="21" r:id="rId14"/>
    <sheet name="COLGATE" sheetId="22" r:id="rId15"/>
    <sheet name="GILLETE" sheetId="12" r:id="rId16"/>
    <sheet name="SHEELA" sheetId="13" r:id="rId17"/>
    <sheet name="VIP" sheetId="14" r:id="rId18"/>
    <sheet name="BAJAJ CONSUMER" sheetId="15" r:id="rId19"/>
    <sheet name="PATHANJALI" sheetId="16" r:id="rId20"/>
    <sheet name="VARUN" sheetId="17" r:id="rId21"/>
    <sheet name="TITAN" sheetId="18" r:id="rId22"/>
    <sheet name="BRITANNIA" sheetId="19" r:id="rId23"/>
    <sheet name="JUBILIANT" sheetId="20" r:id="rId24"/>
    <sheet name="HATSON" sheetId="23" r:id="rId25"/>
    <sheet name="LT FOODS" sheetId="24" r:id="rId26"/>
    <sheet name="TASTY" sheetId="25" r:id="rId27"/>
    <sheet name="KSE" sheetId="26" r:id="rId28"/>
    <sheet name="MILK FOOD" sheetId="27" r:id="rId29"/>
    <sheet name="LOTUS" sheetId="28" r:id="rId30"/>
    <sheet name="AVANTI" sheetId="29" r:id="rId31"/>
    <sheet name="ASIAN PAINTS" sheetId="30" r:id="rId32"/>
    <sheet name="BERGER" sheetId="31" r:id="rId33"/>
    <sheet name="UNITEDSPIRITS" sheetId="32" r:id="rId34"/>
    <sheet name="TTK" sheetId="33" r:id="rId35"/>
    <sheet name="3 M" sheetId="34" r:id="rId36"/>
    <sheet name="TATACONSUMER" sheetId="35" r:id="rId37"/>
  </sheets>
  <definedNames>
    <definedName name="_xlnm._FilterDatabase" localSheetId="0" hidden="1">master!$A$1:$BS$166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36" l="1"/>
  <c r="H1" i="2"/>
  <c r="H1" i="3"/>
  <c r="H1" i="4"/>
  <c r="H1" i="5"/>
  <c r="H1" i="6"/>
  <c r="H1" i="7"/>
  <c r="H1" i="8"/>
  <c r="H1" i="9"/>
  <c r="H1" i="10"/>
  <c r="H1" i="11"/>
  <c r="H1" i="21"/>
  <c r="H1" i="22"/>
  <c r="H1" i="12"/>
  <c r="H1" i="13"/>
  <c r="H1" i="14"/>
  <c r="H1" i="15"/>
  <c r="H1" i="16"/>
  <c r="H1" i="17"/>
  <c r="H1" i="18"/>
  <c r="H1" i="19"/>
  <c r="H1" i="20"/>
  <c r="H1" i="23"/>
  <c r="H1" i="24"/>
  <c r="H1" i="25"/>
  <c r="H1" i="26"/>
  <c r="H1" i="27"/>
  <c r="H1" i="28"/>
  <c r="H1" i="29"/>
  <c r="H1" i="30"/>
  <c r="H1" i="31"/>
  <c r="H1" i="32"/>
  <c r="H1" i="33"/>
  <c r="H1" i="34"/>
  <c r="H1" i="35"/>
  <c r="H1" i="1"/>
  <c r="M71" i="35"/>
  <c r="L71" i="35"/>
  <c r="K71" i="35"/>
  <c r="J71" i="35"/>
  <c r="I71" i="35"/>
  <c r="M70" i="35"/>
  <c r="L70" i="35"/>
  <c r="K70" i="35"/>
  <c r="J70" i="35"/>
  <c r="I70" i="35"/>
  <c r="M69" i="35"/>
  <c r="L69" i="35"/>
  <c r="K69" i="35"/>
  <c r="J69" i="35"/>
  <c r="I69" i="35"/>
  <c r="M68" i="35"/>
  <c r="L68" i="35"/>
  <c r="K68" i="35"/>
  <c r="J68" i="35"/>
  <c r="I68" i="35"/>
  <c r="M67" i="35"/>
  <c r="L67" i="35"/>
  <c r="K67" i="35"/>
  <c r="J67" i="35"/>
  <c r="I67" i="35"/>
  <c r="M66" i="35"/>
  <c r="L66" i="35"/>
  <c r="K66" i="35"/>
  <c r="J66" i="35"/>
  <c r="I66" i="35"/>
  <c r="M65" i="35"/>
  <c r="L65" i="35"/>
  <c r="K65" i="35"/>
  <c r="J65" i="35"/>
  <c r="I65" i="35"/>
  <c r="M64" i="35"/>
  <c r="L64" i="35"/>
  <c r="K64" i="35"/>
  <c r="J64" i="35"/>
  <c r="I64" i="35"/>
  <c r="M63" i="35"/>
  <c r="L63" i="35"/>
  <c r="K63" i="35"/>
  <c r="J63" i="35"/>
  <c r="I63" i="35"/>
  <c r="M62" i="35"/>
  <c r="L62" i="35"/>
  <c r="K62" i="35"/>
  <c r="J62" i="35"/>
  <c r="I62" i="35"/>
  <c r="M61" i="35"/>
  <c r="L61" i="35"/>
  <c r="K61" i="35"/>
  <c r="J61" i="35"/>
  <c r="I61" i="35"/>
  <c r="M60" i="35"/>
  <c r="L60" i="35"/>
  <c r="K60" i="35"/>
  <c r="J60" i="35"/>
  <c r="I60" i="35"/>
  <c r="M59" i="35"/>
  <c r="L59" i="35"/>
  <c r="K59" i="35"/>
  <c r="J59" i="35"/>
  <c r="I59" i="35"/>
  <c r="M58" i="35"/>
  <c r="L58" i="35"/>
  <c r="K58" i="35"/>
  <c r="J58" i="35"/>
  <c r="I58" i="35"/>
  <c r="M57" i="35"/>
  <c r="L57" i="35"/>
  <c r="K57" i="35"/>
  <c r="J57" i="35"/>
  <c r="I57" i="35"/>
  <c r="M56" i="35"/>
  <c r="L56" i="35"/>
  <c r="K56" i="35"/>
  <c r="J56" i="35"/>
  <c r="I56" i="35"/>
  <c r="M55" i="35"/>
  <c r="L55" i="35"/>
  <c r="K55" i="35"/>
  <c r="J55" i="35"/>
  <c r="I55" i="35"/>
  <c r="M54" i="35"/>
  <c r="L54" i="35"/>
  <c r="K54" i="35"/>
  <c r="J54" i="35"/>
  <c r="I54" i="35"/>
  <c r="M53" i="35"/>
  <c r="L53" i="35"/>
  <c r="K53" i="35"/>
  <c r="J53" i="35"/>
  <c r="I53" i="35"/>
  <c r="M52" i="35"/>
  <c r="L52" i="35"/>
  <c r="K52" i="35"/>
  <c r="J52" i="35"/>
  <c r="I52" i="35"/>
  <c r="M51" i="35"/>
  <c r="L51" i="35"/>
  <c r="K51" i="35"/>
  <c r="J51" i="35"/>
  <c r="I51" i="35"/>
  <c r="M50" i="35"/>
  <c r="L50" i="35"/>
  <c r="K50" i="35"/>
  <c r="J50" i="35"/>
  <c r="I50" i="35"/>
  <c r="M49" i="35"/>
  <c r="L49" i="35"/>
  <c r="K49" i="35"/>
  <c r="J49" i="35"/>
  <c r="I49" i="35"/>
  <c r="M48" i="35"/>
  <c r="L48" i="35"/>
  <c r="K48" i="35"/>
  <c r="J48" i="35"/>
  <c r="I48" i="35"/>
  <c r="M47" i="35"/>
  <c r="L47" i="35"/>
  <c r="K47" i="35"/>
  <c r="J47" i="35"/>
  <c r="I47" i="35"/>
  <c r="M46" i="35"/>
  <c r="L46" i="35"/>
  <c r="K46" i="35"/>
  <c r="J46" i="35"/>
  <c r="I46" i="35"/>
  <c r="M45" i="35"/>
  <c r="L45" i="35"/>
  <c r="K45" i="35"/>
  <c r="J45" i="35"/>
  <c r="I45" i="35"/>
  <c r="M44" i="35"/>
  <c r="L44" i="35"/>
  <c r="K44" i="35"/>
  <c r="J44" i="35"/>
  <c r="I44" i="35"/>
  <c r="M43" i="35"/>
  <c r="L43" i="35"/>
  <c r="K43" i="35"/>
  <c r="J43" i="35"/>
  <c r="I43" i="35"/>
  <c r="M42" i="35"/>
  <c r="L42" i="35"/>
  <c r="K42" i="35"/>
  <c r="J42" i="35"/>
  <c r="I42" i="35"/>
  <c r="M41" i="35"/>
  <c r="L41" i="35"/>
  <c r="K41" i="35"/>
  <c r="J41" i="35"/>
  <c r="I41" i="35"/>
  <c r="M40" i="35"/>
  <c r="L40" i="35"/>
  <c r="K40" i="35"/>
  <c r="J40" i="35"/>
  <c r="I40" i="35"/>
  <c r="M39" i="35"/>
  <c r="L39" i="35"/>
  <c r="K39" i="35"/>
  <c r="J39" i="35"/>
  <c r="I39" i="35"/>
  <c r="M38" i="35"/>
  <c r="L38" i="35"/>
  <c r="K38" i="35"/>
  <c r="J38" i="35"/>
  <c r="I38" i="35"/>
  <c r="M37" i="35"/>
  <c r="L37" i="35"/>
  <c r="K37" i="35"/>
  <c r="J37" i="35"/>
  <c r="I37" i="35"/>
  <c r="M36" i="35"/>
  <c r="L36" i="35"/>
  <c r="K36" i="35"/>
  <c r="J36" i="35"/>
  <c r="I36" i="35"/>
  <c r="M35" i="35"/>
  <c r="L35" i="35"/>
  <c r="K35" i="35"/>
  <c r="J35" i="35"/>
  <c r="I35" i="35"/>
  <c r="M34" i="35"/>
  <c r="L34" i="35"/>
  <c r="K34" i="35"/>
  <c r="J34" i="35"/>
  <c r="I34" i="35"/>
  <c r="M33" i="35"/>
  <c r="L33" i="35"/>
  <c r="K33" i="35"/>
  <c r="J33" i="35"/>
  <c r="I33" i="35"/>
  <c r="M32" i="35"/>
  <c r="L32" i="35"/>
  <c r="K32" i="35"/>
  <c r="J32" i="35"/>
  <c r="I32" i="35"/>
  <c r="M31" i="35"/>
  <c r="L31" i="35"/>
  <c r="K31" i="35"/>
  <c r="J31" i="35"/>
  <c r="I31" i="35"/>
  <c r="M30" i="35"/>
  <c r="L30" i="35"/>
  <c r="K30" i="35"/>
  <c r="J30" i="35"/>
  <c r="I30" i="35"/>
  <c r="M29" i="35"/>
  <c r="L29" i="35"/>
  <c r="K29" i="35"/>
  <c r="J29" i="35"/>
  <c r="I29" i="35"/>
  <c r="M28" i="35"/>
  <c r="L28" i="35"/>
  <c r="K28" i="35"/>
  <c r="J28" i="35"/>
  <c r="I28" i="35"/>
  <c r="M27" i="35"/>
  <c r="L27" i="35"/>
  <c r="K27" i="35"/>
  <c r="J27" i="35"/>
  <c r="I27" i="35"/>
  <c r="M26" i="35"/>
  <c r="L26" i="35"/>
  <c r="K26" i="35"/>
  <c r="J26" i="35"/>
  <c r="I26" i="35"/>
  <c r="M25" i="35"/>
  <c r="L25" i="35"/>
  <c r="K25" i="35"/>
  <c r="J25" i="35"/>
  <c r="I25" i="35"/>
  <c r="M24" i="35"/>
  <c r="L24" i="35"/>
  <c r="K24" i="35"/>
  <c r="J24" i="35"/>
  <c r="I24" i="35"/>
  <c r="M23" i="35"/>
  <c r="L23" i="35"/>
  <c r="K23" i="35"/>
  <c r="J23" i="35"/>
  <c r="I23" i="35"/>
  <c r="M22" i="35"/>
  <c r="L22" i="35"/>
  <c r="K22" i="35"/>
  <c r="J22" i="35"/>
  <c r="I22" i="35"/>
  <c r="M21" i="35"/>
  <c r="L21" i="35"/>
  <c r="K21" i="35"/>
  <c r="J21" i="35"/>
  <c r="I21" i="35"/>
  <c r="M20" i="35"/>
  <c r="L20" i="35"/>
  <c r="K20" i="35"/>
  <c r="J20" i="35"/>
  <c r="I20" i="35"/>
  <c r="M19" i="35"/>
  <c r="L19" i="35"/>
  <c r="K19" i="35"/>
  <c r="J19" i="35"/>
  <c r="I19" i="35"/>
  <c r="M18" i="35"/>
  <c r="L18" i="35"/>
  <c r="K18" i="35"/>
  <c r="J18" i="35"/>
  <c r="I18" i="35"/>
  <c r="M17" i="35"/>
  <c r="L17" i="35"/>
  <c r="K17" i="35"/>
  <c r="J17" i="35"/>
  <c r="I17" i="35"/>
  <c r="M16" i="35"/>
  <c r="L16" i="35"/>
  <c r="K16" i="35"/>
  <c r="J16" i="35"/>
  <c r="I16" i="35"/>
  <c r="M15" i="35"/>
  <c r="L15" i="35"/>
  <c r="K15" i="35"/>
  <c r="J15" i="35"/>
  <c r="I15" i="35"/>
  <c r="M14" i="35"/>
  <c r="L14" i="35"/>
  <c r="K14" i="35"/>
  <c r="J14" i="35"/>
  <c r="I14" i="35"/>
  <c r="M13" i="35"/>
  <c r="L13" i="35"/>
  <c r="K13" i="35"/>
  <c r="J13" i="35"/>
  <c r="I13" i="35"/>
  <c r="M12" i="35"/>
  <c r="L12" i="35"/>
  <c r="K12" i="35"/>
  <c r="J12" i="35"/>
  <c r="I12" i="35"/>
  <c r="M11" i="35"/>
  <c r="L11" i="35"/>
  <c r="K11" i="35"/>
  <c r="J11" i="35"/>
  <c r="I11" i="35"/>
  <c r="M10" i="35"/>
  <c r="L10" i="35"/>
  <c r="K10" i="35"/>
  <c r="J10" i="35"/>
  <c r="I10" i="35"/>
  <c r="M9" i="35"/>
  <c r="L9" i="35"/>
  <c r="K9" i="35"/>
  <c r="J9" i="35"/>
  <c r="I9" i="35"/>
  <c r="M8" i="35"/>
  <c r="L8" i="35"/>
  <c r="K8" i="35"/>
  <c r="J8" i="35"/>
  <c r="I8" i="35"/>
  <c r="M7" i="35"/>
  <c r="L7" i="35"/>
  <c r="K7" i="35"/>
  <c r="J7" i="35"/>
  <c r="I7" i="35"/>
  <c r="M6" i="35"/>
  <c r="L6" i="35"/>
  <c r="K6" i="35"/>
  <c r="J6" i="35"/>
  <c r="I6" i="35"/>
  <c r="M5" i="35"/>
  <c r="L5" i="35"/>
  <c r="K5" i="35"/>
  <c r="J5" i="35"/>
  <c r="I5" i="35"/>
  <c r="M4" i="35"/>
  <c r="L4" i="35"/>
  <c r="K4" i="35"/>
  <c r="J4" i="35"/>
  <c r="I4" i="35"/>
  <c r="M3" i="35"/>
  <c r="L3" i="35"/>
  <c r="K3" i="35"/>
  <c r="J3" i="35"/>
  <c r="I3" i="35"/>
  <c r="M71" i="34"/>
  <c r="L71" i="34"/>
  <c r="K71" i="34"/>
  <c r="J71" i="34"/>
  <c r="I71" i="34"/>
  <c r="M70" i="34"/>
  <c r="L70" i="34"/>
  <c r="K70" i="34"/>
  <c r="J70" i="34"/>
  <c r="I70" i="34"/>
  <c r="M69" i="34"/>
  <c r="L69" i="34"/>
  <c r="K69" i="34"/>
  <c r="J69" i="34"/>
  <c r="I69" i="34"/>
  <c r="M68" i="34"/>
  <c r="L68" i="34"/>
  <c r="K68" i="34"/>
  <c r="J68" i="34"/>
  <c r="I68" i="34"/>
  <c r="M67" i="34"/>
  <c r="L67" i="34"/>
  <c r="K67" i="34"/>
  <c r="J67" i="34"/>
  <c r="I67" i="34"/>
  <c r="M66" i="34"/>
  <c r="L66" i="34"/>
  <c r="K66" i="34"/>
  <c r="J66" i="34"/>
  <c r="I66" i="34"/>
  <c r="M65" i="34"/>
  <c r="L65" i="34"/>
  <c r="K65" i="34"/>
  <c r="J65" i="34"/>
  <c r="I65" i="34"/>
  <c r="M64" i="34"/>
  <c r="L64" i="34"/>
  <c r="K64" i="34"/>
  <c r="J64" i="34"/>
  <c r="I64" i="34"/>
  <c r="M63" i="34"/>
  <c r="L63" i="34"/>
  <c r="K63" i="34"/>
  <c r="J63" i="34"/>
  <c r="I63" i="34"/>
  <c r="M62" i="34"/>
  <c r="L62" i="34"/>
  <c r="K62" i="34"/>
  <c r="J62" i="34"/>
  <c r="I62" i="34"/>
  <c r="M61" i="34"/>
  <c r="L61" i="34"/>
  <c r="K61" i="34"/>
  <c r="J61" i="34"/>
  <c r="I61" i="34"/>
  <c r="M60" i="34"/>
  <c r="L60" i="34"/>
  <c r="K60" i="34"/>
  <c r="J60" i="34"/>
  <c r="I60" i="34"/>
  <c r="M59" i="34"/>
  <c r="L59" i="34"/>
  <c r="K59" i="34"/>
  <c r="J59" i="34"/>
  <c r="I59" i="34"/>
  <c r="M58" i="34"/>
  <c r="L58" i="34"/>
  <c r="K58" i="34"/>
  <c r="J58" i="34"/>
  <c r="I58" i="34"/>
  <c r="M57" i="34"/>
  <c r="L57" i="34"/>
  <c r="K57" i="34"/>
  <c r="J57" i="34"/>
  <c r="I57" i="34"/>
  <c r="M56" i="34"/>
  <c r="L56" i="34"/>
  <c r="K56" i="34"/>
  <c r="J56" i="34"/>
  <c r="I56" i="34"/>
  <c r="M55" i="34"/>
  <c r="L55" i="34"/>
  <c r="K55" i="34"/>
  <c r="J55" i="34"/>
  <c r="I55" i="34"/>
  <c r="M54" i="34"/>
  <c r="L54" i="34"/>
  <c r="K54" i="34"/>
  <c r="J54" i="34"/>
  <c r="I54" i="34"/>
  <c r="M53" i="34"/>
  <c r="L53" i="34"/>
  <c r="K53" i="34"/>
  <c r="J53" i="34"/>
  <c r="I53" i="34"/>
  <c r="M52" i="34"/>
  <c r="L52" i="34"/>
  <c r="K52" i="34"/>
  <c r="J52" i="34"/>
  <c r="I52" i="34"/>
  <c r="M51" i="34"/>
  <c r="L51" i="34"/>
  <c r="K51" i="34"/>
  <c r="J51" i="34"/>
  <c r="I51" i="34"/>
  <c r="M50" i="34"/>
  <c r="L50" i="34"/>
  <c r="K50" i="34"/>
  <c r="J50" i="34"/>
  <c r="I50" i="34"/>
  <c r="M49" i="34"/>
  <c r="L49" i="34"/>
  <c r="K49" i="34"/>
  <c r="J49" i="34"/>
  <c r="I49" i="34"/>
  <c r="M48" i="34"/>
  <c r="L48" i="34"/>
  <c r="K48" i="34"/>
  <c r="J48" i="34"/>
  <c r="I48" i="34"/>
  <c r="M47" i="34"/>
  <c r="L47" i="34"/>
  <c r="K47" i="34"/>
  <c r="J47" i="34"/>
  <c r="I47" i="34"/>
  <c r="M46" i="34"/>
  <c r="L46" i="34"/>
  <c r="K46" i="34"/>
  <c r="J46" i="34"/>
  <c r="I46" i="34"/>
  <c r="M45" i="34"/>
  <c r="L45" i="34"/>
  <c r="K45" i="34"/>
  <c r="J45" i="34"/>
  <c r="I45" i="34"/>
  <c r="M44" i="34"/>
  <c r="L44" i="34"/>
  <c r="K44" i="34"/>
  <c r="J44" i="34"/>
  <c r="I44" i="34"/>
  <c r="M43" i="34"/>
  <c r="L43" i="34"/>
  <c r="K43" i="34"/>
  <c r="J43" i="34"/>
  <c r="I43" i="34"/>
  <c r="M42" i="34"/>
  <c r="L42" i="34"/>
  <c r="K42" i="34"/>
  <c r="J42" i="34"/>
  <c r="I42" i="34"/>
  <c r="M41" i="34"/>
  <c r="L41" i="34"/>
  <c r="K41" i="34"/>
  <c r="J41" i="34"/>
  <c r="I41" i="34"/>
  <c r="M40" i="34"/>
  <c r="L40" i="34"/>
  <c r="K40" i="34"/>
  <c r="J40" i="34"/>
  <c r="I40" i="34"/>
  <c r="M39" i="34"/>
  <c r="L39" i="34"/>
  <c r="K39" i="34"/>
  <c r="J39" i="34"/>
  <c r="I39" i="34"/>
  <c r="M38" i="34"/>
  <c r="L38" i="34"/>
  <c r="K38" i="34"/>
  <c r="J38" i="34"/>
  <c r="I38" i="34"/>
  <c r="M37" i="34"/>
  <c r="L37" i="34"/>
  <c r="K37" i="34"/>
  <c r="J37" i="34"/>
  <c r="I37" i="34"/>
  <c r="M36" i="34"/>
  <c r="L36" i="34"/>
  <c r="K36" i="34"/>
  <c r="J36" i="34"/>
  <c r="I36" i="34"/>
  <c r="M35" i="34"/>
  <c r="L35" i="34"/>
  <c r="K35" i="34"/>
  <c r="J35" i="34"/>
  <c r="I35" i="34"/>
  <c r="M34" i="34"/>
  <c r="L34" i="34"/>
  <c r="K34" i="34"/>
  <c r="J34" i="34"/>
  <c r="I34" i="34"/>
  <c r="M33" i="34"/>
  <c r="L33" i="34"/>
  <c r="K33" i="34"/>
  <c r="J33" i="34"/>
  <c r="I33" i="34"/>
  <c r="M32" i="34"/>
  <c r="L32" i="34"/>
  <c r="K32" i="34"/>
  <c r="J32" i="34"/>
  <c r="I32" i="34"/>
  <c r="M31" i="34"/>
  <c r="L31" i="34"/>
  <c r="K31" i="34"/>
  <c r="J31" i="34"/>
  <c r="I31" i="34"/>
  <c r="M30" i="34"/>
  <c r="L30" i="34"/>
  <c r="K30" i="34"/>
  <c r="J30" i="34"/>
  <c r="I30" i="34"/>
  <c r="M29" i="34"/>
  <c r="L29" i="34"/>
  <c r="K29" i="34"/>
  <c r="J29" i="34"/>
  <c r="I29" i="34"/>
  <c r="M28" i="34"/>
  <c r="L28" i="34"/>
  <c r="K28" i="34"/>
  <c r="J28" i="34"/>
  <c r="I28" i="34"/>
  <c r="M27" i="34"/>
  <c r="L27" i="34"/>
  <c r="K27" i="34"/>
  <c r="J27" i="34"/>
  <c r="I27" i="34"/>
  <c r="M26" i="34"/>
  <c r="L26" i="34"/>
  <c r="K26" i="34"/>
  <c r="J26" i="34"/>
  <c r="I26" i="34"/>
  <c r="M25" i="34"/>
  <c r="L25" i="34"/>
  <c r="K25" i="34"/>
  <c r="J25" i="34"/>
  <c r="I25" i="34"/>
  <c r="M24" i="34"/>
  <c r="L24" i="34"/>
  <c r="K24" i="34"/>
  <c r="J24" i="34"/>
  <c r="I24" i="34"/>
  <c r="M23" i="34"/>
  <c r="L23" i="34"/>
  <c r="K23" i="34"/>
  <c r="J23" i="34"/>
  <c r="I23" i="34"/>
  <c r="M22" i="34"/>
  <c r="L22" i="34"/>
  <c r="K22" i="34"/>
  <c r="J22" i="34"/>
  <c r="I22" i="34"/>
  <c r="M21" i="34"/>
  <c r="L21" i="34"/>
  <c r="K21" i="34"/>
  <c r="J21" i="34"/>
  <c r="I21" i="34"/>
  <c r="M20" i="34"/>
  <c r="L20" i="34"/>
  <c r="K20" i="34"/>
  <c r="J20" i="34"/>
  <c r="I20" i="34"/>
  <c r="M19" i="34"/>
  <c r="L19" i="34"/>
  <c r="K19" i="34"/>
  <c r="J19" i="34"/>
  <c r="I19" i="34"/>
  <c r="M18" i="34"/>
  <c r="L18" i="34"/>
  <c r="K18" i="34"/>
  <c r="J18" i="34"/>
  <c r="I18" i="34"/>
  <c r="M17" i="34"/>
  <c r="L17" i="34"/>
  <c r="K17" i="34"/>
  <c r="J17" i="34"/>
  <c r="I17" i="34"/>
  <c r="M16" i="34"/>
  <c r="L16" i="34"/>
  <c r="K16" i="34"/>
  <c r="J16" i="34"/>
  <c r="I16" i="34"/>
  <c r="M15" i="34"/>
  <c r="L15" i="34"/>
  <c r="K15" i="34"/>
  <c r="J15" i="34"/>
  <c r="I15" i="34"/>
  <c r="M14" i="34"/>
  <c r="L14" i="34"/>
  <c r="K14" i="34"/>
  <c r="J14" i="34"/>
  <c r="I14" i="34"/>
  <c r="M13" i="34"/>
  <c r="L13" i="34"/>
  <c r="K13" i="34"/>
  <c r="J13" i="34"/>
  <c r="I13" i="34"/>
  <c r="M12" i="34"/>
  <c r="L12" i="34"/>
  <c r="K12" i="34"/>
  <c r="J12" i="34"/>
  <c r="I12" i="34"/>
  <c r="M11" i="34"/>
  <c r="L11" i="34"/>
  <c r="K11" i="34"/>
  <c r="J11" i="34"/>
  <c r="I11" i="34"/>
  <c r="M10" i="34"/>
  <c r="L10" i="34"/>
  <c r="K10" i="34"/>
  <c r="J10" i="34"/>
  <c r="I10" i="34"/>
  <c r="M9" i="34"/>
  <c r="L9" i="34"/>
  <c r="K9" i="34"/>
  <c r="J9" i="34"/>
  <c r="I9" i="34"/>
  <c r="M8" i="34"/>
  <c r="L8" i="34"/>
  <c r="K8" i="34"/>
  <c r="J8" i="34"/>
  <c r="I8" i="34"/>
  <c r="M7" i="34"/>
  <c r="L7" i="34"/>
  <c r="K7" i="34"/>
  <c r="J7" i="34"/>
  <c r="I7" i="34"/>
  <c r="M6" i="34"/>
  <c r="L6" i="34"/>
  <c r="K6" i="34"/>
  <c r="J6" i="34"/>
  <c r="I6" i="34"/>
  <c r="M5" i="34"/>
  <c r="L5" i="34"/>
  <c r="K5" i="34"/>
  <c r="J5" i="34"/>
  <c r="I5" i="34"/>
  <c r="M4" i="34"/>
  <c r="L4" i="34"/>
  <c r="K4" i="34"/>
  <c r="J4" i="34"/>
  <c r="I4" i="34"/>
  <c r="M3" i="34"/>
  <c r="L3" i="34"/>
  <c r="K3" i="34"/>
  <c r="J3" i="34"/>
  <c r="I3" i="34"/>
  <c r="M71" i="33"/>
  <c r="L71" i="33"/>
  <c r="K71" i="33"/>
  <c r="J71" i="33"/>
  <c r="I71" i="33"/>
  <c r="M70" i="33"/>
  <c r="L70" i="33"/>
  <c r="K70" i="33"/>
  <c r="J70" i="33"/>
  <c r="I70" i="33"/>
  <c r="M69" i="33"/>
  <c r="L69" i="33"/>
  <c r="K69" i="33"/>
  <c r="J69" i="33"/>
  <c r="I69" i="33"/>
  <c r="M68" i="33"/>
  <c r="L68" i="33"/>
  <c r="K68" i="33"/>
  <c r="J68" i="33"/>
  <c r="I68" i="33"/>
  <c r="M67" i="33"/>
  <c r="L67" i="33"/>
  <c r="K67" i="33"/>
  <c r="J67" i="33"/>
  <c r="I67" i="33"/>
  <c r="M66" i="33"/>
  <c r="L66" i="33"/>
  <c r="K66" i="33"/>
  <c r="J66" i="33"/>
  <c r="I66" i="33"/>
  <c r="M65" i="33"/>
  <c r="L65" i="33"/>
  <c r="K65" i="33"/>
  <c r="J65" i="33"/>
  <c r="I65" i="33"/>
  <c r="M64" i="33"/>
  <c r="L64" i="33"/>
  <c r="K64" i="33"/>
  <c r="J64" i="33"/>
  <c r="I64" i="33"/>
  <c r="M63" i="33"/>
  <c r="L63" i="33"/>
  <c r="K63" i="33"/>
  <c r="J63" i="33"/>
  <c r="I63" i="33"/>
  <c r="M62" i="33"/>
  <c r="L62" i="33"/>
  <c r="K62" i="33"/>
  <c r="J62" i="33"/>
  <c r="I62" i="33"/>
  <c r="M61" i="33"/>
  <c r="L61" i="33"/>
  <c r="K61" i="33"/>
  <c r="J61" i="33"/>
  <c r="I61" i="33"/>
  <c r="M60" i="33"/>
  <c r="L60" i="33"/>
  <c r="K60" i="33"/>
  <c r="J60" i="33"/>
  <c r="I60" i="33"/>
  <c r="M59" i="33"/>
  <c r="L59" i="33"/>
  <c r="K59" i="33"/>
  <c r="J59" i="33"/>
  <c r="I59" i="33"/>
  <c r="M58" i="33"/>
  <c r="L58" i="33"/>
  <c r="K58" i="33"/>
  <c r="J58" i="33"/>
  <c r="I58" i="33"/>
  <c r="M57" i="33"/>
  <c r="L57" i="33"/>
  <c r="K57" i="33"/>
  <c r="J57" i="33"/>
  <c r="I57" i="33"/>
  <c r="M56" i="33"/>
  <c r="L56" i="33"/>
  <c r="K56" i="33"/>
  <c r="J56" i="33"/>
  <c r="I56" i="33"/>
  <c r="M55" i="33"/>
  <c r="L55" i="33"/>
  <c r="K55" i="33"/>
  <c r="J55" i="33"/>
  <c r="I55" i="33"/>
  <c r="M54" i="33"/>
  <c r="L54" i="33"/>
  <c r="K54" i="33"/>
  <c r="J54" i="33"/>
  <c r="I54" i="33"/>
  <c r="M53" i="33"/>
  <c r="L53" i="33"/>
  <c r="K53" i="33"/>
  <c r="J53" i="33"/>
  <c r="I53" i="33"/>
  <c r="M52" i="33"/>
  <c r="L52" i="33"/>
  <c r="K52" i="33"/>
  <c r="J52" i="33"/>
  <c r="I52" i="33"/>
  <c r="M51" i="33"/>
  <c r="L51" i="33"/>
  <c r="K51" i="33"/>
  <c r="J51" i="33"/>
  <c r="I51" i="33"/>
  <c r="M50" i="33"/>
  <c r="L50" i="33"/>
  <c r="K50" i="33"/>
  <c r="J50" i="33"/>
  <c r="I50" i="33"/>
  <c r="M49" i="33"/>
  <c r="L49" i="33"/>
  <c r="K49" i="33"/>
  <c r="J49" i="33"/>
  <c r="I49" i="33"/>
  <c r="M48" i="33"/>
  <c r="L48" i="33"/>
  <c r="K48" i="33"/>
  <c r="J48" i="33"/>
  <c r="I48" i="33"/>
  <c r="M47" i="33"/>
  <c r="L47" i="33"/>
  <c r="K47" i="33"/>
  <c r="J47" i="33"/>
  <c r="I47" i="33"/>
  <c r="M46" i="33"/>
  <c r="L46" i="33"/>
  <c r="K46" i="33"/>
  <c r="J46" i="33"/>
  <c r="I46" i="33"/>
  <c r="M45" i="33"/>
  <c r="L45" i="33"/>
  <c r="K45" i="33"/>
  <c r="J45" i="33"/>
  <c r="I45" i="33"/>
  <c r="M44" i="33"/>
  <c r="L44" i="33"/>
  <c r="K44" i="33"/>
  <c r="J44" i="33"/>
  <c r="I44" i="33"/>
  <c r="M43" i="33"/>
  <c r="L43" i="33"/>
  <c r="K43" i="33"/>
  <c r="J43" i="33"/>
  <c r="I43" i="33"/>
  <c r="M42" i="33"/>
  <c r="L42" i="33"/>
  <c r="K42" i="33"/>
  <c r="J42" i="33"/>
  <c r="I42" i="33"/>
  <c r="M41" i="33"/>
  <c r="L41" i="33"/>
  <c r="K41" i="33"/>
  <c r="J41" i="33"/>
  <c r="I41" i="33"/>
  <c r="M40" i="33"/>
  <c r="L40" i="33"/>
  <c r="K40" i="33"/>
  <c r="J40" i="33"/>
  <c r="I40" i="33"/>
  <c r="M39" i="33"/>
  <c r="L39" i="33"/>
  <c r="K39" i="33"/>
  <c r="J39" i="33"/>
  <c r="I39" i="33"/>
  <c r="M38" i="33"/>
  <c r="L38" i="33"/>
  <c r="K38" i="33"/>
  <c r="J38" i="33"/>
  <c r="I38" i="33"/>
  <c r="M37" i="33"/>
  <c r="L37" i="33"/>
  <c r="K37" i="33"/>
  <c r="J37" i="33"/>
  <c r="I37" i="33"/>
  <c r="M36" i="33"/>
  <c r="L36" i="33"/>
  <c r="K36" i="33"/>
  <c r="J36" i="33"/>
  <c r="I36" i="33"/>
  <c r="M35" i="33"/>
  <c r="L35" i="33"/>
  <c r="K35" i="33"/>
  <c r="J35" i="33"/>
  <c r="I35" i="33"/>
  <c r="M34" i="33"/>
  <c r="L34" i="33"/>
  <c r="K34" i="33"/>
  <c r="J34" i="33"/>
  <c r="I34" i="33"/>
  <c r="M33" i="33"/>
  <c r="L33" i="33"/>
  <c r="K33" i="33"/>
  <c r="J33" i="33"/>
  <c r="I33" i="33"/>
  <c r="M32" i="33"/>
  <c r="L32" i="33"/>
  <c r="K32" i="33"/>
  <c r="J32" i="33"/>
  <c r="I32" i="33"/>
  <c r="M31" i="33"/>
  <c r="L31" i="33"/>
  <c r="K31" i="33"/>
  <c r="J31" i="33"/>
  <c r="I31" i="33"/>
  <c r="M30" i="33"/>
  <c r="L30" i="33"/>
  <c r="K30" i="33"/>
  <c r="J30" i="33"/>
  <c r="I30" i="33"/>
  <c r="M29" i="33"/>
  <c r="L29" i="33"/>
  <c r="K29" i="33"/>
  <c r="J29" i="33"/>
  <c r="I29" i="33"/>
  <c r="M28" i="33"/>
  <c r="L28" i="33"/>
  <c r="K28" i="33"/>
  <c r="J28" i="33"/>
  <c r="I28" i="33"/>
  <c r="M27" i="33"/>
  <c r="L27" i="33"/>
  <c r="K27" i="33"/>
  <c r="J27" i="33"/>
  <c r="I27" i="33"/>
  <c r="M26" i="33"/>
  <c r="L26" i="33"/>
  <c r="K26" i="33"/>
  <c r="J26" i="33"/>
  <c r="I26" i="33"/>
  <c r="M25" i="33"/>
  <c r="L25" i="33"/>
  <c r="K25" i="33"/>
  <c r="J25" i="33"/>
  <c r="I25" i="33"/>
  <c r="M24" i="33"/>
  <c r="L24" i="33"/>
  <c r="K24" i="33"/>
  <c r="J24" i="33"/>
  <c r="I24" i="33"/>
  <c r="M23" i="33"/>
  <c r="L23" i="33"/>
  <c r="K23" i="33"/>
  <c r="J23" i="33"/>
  <c r="I23" i="33"/>
  <c r="M22" i="33"/>
  <c r="L22" i="33"/>
  <c r="K22" i="33"/>
  <c r="J22" i="33"/>
  <c r="I22" i="33"/>
  <c r="M21" i="33"/>
  <c r="L21" i="33"/>
  <c r="K21" i="33"/>
  <c r="J21" i="33"/>
  <c r="I21" i="33"/>
  <c r="M20" i="33"/>
  <c r="L20" i="33"/>
  <c r="K20" i="33"/>
  <c r="J20" i="33"/>
  <c r="I20" i="33"/>
  <c r="M19" i="33"/>
  <c r="L19" i="33"/>
  <c r="K19" i="33"/>
  <c r="J19" i="33"/>
  <c r="I19" i="33"/>
  <c r="M18" i="33"/>
  <c r="L18" i="33"/>
  <c r="K18" i="33"/>
  <c r="J18" i="33"/>
  <c r="I18" i="33"/>
  <c r="M17" i="33"/>
  <c r="L17" i="33"/>
  <c r="K17" i="33"/>
  <c r="J17" i="33"/>
  <c r="I17" i="33"/>
  <c r="M16" i="33"/>
  <c r="L16" i="33"/>
  <c r="K16" i="33"/>
  <c r="J16" i="33"/>
  <c r="I16" i="33"/>
  <c r="M15" i="33"/>
  <c r="L15" i="33"/>
  <c r="K15" i="33"/>
  <c r="J15" i="33"/>
  <c r="I15" i="33"/>
  <c r="M14" i="33"/>
  <c r="L14" i="33"/>
  <c r="K14" i="33"/>
  <c r="J14" i="33"/>
  <c r="I14" i="33"/>
  <c r="M13" i="33"/>
  <c r="L13" i="33"/>
  <c r="K13" i="33"/>
  <c r="J13" i="33"/>
  <c r="I13" i="33"/>
  <c r="M12" i="33"/>
  <c r="L12" i="33"/>
  <c r="K12" i="33"/>
  <c r="J12" i="33"/>
  <c r="I12" i="33"/>
  <c r="M11" i="33"/>
  <c r="L11" i="33"/>
  <c r="K11" i="33"/>
  <c r="J11" i="33"/>
  <c r="I11" i="33"/>
  <c r="M10" i="33"/>
  <c r="L10" i="33"/>
  <c r="K10" i="33"/>
  <c r="J10" i="33"/>
  <c r="I10" i="33"/>
  <c r="M9" i="33"/>
  <c r="L9" i="33"/>
  <c r="K9" i="33"/>
  <c r="J9" i="33"/>
  <c r="I9" i="33"/>
  <c r="M8" i="33"/>
  <c r="L8" i="33"/>
  <c r="K8" i="33"/>
  <c r="J8" i="33"/>
  <c r="I8" i="33"/>
  <c r="M7" i="33"/>
  <c r="L7" i="33"/>
  <c r="K7" i="33"/>
  <c r="J7" i="33"/>
  <c r="I7" i="33"/>
  <c r="M6" i="33"/>
  <c r="L6" i="33"/>
  <c r="K6" i="33"/>
  <c r="J6" i="33"/>
  <c r="I6" i="33"/>
  <c r="M5" i="33"/>
  <c r="L5" i="33"/>
  <c r="K5" i="33"/>
  <c r="J5" i="33"/>
  <c r="I5" i="33"/>
  <c r="M4" i="33"/>
  <c r="L4" i="33"/>
  <c r="K4" i="33"/>
  <c r="J4" i="33"/>
  <c r="I4" i="33"/>
  <c r="M3" i="33"/>
  <c r="L3" i="33"/>
  <c r="K3" i="33"/>
  <c r="J3" i="33"/>
  <c r="I3" i="33"/>
  <c r="M71" i="32"/>
  <c r="L71" i="32"/>
  <c r="K71" i="32"/>
  <c r="J71" i="32"/>
  <c r="I71" i="32"/>
  <c r="M70" i="32"/>
  <c r="L70" i="32"/>
  <c r="K70" i="32"/>
  <c r="J70" i="32"/>
  <c r="I70" i="32"/>
  <c r="M69" i="32"/>
  <c r="L69" i="32"/>
  <c r="K69" i="32"/>
  <c r="J69" i="32"/>
  <c r="I69" i="32"/>
  <c r="M68" i="32"/>
  <c r="L68" i="32"/>
  <c r="K68" i="32"/>
  <c r="J68" i="32"/>
  <c r="I68" i="32"/>
  <c r="M67" i="32"/>
  <c r="L67" i="32"/>
  <c r="K67" i="32"/>
  <c r="J67" i="32"/>
  <c r="I67" i="32"/>
  <c r="M66" i="32"/>
  <c r="L66" i="32"/>
  <c r="K66" i="32"/>
  <c r="J66" i="32"/>
  <c r="I66" i="32"/>
  <c r="M65" i="32"/>
  <c r="L65" i="32"/>
  <c r="K65" i="32"/>
  <c r="J65" i="32"/>
  <c r="I65" i="32"/>
  <c r="M64" i="32"/>
  <c r="L64" i="32"/>
  <c r="K64" i="32"/>
  <c r="J64" i="32"/>
  <c r="I64" i="32"/>
  <c r="M63" i="32"/>
  <c r="L63" i="32"/>
  <c r="K63" i="32"/>
  <c r="J63" i="32"/>
  <c r="I63" i="32"/>
  <c r="M62" i="32"/>
  <c r="L62" i="32"/>
  <c r="K62" i="32"/>
  <c r="J62" i="32"/>
  <c r="I62" i="32"/>
  <c r="M61" i="32"/>
  <c r="L61" i="32"/>
  <c r="K61" i="32"/>
  <c r="J61" i="32"/>
  <c r="I61" i="32"/>
  <c r="M60" i="32"/>
  <c r="L60" i="32"/>
  <c r="K60" i="32"/>
  <c r="J60" i="32"/>
  <c r="I60" i="32"/>
  <c r="M59" i="32"/>
  <c r="L59" i="32"/>
  <c r="K59" i="32"/>
  <c r="J59" i="32"/>
  <c r="I59" i="32"/>
  <c r="M58" i="32"/>
  <c r="L58" i="32"/>
  <c r="K58" i="32"/>
  <c r="J58" i="32"/>
  <c r="I58" i="32"/>
  <c r="M57" i="32"/>
  <c r="L57" i="32"/>
  <c r="K57" i="32"/>
  <c r="J57" i="32"/>
  <c r="I57" i="32"/>
  <c r="M56" i="32"/>
  <c r="L56" i="32"/>
  <c r="K56" i="32"/>
  <c r="J56" i="32"/>
  <c r="I56" i="32"/>
  <c r="M55" i="32"/>
  <c r="L55" i="32"/>
  <c r="K55" i="32"/>
  <c r="J55" i="32"/>
  <c r="I55" i="32"/>
  <c r="M54" i="32"/>
  <c r="L54" i="32"/>
  <c r="K54" i="32"/>
  <c r="J54" i="32"/>
  <c r="I54" i="32"/>
  <c r="M53" i="32"/>
  <c r="L53" i="32"/>
  <c r="K53" i="32"/>
  <c r="J53" i="32"/>
  <c r="I53" i="32"/>
  <c r="M52" i="32"/>
  <c r="L52" i="32"/>
  <c r="K52" i="32"/>
  <c r="J52" i="32"/>
  <c r="I52" i="32"/>
  <c r="M51" i="32"/>
  <c r="L51" i="32"/>
  <c r="K51" i="32"/>
  <c r="J51" i="32"/>
  <c r="I51" i="32"/>
  <c r="M50" i="32"/>
  <c r="L50" i="32"/>
  <c r="K50" i="32"/>
  <c r="J50" i="32"/>
  <c r="I50" i="32"/>
  <c r="M49" i="32"/>
  <c r="L49" i="32"/>
  <c r="K49" i="32"/>
  <c r="J49" i="32"/>
  <c r="I49" i="32"/>
  <c r="M48" i="32"/>
  <c r="L48" i="32"/>
  <c r="K48" i="32"/>
  <c r="J48" i="32"/>
  <c r="I48" i="32"/>
  <c r="M47" i="32"/>
  <c r="L47" i="32"/>
  <c r="K47" i="32"/>
  <c r="J47" i="32"/>
  <c r="I47" i="32"/>
  <c r="M46" i="32"/>
  <c r="L46" i="32"/>
  <c r="K46" i="32"/>
  <c r="J46" i="32"/>
  <c r="I46" i="32"/>
  <c r="M45" i="32"/>
  <c r="L45" i="32"/>
  <c r="K45" i="32"/>
  <c r="J45" i="32"/>
  <c r="I45" i="32"/>
  <c r="M44" i="32"/>
  <c r="L44" i="32"/>
  <c r="K44" i="32"/>
  <c r="J44" i="32"/>
  <c r="I44" i="32"/>
  <c r="M43" i="32"/>
  <c r="L43" i="32"/>
  <c r="K43" i="32"/>
  <c r="J43" i="32"/>
  <c r="I43" i="32"/>
  <c r="M42" i="32"/>
  <c r="L42" i="32"/>
  <c r="K42" i="32"/>
  <c r="J42" i="32"/>
  <c r="I42" i="32"/>
  <c r="M41" i="32"/>
  <c r="L41" i="32"/>
  <c r="K41" i="32"/>
  <c r="J41" i="32"/>
  <c r="I41" i="32"/>
  <c r="M40" i="32"/>
  <c r="L40" i="32"/>
  <c r="K40" i="32"/>
  <c r="J40" i="32"/>
  <c r="I40" i="32"/>
  <c r="M39" i="32"/>
  <c r="L39" i="32"/>
  <c r="K39" i="32"/>
  <c r="J39" i="32"/>
  <c r="I39" i="32"/>
  <c r="M38" i="32"/>
  <c r="L38" i="32"/>
  <c r="K38" i="32"/>
  <c r="J38" i="32"/>
  <c r="I38" i="32"/>
  <c r="M37" i="32"/>
  <c r="L37" i="32"/>
  <c r="K37" i="32"/>
  <c r="J37" i="32"/>
  <c r="I37" i="32"/>
  <c r="M36" i="32"/>
  <c r="L36" i="32"/>
  <c r="K36" i="32"/>
  <c r="J36" i="32"/>
  <c r="I36" i="32"/>
  <c r="M35" i="32"/>
  <c r="L35" i="32"/>
  <c r="K35" i="32"/>
  <c r="J35" i="32"/>
  <c r="I35" i="32"/>
  <c r="M34" i="32"/>
  <c r="L34" i="32"/>
  <c r="K34" i="32"/>
  <c r="J34" i="32"/>
  <c r="I34" i="32"/>
  <c r="M33" i="32"/>
  <c r="L33" i="32"/>
  <c r="K33" i="32"/>
  <c r="J33" i="32"/>
  <c r="I33" i="32"/>
  <c r="M32" i="32"/>
  <c r="L32" i="32"/>
  <c r="K32" i="32"/>
  <c r="J32" i="32"/>
  <c r="I32" i="32"/>
  <c r="M31" i="32"/>
  <c r="L31" i="32"/>
  <c r="K31" i="32"/>
  <c r="J31" i="32"/>
  <c r="I31" i="32"/>
  <c r="M30" i="32"/>
  <c r="L30" i="32"/>
  <c r="K30" i="32"/>
  <c r="J30" i="32"/>
  <c r="I30" i="32"/>
  <c r="M29" i="32"/>
  <c r="L29" i="32"/>
  <c r="K29" i="32"/>
  <c r="J29" i="32"/>
  <c r="I29" i="32"/>
  <c r="M28" i="32"/>
  <c r="L28" i="32"/>
  <c r="K28" i="32"/>
  <c r="J28" i="32"/>
  <c r="I28" i="32"/>
  <c r="M27" i="32"/>
  <c r="L27" i="32"/>
  <c r="K27" i="32"/>
  <c r="J27" i="32"/>
  <c r="I27" i="32"/>
  <c r="M26" i="32"/>
  <c r="L26" i="32"/>
  <c r="K26" i="32"/>
  <c r="J26" i="32"/>
  <c r="I26" i="32"/>
  <c r="M25" i="32"/>
  <c r="L25" i="32"/>
  <c r="K25" i="32"/>
  <c r="J25" i="32"/>
  <c r="I25" i="32"/>
  <c r="M24" i="32"/>
  <c r="L24" i="32"/>
  <c r="K24" i="32"/>
  <c r="J24" i="32"/>
  <c r="I24" i="32"/>
  <c r="M23" i="32"/>
  <c r="L23" i="32"/>
  <c r="K23" i="32"/>
  <c r="J23" i="32"/>
  <c r="I23" i="32"/>
  <c r="M22" i="32"/>
  <c r="L22" i="32"/>
  <c r="K22" i="32"/>
  <c r="J22" i="32"/>
  <c r="I22" i="32"/>
  <c r="M21" i="32"/>
  <c r="L21" i="32"/>
  <c r="K21" i="32"/>
  <c r="J21" i="32"/>
  <c r="I21" i="32"/>
  <c r="M20" i="32"/>
  <c r="L20" i="32"/>
  <c r="K20" i="32"/>
  <c r="J20" i="32"/>
  <c r="I20" i="32"/>
  <c r="M19" i="32"/>
  <c r="L19" i="32"/>
  <c r="K19" i="32"/>
  <c r="J19" i="32"/>
  <c r="I19" i="32"/>
  <c r="M18" i="32"/>
  <c r="L18" i="32"/>
  <c r="K18" i="32"/>
  <c r="J18" i="32"/>
  <c r="I18" i="32"/>
  <c r="M17" i="32"/>
  <c r="L17" i="32"/>
  <c r="K17" i="32"/>
  <c r="J17" i="32"/>
  <c r="I17" i="32"/>
  <c r="M16" i="32"/>
  <c r="L16" i="32"/>
  <c r="K16" i="32"/>
  <c r="J16" i="32"/>
  <c r="I16" i="32"/>
  <c r="M15" i="32"/>
  <c r="L15" i="32"/>
  <c r="K15" i="32"/>
  <c r="J15" i="32"/>
  <c r="I15" i="32"/>
  <c r="M14" i="32"/>
  <c r="L14" i="32"/>
  <c r="K14" i="32"/>
  <c r="J14" i="32"/>
  <c r="I14" i="32"/>
  <c r="M13" i="32"/>
  <c r="L13" i="32"/>
  <c r="K13" i="32"/>
  <c r="J13" i="32"/>
  <c r="I13" i="32"/>
  <c r="M12" i="32"/>
  <c r="L12" i="32"/>
  <c r="K12" i="32"/>
  <c r="J12" i="32"/>
  <c r="I12" i="32"/>
  <c r="M11" i="32"/>
  <c r="L11" i="32"/>
  <c r="K11" i="32"/>
  <c r="J11" i="32"/>
  <c r="I11" i="32"/>
  <c r="M10" i="32"/>
  <c r="L10" i="32"/>
  <c r="K10" i="32"/>
  <c r="J10" i="32"/>
  <c r="I10" i="32"/>
  <c r="M9" i="32"/>
  <c r="L9" i="32"/>
  <c r="K9" i="32"/>
  <c r="J9" i="32"/>
  <c r="I9" i="32"/>
  <c r="M8" i="32"/>
  <c r="L8" i="32"/>
  <c r="K8" i="32"/>
  <c r="J8" i="32"/>
  <c r="I8" i="32"/>
  <c r="M7" i="32"/>
  <c r="L7" i="32"/>
  <c r="K7" i="32"/>
  <c r="J7" i="32"/>
  <c r="I7" i="32"/>
  <c r="M6" i="32"/>
  <c r="L6" i="32"/>
  <c r="K6" i="32"/>
  <c r="J6" i="32"/>
  <c r="I6" i="32"/>
  <c r="M5" i="32"/>
  <c r="L5" i="32"/>
  <c r="K5" i="32"/>
  <c r="J5" i="32"/>
  <c r="I5" i="32"/>
  <c r="M4" i="32"/>
  <c r="L4" i="32"/>
  <c r="K4" i="32"/>
  <c r="J4" i="32"/>
  <c r="I4" i="32"/>
  <c r="M3" i="32"/>
  <c r="L3" i="32"/>
  <c r="K3" i="32"/>
  <c r="J3" i="32"/>
  <c r="I3" i="32"/>
  <c r="M71" i="31"/>
  <c r="L71" i="31"/>
  <c r="K71" i="31"/>
  <c r="J71" i="31"/>
  <c r="I71" i="31"/>
  <c r="M70" i="31"/>
  <c r="L70" i="31"/>
  <c r="K70" i="31"/>
  <c r="J70" i="31"/>
  <c r="I70" i="31"/>
  <c r="M69" i="31"/>
  <c r="L69" i="31"/>
  <c r="K69" i="31"/>
  <c r="J69" i="31"/>
  <c r="I69" i="31"/>
  <c r="M68" i="31"/>
  <c r="L68" i="31"/>
  <c r="K68" i="31"/>
  <c r="J68" i="31"/>
  <c r="I68" i="31"/>
  <c r="M67" i="31"/>
  <c r="L67" i="31"/>
  <c r="K67" i="31"/>
  <c r="J67" i="31"/>
  <c r="I67" i="31"/>
  <c r="M66" i="31"/>
  <c r="L66" i="31"/>
  <c r="K66" i="31"/>
  <c r="J66" i="31"/>
  <c r="I66" i="31"/>
  <c r="M65" i="31"/>
  <c r="L65" i="31"/>
  <c r="K65" i="31"/>
  <c r="J65" i="31"/>
  <c r="I65" i="31"/>
  <c r="M64" i="31"/>
  <c r="L64" i="31"/>
  <c r="K64" i="31"/>
  <c r="J64" i="31"/>
  <c r="I64" i="31"/>
  <c r="M63" i="31"/>
  <c r="L63" i="31"/>
  <c r="K63" i="31"/>
  <c r="J63" i="31"/>
  <c r="I63" i="31"/>
  <c r="M62" i="31"/>
  <c r="L62" i="31"/>
  <c r="K62" i="31"/>
  <c r="J62" i="31"/>
  <c r="I62" i="31"/>
  <c r="M61" i="31"/>
  <c r="L61" i="31"/>
  <c r="K61" i="31"/>
  <c r="J61" i="31"/>
  <c r="I61" i="31"/>
  <c r="M60" i="31"/>
  <c r="L60" i="31"/>
  <c r="K60" i="31"/>
  <c r="J60" i="31"/>
  <c r="I60" i="31"/>
  <c r="M59" i="31"/>
  <c r="L59" i="31"/>
  <c r="K59" i="31"/>
  <c r="J59" i="31"/>
  <c r="I59" i="31"/>
  <c r="M58" i="31"/>
  <c r="L58" i="31"/>
  <c r="K58" i="31"/>
  <c r="J58" i="31"/>
  <c r="I58" i="31"/>
  <c r="M57" i="31"/>
  <c r="L57" i="31"/>
  <c r="K57" i="31"/>
  <c r="J57" i="31"/>
  <c r="I57" i="31"/>
  <c r="M56" i="31"/>
  <c r="L56" i="31"/>
  <c r="K56" i="31"/>
  <c r="J56" i="31"/>
  <c r="I56" i="31"/>
  <c r="M55" i="31"/>
  <c r="L55" i="31"/>
  <c r="K55" i="31"/>
  <c r="J55" i="31"/>
  <c r="I55" i="31"/>
  <c r="M54" i="31"/>
  <c r="L54" i="31"/>
  <c r="K54" i="31"/>
  <c r="J54" i="31"/>
  <c r="I54" i="31"/>
  <c r="M53" i="31"/>
  <c r="L53" i="31"/>
  <c r="K53" i="31"/>
  <c r="J53" i="31"/>
  <c r="I53" i="31"/>
  <c r="M52" i="31"/>
  <c r="L52" i="31"/>
  <c r="K52" i="31"/>
  <c r="J52" i="31"/>
  <c r="I52" i="31"/>
  <c r="M51" i="31"/>
  <c r="L51" i="31"/>
  <c r="K51" i="31"/>
  <c r="J51" i="31"/>
  <c r="I51" i="31"/>
  <c r="M50" i="31"/>
  <c r="L50" i="31"/>
  <c r="K50" i="31"/>
  <c r="J50" i="31"/>
  <c r="I50" i="31"/>
  <c r="M49" i="31"/>
  <c r="L49" i="31"/>
  <c r="K49" i="31"/>
  <c r="J49" i="31"/>
  <c r="I49" i="31"/>
  <c r="M48" i="31"/>
  <c r="L48" i="31"/>
  <c r="K48" i="31"/>
  <c r="J48" i="31"/>
  <c r="I48" i="31"/>
  <c r="M47" i="31"/>
  <c r="L47" i="31"/>
  <c r="K47" i="31"/>
  <c r="J47" i="31"/>
  <c r="I47" i="31"/>
  <c r="M46" i="31"/>
  <c r="L46" i="31"/>
  <c r="K46" i="31"/>
  <c r="J46" i="31"/>
  <c r="I46" i="31"/>
  <c r="M45" i="31"/>
  <c r="L45" i="31"/>
  <c r="K45" i="31"/>
  <c r="J45" i="31"/>
  <c r="I45" i="31"/>
  <c r="M44" i="31"/>
  <c r="L44" i="31"/>
  <c r="K44" i="31"/>
  <c r="J44" i="31"/>
  <c r="I44" i="31"/>
  <c r="M43" i="31"/>
  <c r="L43" i="31"/>
  <c r="K43" i="31"/>
  <c r="J43" i="31"/>
  <c r="I43" i="31"/>
  <c r="M42" i="31"/>
  <c r="L42" i="31"/>
  <c r="K42" i="31"/>
  <c r="J42" i="31"/>
  <c r="I42" i="31"/>
  <c r="M41" i="31"/>
  <c r="L41" i="31"/>
  <c r="K41" i="31"/>
  <c r="J41" i="31"/>
  <c r="I41" i="31"/>
  <c r="M40" i="31"/>
  <c r="L40" i="31"/>
  <c r="K40" i="31"/>
  <c r="J40" i="31"/>
  <c r="I40" i="31"/>
  <c r="M39" i="31"/>
  <c r="L39" i="31"/>
  <c r="K39" i="31"/>
  <c r="J39" i="31"/>
  <c r="I39" i="31"/>
  <c r="M38" i="31"/>
  <c r="L38" i="31"/>
  <c r="K38" i="31"/>
  <c r="J38" i="31"/>
  <c r="I38" i="31"/>
  <c r="M37" i="31"/>
  <c r="L37" i="31"/>
  <c r="K37" i="31"/>
  <c r="J37" i="31"/>
  <c r="I37" i="31"/>
  <c r="M36" i="31"/>
  <c r="L36" i="31"/>
  <c r="K36" i="31"/>
  <c r="J36" i="31"/>
  <c r="I36" i="31"/>
  <c r="M35" i="31"/>
  <c r="L35" i="31"/>
  <c r="K35" i="31"/>
  <c r="J35" i="31"/>
  <c r="I35" i="31"/>
  <c r="M34" i="31"/>
  <c r="L34" i="31"/>
  <c r="K34" i="31"/>
  <c r="J34" i="31"/>
  <c r="I34" i="31"/>
  <c r="M33" i="31"/>
  <c r="L33" i="31"/>
  <c r="K33" i="31"/>
  <c r="J33" i="31"/>
  <c r="I33" i="31"/>
  <c r="M32" i="31"/>
  <c r="L32" i="31"/>
  <c r="K32" i="31"/>
  <c r="J32" i="31"/>
  <c r="I32" i="31"/>
  <c r="M31" i="31"/>
  <c r="L31" i="31"/>
  <c r="K31" i="31"/>
  <c r="J31" i="31"/>
  <c r="I31" i="31"/>
  <c r="M30" i="31"/>
  <c r="L30" i="31"/>
  <c r="K30" i="31"/>
  <c r="J30" i="31"/>
  <c r="I30" i="31"/>
  <c r="M29" i="31"/>
  <c r="L29" i="31"/>
  <c r="K29" i="31"/>
  <c r="J29" i="31"/>
  <c r="I29" i="31"/>
  <c r="M28" i="31"/>
  <c r="L28" i="31"/>
  <c r="K28" i="31"/>
  <c r="J28" i="31"/>
  <c r="I28" i="31"/>
  <c r="M27" i="31"/>
  <c r="L27" i="31"/>
  <c r="K27" i="31"/>
  <c r="J27" i="31"/>
  <c r="I27" i="31"/>
  <c r="M26" i="31"/>
  <c r="L26" i="31"/>
  <c r="K26" i="31"/>
  <c r="J26" i="31"/>
  <c r="I26" i="31"/>
  <c r="M25" i="31"/>
  <c r="L25" i="31"/>
  <c r="K25" i="31"/>
  <c r="J25" i="31"/>
  <c r="I25" i="31"/>
  <c r="M24" i="31"/>
  <c r="L24" i="31"/>
  <c r="K24" i="31"/>
  <c r="J24" i="31"/>
  <c r="I24" i="31"/>
  <c r="M23" i="31"/>
  <c r="L23" i="31"/>
  <c r="K23" i="31"/>
  <c r="J23" i="31"/>
  <c r="I23" i="31"/>
  <c r="M22" i="31"/>
  <c r="L22" i="31"/>
  <c r="K22" i="31"/>
  <c r="J22" i="31"/>
  <c r="I22" i="31"/>
  <c r="M21" i="31"/>
  <c r="L21" i="31"/>
  <c r="K21" i="31"/>
  <c r="J21" i="31"/>
  <c r="I21" i="31"/>
  <c r="M20" i="31"/>
  <c r="L20" i="31"/>
  <c r="K20" i="31"/>
  <c r="J20" i="31"/>
  <c r="I20" i="31"/>
  <c r="M19" i="31"/>
  <c r="L19" i="31"/>
  <c r="K19" i="31"/>
  <c r="J19" i="31"/>
  <c r="I19" i="31"/>
  <c r="M18" i="31"/>
  <c r="L18" i="31"/>
  <c r="K18" i="31"/>
  <c r="J18" i="31"/>
  <c r="I18" i="31"/>
  <c r="M17" i="31"/>
  <c r="L17" i="31"/>
  <c r="K17" i="31"/>
  <c r="J17" i="31"/>
  <c r="I17" i="31"/>
  <c r="M16" i="31"/>
  <c r="L16" i="31"/>
  <c r="K16" i="31"/>
  <c r="J16" i="31"/>
  <c r="I16" i="31"/>
  <c r="M15" i="31"/>
  <c r="L15" i="31"/>
  <c r="K15" i="31"/>
  <c r="J15" i="31"/>
  <c r="I15" i="31"/>
  <c r="M14" i="31"/>
  <c r="L14" i="31"/>
  <c r="K14" i="31"/>
  <c r="J14" i="31"/>
  <c r="I14" i="31"/>
  <c r="M13" i="31"/>
  <c r="L13" i="31"/>
  <c r="K13" i="31"/>
  <c r="J13" i="31"/>
  <c r="I13" i="31"/>
  <c r="M12" i="31"/>
  <c r="L12" i="31"/>
  <c r="K12" i="31"/>
  <c r="J12" i="31"/>
  <c r="I12" i="31"/>
  <c r="M11" i="31"/>
  <c r="L11" i="31"/>
  <c r="K11" i="31"/>
  <c r="J11" i="31"/>
  <c r="I11" i="31"/>
  <c r="M10" i="31"/>
  <c r="L10" i="31"/>
  <c r="K10" i="31"/>
  <c r="J10" i="31"/>
  <c r="I10" i="31"/>
  <c r="M9" i="31"/>
  <c r="L9" i="31"/>
  <c r="K9" i="31"/>
  <c r="J9" i="31"/>
  <c r="I9" i="31"/>
  <c r="M8" i="31"/>
  <c r="L8" i="31"/>
  <c r="K8" i="31"/>
  <c r="J8" i="31"/>
  <c r="I8" i="31"/>
  <c r="M7" i="31"/>
  <c r="L7" i="31"/>
  <c r="K7" i="31"/>
  <c r="J7" i="31"/>
  <c r="I7" i="31"/>
  <c r="M6" i="31"/>
  <c r="L6" i="31"/>
  <c r="K6" i="31"/>
  <c r="J6" i="31"/>
  <c r="I6" i="31"/>
  <c r="M5" i="31"/>
  <c r="L5" i="31"/>
  <c r="K5" i="31"/>
  <c r="J5" i="31"/>
  <c r="I5" i="31"/>
  <c r="M4" i="31"/>
  <c r="L4" i="31"/>
  <c r="K4" i="31"/>
  <c r="J4" i="31"/>
  <c r="I4" i="31"/>
  <c r="M3" i="31"/>
  <c r="L3" i="31"/>
  <c r="K3" i="31"/>
  <c r="J3" i="31"/>
  <c r="I3" i="31"/>
  <c r="M71" i="30"/>
  <c r="L71" i="30"/>
  <c r="K71" i="30"/>
  <c r="J71" i="30"/>
  <c r="I71" i="30"/>
  <c r="M70" i="30"/>
  <c r="L70" i="30"/>
  <c r="K70" i="30"/>
  <c r="J70" i="30"/>
  <c r="I70" i="30"/>
  <c r="M69" i="30"/>
  <c r="L69" i="30"/>
  <c r="K69" i="30"/>
  <c r="J69" i="30"/>
  <c r="I69" i="30"/>
  <c r="M68" i="30"/>
  <c r="L68" i="30"/>
  <c r="K68" i="30"/>
  <c r="J68" i="30"/>
  <c r="I68" i="30"/>
  <c r="M67" i="30"/>
  <c r="L67" i="30"/>
  <c r="K67" i="30"/>
  <c r="J67" i="30"/>
  <c r="I67" i="30"/>
  <c r="M66" i="30"/>
  <c r="L66" i="30"/>
  <c r="K66" i="30"/>
  <c r="J66" i="30"/>
  <c r="I66" i="30"/>
  <c r="M65" i="30"/>
  <c r="L65" i="30"/>
  <c r="K65" i="30"/>
  <c r="J65" i="30"/>
  <c r="I65" i="30"/>
  <c r="M64" i="30"/>
  <c r="L64" i="30"/>
  <c r="K64" i="30"/>
  <c r="J64" i="30"/>
  <c r="I64" i="30"/>
  <c r="M63" i="30"/>
  <c r="L63" i="30"/>
  <c r="K63" i="30"/>
  <c r="J63" i="30"/>
  <c r="I63" i="30"/>
  <c r="M62" i="30"/>
  <c r="L62" i="30"/>
  <c r="K62" i="30"/>
  <c r="J62" i="30"/>
  <c r="I62" i="30"/>
  <c r="M61" i="30"/>
  <c r="L61" i="30"/>
  <c r="K61" i="30"/>
  <c r="J61" i="30"/>
  <c r="I61" i="30"/>
  <c r="M60" i="30"/>
  <c r="L60" i="30"/>
  <c r="K60" i="30"/>
  <c r="J60" i="30"/>
  <c r="I60" i="30"/>
  <c r="M59" i="30"/>
  <c r="L59" i="30"/>
  <c r="K59" i="30"/>
  <c r="J59" i="30"/>
  <c r="I59" i="30"/>
  <c r="M58" i="30"/>
  <c r="L58" i="30"/>
  <c r="K58" i="30"/>
  <c r="J58" i="30"/>
  <c r="I58" i="30"/>
  <c r="M57" i="30"/>
  <c r="L57" i="30"/>
  <c r="K57" i="30"/>
  <c r="J57" i="30"/>
  <c r="I57" i="30"/>
  <c r="M56" i="30"/>
  <c r="L56" i="30"/>
  <c r="K56" i="30"/>
  <c r="J56" i="30"/>
  <c r="I56" i="30"/>
  <c r="M55" i="30"/>
  <c r="L55" i="30"/>
  <c r="K55" i="30"/>
  <c r="J55" i="30"/>
  <c r="I55" i="30"/>
  <c r="M54" i="30"/>
  <c r="L54" i="30"/>
  <c r="K54" i="30"/>
  <c r="J54" i="30"/>
  <c r="I54" i="30"/>
  <c r="M53" i="30"/>
  <c r="L53" i="30"/>
  <c r="K53" i="30"/>
  <c r="J53" i="30"/>
  <c r="I53" i="30"/>
  <c r="M52" i="30"/>
  <c r="L52" i="30"/>
  <c r="K52" i="30"/>
  <c r="J52" i="30"/>
  <c r="I52" i="30"/>
  <c r="M51" i="30"/>
  <c r="L51" i="30"/>
  <c r="K51" i="30"/>
  <c r="J51" i="30"/>
  <c r="I51" i="30"/>
  <c r="M50" i="30"/>
  <c r="L50" i="30"/>
  <c r="K50" i="30"/>
  <c r="J50" i="30"/>
  <c r="I50" i="30"/>
  <c r="M49" i="30"/>
  <c r="L49" i="30"/>
  <c r="K49" i="30"/>
  <c r="J49" i="30"/>
  <c r="I49" i="30"/>
  <c r="M48" i="30"/>
  <c r="L48" i="30"/>
  <c r="K48" i="30"/>
  <c r="J48" i="30"/>
  <c r="I48" i="30"/>
  <c r="M47" i="30"/>
  <c r="L47" i="30"/>
  <c r="K47" i="30"/>
  <c r="J47" i="30"/>
  <c r="I47" i="30"/>
  <c r="M46" i="30"/>
  <c r="L46" i="30"/>
  <c r="K46" i="30"/>
  <c r="J46" i="30"/>
  <c r="I46" i="30"/>
  <c r="M45" i="30"/>
  <c r="L45" i="30"/>
  <c r="K45" i="30"/>
  <c r="J45" i="30"/>
  <c r="I45" i="30"/>
  <c r="M44" i="30"/>
  <c r="L44" i="30"/>
  <c r="K44" i="30"/>
  <c r="J44" i="30"/>
  <c r="I44" i="30"/>
  <c r="M43" i="30"/>
  <c r="L43" i="30"/>
  <c r="K43" i="30"/>
  <c r="J43" i="30"/>
  <c r="I43" i="30"/>
  <c r="M42" i="30"/>
  <c r="L42" i="30"/>
  <c r="K42" i="30"/>
  <c r="J42" i="30"/>
  <c r="I42" i="30"/>
  <c r="M41" i="30"/>
  <c r="L41" i="30"/>
  <c r="K41" i="30"/>
  <c r="J41" i="30"/>
  <c r="I41" i="30"/>
  <c r="M40" i="30"/>
  <c r="L40" i="30"/>
  <c r="K40" i="30"/>
  <c r="J40" i="30"/>
  <c r="I40" i="30"/>
  <c r="M39" i="30"/>
  <c r="L39" i="30"/>
  <c r="K39" i="30"/>
  <c r="J39" i="30"/>
  <c r="I39" i="30"/>
  <c r="M38" i="30"/>
  <c r="L38" i="30"/>
  <c r="K38" i="30"/>
  <c r="J38" i="30"/>
  <c r="I38" i="30"/>
  <c r="M37" i="30"/>
  <c r="L37" i="30"/>
  <c r="K37" i="30"/>
  <c r="J37" i="30"/>
  <c r="I37" i="30"/>
  <c r="M36" i="30"/>
  <c r="L36" i="30"/>
  <c r="K36" i="30"/>
  <c r="J36" i="30"/>
  <c r="I36" i="30"/>
  <c r="M35" i="30"/>
  <c r="L35" i="30"/>
  <c r="K35" i="30"/>
  <c r="J35" i="30"/>
  <c r="I35" i="30"/>
  <c r="M34" i="30"/>
  <c r="L34" i="30"/>
  <c r="K34" i="30"/>
  <c r="J34" i="30"/>
  <c r="I34" i="30"/>
  <c r="M33" i="30"/>
  <c r="L33" i="30"/>
  <c r="K33" i="30"/>
  <c r="J33" i="30"/>
  <c r="I33" i="30"/>
  <c r="M32" i="30"/>
  <c r="L32" i="30"/>
  <c r="K32" i="30"/>
  <c r="J32" i="30"/>
  <c r="I32" i="30"/>
  <c r="M31" i="30"/>
  <c r="L31" i="30"/>
  <c r="K31" i="30"/>
  <c r="J31" i="30"/>
  <c r="I31" i="30"/>
  <c r="M30" i="30"/>
  <c r="L30" i="30"/>
  <c r="K30" i="30"/>
  <c r="J30" i="30"/>
  <c r="I30" i="30"/>
  <c r="M29" i="30"/>
  <c r="L29" i="30"/>
  <c r="K29" i="30"/>
  <c r="J29" i="30"/>
  <c r="I29" i="30"/>
  <c r="M28" i="30"/>
  <c r="L28" i="30"/>
  <c r="K28" i="30"/>
  <c r="J28" i="30"/>
  <c r="I28" i="30"/>
  <c r="M27" i="30"/>
  <c r="L27" i="30"/>
  <c r="K27" i="30"/>
  <c r="J27" i="30"/>
  <c r="I27" i="30"/>
  <c r="M26" i="30"/>
  <c r="L26" i="30"/>
  <c r="K26" i="30"/>
  <c r="J26" i="30"/>
  <c r="I26" i="30"/>
  <c r="M25" i="30"/>
  <c r="L25" i="30"/>
  <c r="K25" i="30"/>
  <c r="J25" i="30"/>
  <c r="I25" i="30"/>
  <c r="M24" i="30"/>
  <c r="L24" i="30"/>
  <c r="K24" i="30"/>
  <c r="J24" i="30"/>
  <c r="I24" i="30"/>
  <c r="M23" i="30"/>
  <c r="L23" i="30"/>
  <c r="K23" i="30"/>
  <c r="J23" i="30"/>
  <c r="I23" i="30"/>
  <c r="M22" i="30"/>
  <c r="L22" i="30"/>
  <c r="K22" i="30"/>
  <c r="J22" i="30"/>
  <c r="I22" i="30"/>
  <c r="M21" i="30"/>
  <c r="L21" i="30"/>
  <c r="K21" i="30"/>
  <c r="J21" i="30"/>
  <c r="I21" i="30"/>
  <c r="M20" i="30"/>
  <c r="L20" i="30"/>
  <c r="K20" i="30"/>
  <c r="J20" i="30"/>
  <c r="I20" i="30"/>
  <c r="M19" i="30"/>
  <c r="L19" i="30"/>
  <c r="K19" i="30"/>
  <c r="J19" i="30"/>
  <c r="I19" i="30"/>
  <c r="M18" i="30"/>
  <c r="L18" i="30"/>
  <c r="K18" i="30"/>
  <c r="J18" i="30"/>
  <c r="I18" i="30"/>
  <c r="M17" i="30"/>
  <c r="L17" i="30"/>
  <c r="K17" i="30"/>
  <c r="J17" i="30"/>
  <c r="I17" i="30"/>
  <c r="M16" i="30"/>
  <c r="L16" i="30"/>
  <c r="K16" i="30"/>
  <c r="J16" i="30"/>
  <c r="I16" i="30"/>
  <c r="M15" i="30"/>
  <c r="L15" i="30"/>
  <c r="K15" i="30"/>
  <c r="J15" i="30"/>
  <c r="I15" i="30"/>
  <c r="M14" i="30"/>
  <c r="L14" i="30"/>
  <c r="K14" i="30"/>
  <c r="J14" i="30"/>
  <c r="I14" i="30"/>
  <c r="M13" i="30"/>
  <c r="L13" i="30"/>
  <c r="K13" i="30"/>
  <c r="J13" i="30"/>
  <c r="I13" i="30"/>
  <c r="M12" i="30"/>
  <c r="L12" i="30"/>
  <c r="K12" i="30"/>
  <c r="J12" i="30"/>
  <c r="I12" i="30"/>
  <c r="M11" i="30"/>
  <c r="L11" i="30"/>
  <c r="K11" i="30"/>
  <c r="J11" i="30"/>
  <c r="I11" i="30"/>
  <c r="M10" i="30"/>
  <c r="L10" i="30"/>
  <c r="K10" i="30"/>
  <c r="J10" i="30"/>
  <c r="I10" i="30"/>
  <c r="M9" i="30"/>
  <c r="L9" i="30"/>
  <c r="K9" i="30"/>
  <c r="J9" i="30"/>
  <c r="I9" i="30"/>
  <c r="M8" i="30"/>
  <c r="L8" i="30"/>
  <c r="K8" i="30"/>
  <c r="J8" i="30"/>
  <c r="I8" i="30"/>
  <c r="M7" i="30"/>
  <c r="L7" i="30"/>
  <c r="K7" i="30"/>
  <c r="J7" i="30"/>
  <c r="I7" i="30"/>
  <c r="M6" i="30"/>
  <c r="L6" i="30"/>
  <c r="K6" i="30"/>
  <c r="J6" i="30"/>
  <c r="I6" i="30"/>
  <c r="M5" i="30"/>
  <c r="L5" i="30"/>
  <c r="K5" i="30"/>
  <c r="J5" i="30"/>
  <c r="I5" i="30"/>
  <c r="M4" i="30"/>
  <c r="L4" i="30"/>
  <c r="K4" i="30"/>
  <c r="J4" i="30"/>
  <c r="I4" i="30"/>
  <c r="M3" i="30"/>
  <c r="L3" i="30"/>
  <c r="K3" i="30"/>
  <c r="J3" i="30"/>
  <c r="I3" i="30"/>
  <c r="M71" i="29"/>
  <c r="L71" i="29"/>
  <c r="K71" i="29"/>
  <c r="J71" i="29"/>
  <c r="I71" i="29"/>
  <c r="M70" i="29"/>
  <c r="L70" i="29"/>
  <c r="K70" i="29"/>
  <c r="J70" i="29"/>
  <c r="I70" i="29"/>
  <c r="M69" i="29"/>
  <c r="L69" i="29"/>
  <c r="K69" i="29"/>
  <c r="J69" i="29"/>
  <c r="I69" i="29"/>
  <c r="M68" i="29"/>
  <c r="L68" i="29"/>
  <c r="K68" i="29"/>
  <c r="J68" i="29"/>
  <c r="I68" i="29"/>
  <c r="M67" i="29"/>
  <c r="L67" i="29"/>
  <c r="K67" i="29"/>
  <c r="J67" i="29"/>
  <c r="I67" i="29"/>
  <c r="M66" i="29"/>
  <c r="L66" i="29"/>
  <c r="K66" i="29"/>
  <c r="J66" i="29"/>
  <c r="I66" i="29"/>
  <c r="M65" i="29"/>
  <c r="L65" i="29"/>
  <c r="K65" i="29"/>
  <c r="J65" i="29"/>
  <c r="I65" i="29"/>
  <c r="M64" i="29"/>
  <c r="L64" i="29"/>
  <c r="K64" i="29"/>
  <c r="J64" i="29"/>
  <c r="I64" i="29"/>
  <c r="M63" i="29"/>
  <c r="L63" i="29"/>
  <c r="K63" i="29"/>
  <c r="J63" i="29"/>
  <c r="I63" i="29"/>
  <c r="M62" i="29"/>
  <c r="L62" i="29"/>
  <c r="K62" i="29"/>
  <c r="J62" i="29"/>
  <c r="I62" i="29"/>
  <c r="M61" i="29"/>
  <c r="L61" i="29"/>
  <c r="K61" i="29"/>
  <c r="J61" i="29"/>
  <c r="I61" i="29"/>
  <c r="M60" i="29"/>
  <c r="L60" i="29"/>
  <c r="K60" i="29"/>
  <c r="J60" i="29"/>
  <c r="I60" i="29"/>
  <c r="M59" i="29"/>
  <c r="L59" i="29"/>
  <c r="K59" i="29"/>
  <c r="J59" i="29"/>
  <c r="I59" i="29"/>
  <c r="M58" i="29"/>
  <c r="L58" i="29"/>
  <c r="K58" i="29"/>
  <c r="J58" i="29"/>
  <c r="I58" i="29"/>
  <c r="M57" i="29"/>
  <c r="L57" i="29"/>
  <c r="K57" i="29"/>
  <c r="J57" i="29"/>
  <c r="I57" i="29"/>
  <c r="M56" i="29"/>
  <c r="L56" i="29"/>
  <c r="K56" i="29"/>
  <c r="J56" i="29"/>
  <c r="I56" i="29"/>
  <c r="M55" i="29"/>
  <c r="L55" i="29"/>
  <c r="K55" i="29"/>
  <c r="J55" i="29"/>
  <c r="I55" i="29"/>
  <c r="M54" i="29"/>
  <c r="L54" i="29"/>
  <c r="K54" i="29"/>
  <c r="J54" i="29"/>
  <c r="I54" i="29"/>
  <c r="M53" i="29"/>
  <c r="L53" i="29"/>
  <c r="K53" i="29"/>
  <c r="J53" i="29"/>
  <c r="I53" i="29"/>
  <c r="M52" i="29"/>
  <c r="L52" i="29"/>
  <c r="K52" i="29"/>
  <c r="J52" i="29"/>
  <c r="I52" i="29"/>
  <c r="M51" i="29"/>
  <c r="L51" i="29"/>
  <c r="K51" i="29"/>
  <c r="J51" i="29"/>
  <c r="I51" i="29"/>
  <c r="M50" i="29"/>
  <c r="L50" i="29"/>
  <c r="K50" i="29"/>
  <c r="J50" i="29"/>
  <c r="I50" i="29"/>
  <c r="M49" i="29"/>
  <c r="L49" i="29"/>
  <c r="K49" i="29"/>
  <c r="J49" i="29"/>
  <c r="I49" i="29"/>
  <c r="M48" i="29"/>
  <c r="L48" i="29"/>
  <c r="K48" i="29"/>
  <c r="J48" i="29"/>
  <c r="I48" i="29"/>
  <c r="M47" i="29"/>
  <c r="L47" i="29"/>
  <c r="K47" i="29"/>
  <c r="J47" i="29"/>
  <c r="I47" i="29"/>
  <c r="M46" i="29"/>
  <c r="L46" i="29"/>
  <c r="K46" i="29"/>
  <c r="J46" i="29"/>
  <c r="I46" i="29"/>
  <c r="M45" i="29"/>
  <c r="L45" i="29"/>
  <c r="K45" i="29"/>
  <c r="J45" i="29"/>
  <c r="I45" i="29"/>
  <c r="M44" i="29"/>
  <c r="L44" i="29"/>
  <c r="K44" i="29"/>
  <c r="J44" i="29"/>
  <c r="I44" i="29"/>
  <c r="M43" i="29"/>
  <c r="L43" i="29"/>
  <c r="K43" i="29"/>
  <c r="J43" i="29"/>
  <c r="I43" i="29"/>
  <c r="M42" i="29"/>
  <c r="L42" i="29"/>
  <c r="K42" i="29"/>
  <c r="J42" i="29"/>
  <c r="I42" i="29"/>
  <c r="M41" i="29"/>
  <c r="L41" i="29"/>
  <c r="K41" i="29"/>
  <c r="J41" i="29"/>
  <c r="I41" i="29"/>
  <c r="M40" i="29"/>
  <c r="L40" i="29"/>
  <c r="K40" i="29"/>
  <c r="J40" i="29"/>
  <c r="I40" i="29"/>
  <c r="M39" i="29"/>
  <c r="L39" i="29"/>
  <c r="K39" i="29"/>
  <c r="J39" i="29"/>
  <c r="I39" i="29"/>
  <c r="M38" i="29"/>
  <c r="L38" i="29"/>
  <c r="K38" i="29"/>
  <c r="J38" i="29"/>
  <c r="I38" i="29"/>
  <c r="M37" i="29"/>
  <c r="L37" i="29"/>
  <c r="K37" i="29"/>
  <c r="J37" i="29"/>
  <c r="I37" i="29"/>
  <c r="M36" i="29"/>
  <c r="L36" i="29"/>
  <c r="K36" i="29"/>
  <c r="J36" i="29"/>
  <c r="I36" i="29"/>
  <c r="M35" i="29"/>
  <c r="L35" i="29"/>
  <c r="K35" i="29"/>
  <c r="J35" i="29"/>
  <c r="I35" i="29"/>
  <c r="M34" i="29"/>
  <c r="L34" i="29"/>
  <c r="K34" i="29"/>
  <c r="J34" i="29"/>
  <c r="I34" i="29"/>
  <c r="M33" i="29"/>
  <c r="L33" i="29"/>
  <c r="K33" i="29"/>
  <c r="J33" i="29"/>
  <c r="I33" i="29"/>
  <c r="M32" i="29"/>
  <c r="L32" i="29"/>
  <c r="K32" i="29"/>
  <c r="J32" i="29"/>
  <c r="I32" i="29"/>
  <c r="M31" i="29"/>
  <c r="L31" i="29"/>
  <c r="K31" i="29"/>
  <c r="J31" i="29"/>
  <c r="I31" i="29"/>
  <c r="M30" i="29"/>
  <c r="L30" i="29"/>
  <c r="K30" i="29"/>
  <c r="J30" i="29"/>
  <c r="I30" i="29"/>
  <c r="M29" i="29"/>
  <c r="L29" i="29"/>
  <c r="K29" i="29"/>
  <c r="J29" i="29"/>
  <c r="I29" i="29"/>
  <c r="M28" i="29"/>
  <c r="L28" i="29"/>
  <c r="K28" i="29"/>
  <c r="J28" i="29"/>
  <c r="I28" i="29"/>
  <c r="M27" i="29"/>
  <c r="L27" i="29"/>
  <c r="K27" i="29"/>
  <c r="J27" i="29"/>
  <c r="I27" i="29"/>
  <c r="M26" i="29"/>
  <c r="L26" i="29"/>
  <c r="K26" i="29"/>
  <c r="J26" i="29"/>
  <c r="I26" i="29"/>
  <c r="M25" i="29"/>
  <c r="L25" i="29"/>
  <c r="K25" i="29"/>
  <c r="J25" i="29"/>
  <c r="I25" i="29"/>
  <c r="M24" i="29"/>
  <c r="L24" i="29"/>
  <c r="K24" i="29"/>
  <c r="J24" i="29"/>
  <c r="I24" i="29"/>
  <c r="M23" i="29"/>
  <c r="L23" i="29"/>
  <c r="K23" i="29"/>
  <c r="J23" i="29"/>
  <c r="I23" i="29"/>
  <c r="M22" i="29"/>
  <c r="L22" i="29"/>
  <c r="K22" i="29"/>
  <c r="J22" i="29"/>
  <c r="I22" i="29"/>
  <c r="M21" i="29"/>
  <c r="L21" i="29"/>
  <c r="K21" i="29"/>
  <c r="J21" i="29"/>
  <c r="I21" i="29"/>
  <c r="M20" i="29"/>
  <c r="L20" i="29"/>
  <c r="K20" i="29"/>
  <c r="J20" i="29"/>
  <c r="I20" i="29"/>
  <c r="M19" i="29"/>
  <c r="L19" i="29"/>
  <c r="K19" i="29"/>
  <c r="J19" i="29"/>
  <c r="I19" i="29"/>
  <c r="M18" i="29"/>
  <c r="L18" i="29"/>
  <c r="K18" i="29"/>
  <c r="J18" i="29"/>
  <c r="I18" i="29"/>
  <c r="M17" i="29"/>
  <c r="L17" i="29"/>
  <c r="K17" i="29"/>
  <c r="J17" i="29"/>
  <c r="I17" i="29"/>
  <c r="M16" i="29"/>
  <c r="L16" i="29"/>
  <c r="K16" i="29"/>
  <c r="J16" i="29"/>
  <c r="I16" i="29"/>
  <c r="M15" i="29"/>
  <c r="L15" i="29"/>
  <c r="K15" i="29"/>
  <c r="J15" i="29"/>
  <c r="I15" i="29"/>
  <c r="M14" i="29"/>
  <c r="L14" i="29"/>
  <c r="K14" i="29"/>
  <c r="J14" i="29"/>
  <c r="I14" i="29"/>
  <c r="M13" i="29"/>
  <c r="L13" i="29"/>
  <c r="K13" i="29"/>
  <c r="J13" i="29"/>
  <c r="I13" i="29"/>
  <c r="M12" i="29"/>
  <c r="L12" i="29"/>
  <c r="K12" i="29"/>
  <c r="J12" i="29"/>
  <c r="I12" i="29"/>
  <c r="M11" i="29"/>
  <c r="L11" i="29"/>
  <c r="K11" i="29"/>
  <c r="J11" i="29"/>
  <c r="I11" i="29"/>
  <c r="M10" i="29"/>
  <c r="L10" i="29"/>
  <c r="K10" i="29"/>
  <c r="J10" i="29"/>
  <c r="I10" i="29"/>
  <c r="M9" i="29"/>
  <c r="L9" i="29"/>
  <c r="K9" i="29"/>
  <c r="J9" i="29"/>
  <c r="I9" i="29"/>
  <c r="M8" i="29"/>
  <c r="L8" i="29"/>
  <c r="K8" i="29"/>
  <c r="J8" i="29"/>
  <c r="I8" i="29"/>
  <c r="M7" i="29"/>
  <c r="L7" i="29"/>
  <c r="K7" i="29"/>
  <c r="J7" i="29"/>
  <c r="I7" i="29"/>
  <c r="M6" i="29"/>
  <c r="L6" i="29"/>
  <c r="K6" i="29"/>
  <c r="J6" i="29"/>
  <c r="I6" i="29"/>
  <c r="M5" i="29"/>
  <c r="L5" i="29"/>
  <c r="K5" i="29"/>
  <c r="J5" i="29"/>
  <c r="I5" i="29"/>
  <c r="M4" i="29"/>
  <c r="L4" i="29"/>
  <c r="K4" i="29"/>
  <c r="J4" i="29"/>
  <c r="I4" i="29"/>
  <c r="M3" i="29"/>
  <c r="L3" i="29"/>
  <c r="K3" i="29"/>
  <c r="J3" i="29"/>
  <c r="I3" i="29"/>
  <c r="M71" i="28"/>
  <c r="L71" i="28"/>
  <c r="K71" i="28"/>
  <c r="J71" i="28"/>
  <c r="I71" i="28"/>
  <c r="M70" i="28"/>
  <c r="L70" i="28"/>
  <c r="K70" i="28"/>
  <c r="J70" i="28"/>
  <c r="I70" i="28"/>
  <c r="M69" i="28"/>
  <c r="L69" i="28"/>
  <c r="K69" i="28"/>
  <c r="J69" i="28"/>
  <c r="I69" i="28"/>
  <c r="M68" i="28"/>
  <c r="L68" i="28"/>
  <c r="K68" i="28"/>
  <c r="J68" i="28"/>
  <c r="I68" i="28"/>
  <c r="M67" i="28"/>
  <c r="L67" i="28"/>
  <c r="K67" i="28"/>
  <c r="J67" i="28"/>
  <c r="I67" i="28"/>
  <c r="M66" i="28"/>
  <c r="L66" i="28"/>
  <c r="K66" i="28"/>
  <c r="J66" i="28"/>
  <c r="I66" i="28"/>
  <c r="M65" i="28"/>
  <c r="L65" i="28"/>
  <c r="K65" i="28"/>
  <c r="J65" i="28"/>
  <c r="I65" i="28"/>
  <c r="M64" i="28"/>
  <c r="L64" i="28"/>
  <c r="K64" i="28"/>
  <c r="J64" i="28"/>
  <c r="I64" i="28"/>
  <c r="M63" i="28"/>
  <c r="L63" i="28"/>
  <c r="K63" i="28"/>
  <c r="J63" i="28"/>
  <c r="I63" i="28"/>
  <c r="M62" i="28"/>
  <c r="L62" i="28"/>
  <c r="K62" i="28"/>
  <c r="J62" i="28"/>
  <c r="I62" i="28"/>
  <c r="M61" i="28"/>
  <c r="L61" i="28"/>
  <c r="K61" i="28"/>
  <c r="J61" i="28"/>
  <c r="I61" i="28"/>
  <c r="M60" i="28"/>
  <c r="L60" i="28"/>
  <c r="K60" i="28"/>
  <c r="J60" i="28"/>
  <c r="I60" i="28"/>
  <c r="M59" i="28"/>
  <c r="L59" i="28"/>
  <c r="K59" i="28"/>
  <c r="J59" i="28"/>
  <c r="I59" i="28"/>
  <c r="M58" i="28"/>
  <c r="L58" i="28"/>
  <c r="K58" i="28"/>
  <c r="J58" i="28"/>
  <c r="I58" i="28"/>
  <c r="M57" i="28"/>
  <c r="L57" i="28"/>
  <c r="K57" i="28"/>
  <c r="J57" i="28"/>
  <c r="I57" i="28"/>
  <c r="M56" i="28"/>
  <c r="L56" i="28"/>
  <c r="K56" i="28"/>
  <c r="J56" i="28"/>
  <c r="I56" i="28"/>
  <c r="M55" i="28"/>
  <c r="L55" i="28"/>
  <c r="K55" i="28"/>
  <c r="J55" i="28"/>
  <c r="I55" i="28"/>
  <c r="M54" i="28"/>
  <c r="L54" i="28"/>
  <c r="K54" i="28"/>
  <c r="J54" i="28"/>
  <c r="I54" i="28"/>
  <c r="M53" i="28"/>
  <c r="L53" i="28"/>
  <c r="K53" i="28"/>
  <c r="J53" i="28"/>
  <c r="I53" i="28"/>
  <c r="M52" i="28"/>
  <c r="L52" i="28"/>
  <c r="K52" i="28"/>
  <c r="J52" i="28"/>
  <c r="I52" i="28"/>
  <c r="M51" i="28"/>
  <c r="L51" i="28"/>
  <c r="K51" i="28"/>
  <c r="J51" i="28"/>
  <c r="I51" i="28"/>
  <c r="M50" i="28"/>
  <c r="L50" i="28"/>
  <c r="K50" i="28"/>
  <c r="J50" i="28"/>
  <c r="I50" i="28"/>
  <c r="M49" i="28"/>
  <c r="L49" i="28"/>
  <c r="K49" i="28"/>
  <c r="J49" i="28"/>
  <c r="I49" i="28"/>
  <c r="M48" i="28"/>
  <c r="L48" i="28"/>
  <c r="K48" i="28"/>
  <c r="J48" i="28"/>
  <c r="I48" i="28"/>
  <c r="M47" i="28"/>
  <c r="L47" i="28"/>
  <c r="K47" i="28"/>
  <c r="J47" i="28"/>
  <c r="I47" i="28"/>
  <c r="M46" i="28"/>
  <c r="L46" i="28"/>
  <c r="K46" i="28"/>
  <c r="J46" i="28"/>
  <c r="I46" i="28"/>
  <c r="M45" i="28"/>
  <c r="L45" i="28"/>
  <c r="K45" i="28"/>
  <c r="J45" i="28"/>
  <c r="I45" i="28"/>
  <c r="M44" i="28"/>
  <c r="L44" i="28"/>
  <c r="K44" i="28"/>
  <c r="J44" i="28"/>
  <c r="I44" i="28"/>
  <c r="M43" i="28"/>
  <c r="L43" i="28"/>
  <c r="K43" i="28"/>
  <c r="J43" i="28"/>
  <c r="I43" i="28"/>
  <c r="M42" i="28"/>
  <c r="L42" i="28"/>
  <c r="K42" i="28"/>
  <c r="J42" i="28"/>
  <c r="I42" i="28"/>
  <c r="M41" i="28"/>
  <c r="L41" i="28"/>
  <c r="K41" i="28"/>
  <c r="J41" i="28"/>
  <c r="I41" i="28"/>
  <c r="M40" i="28"/>
  <c r="L40" i="28"/>
  <c r="K40" i="28"/>
  <c r="J40" i="28"/>
  <c r="I40" i="28"/>
  <c r="M39" i="28"/>
  <c r="L39" i="28"/>
  <c r="K39" i="28"/>
  <c r="J39" i="28"/>
  <c r="I39" i="28"/>
  <c r="M38" i="28"/>
  <c r="L38" i="28"/>
  <c r="K38" i="28"/>
  <c r="J38" i="28"/>
  <c r="I38" i="28"/>
  <c r="M37" i="28"/>
  <c r="L37" i="28"/>
  <c r="K37" i="28"/>
  <c r="J37" i="28"/>
  <c r="I37" i="28"/>
  <c r="M36" i="28"/>
  <c r="L36" i="28"/>
  <c r="K36" i="28"/>
  <c r="J36" i="28"/>
  <c r="I36" i="28"/>
  <c r="M35" i="28"/>
  <c r="L35" i="28"/>
  <c r="K35" i="28"/>
  <c r="J35" i="28"/>
  <c r="I35" i="28"/>
  <c r="M34" i="28"/>
  <c r="L34" i="28"/>
  <c r="K34" i="28"/>
  <c r="J34" i="28"/>
  <c r="I34" i="28"/>
  <c r="M33" i="28"/>
  <c r="L33" i="28"/>
  <c r="K33" i="28"/>
  <c r="J33" i="28"/>
  <c r="I33" i="28"/>
  <c r="M32" i="28"/>
  <c r="L32" i="28"/>
  <c r="K32" i="28"/>
  <c r="J32" i="28"/>
  <c r="I32" i="28"/>
  <c r="M31" i="28"/>
  <c r="L31" i="28"/>
  <c r="K31" i="28"/>
  <c r="J31" i="28"/>
  <c r="I31" i="28"/>
  <c r="M30" i="28"/>
  <c r="L30" i="28"/>
  <c r="K30" i="28"/>
  <c r="J30" i="28"/>
  <c r="I30" i="28"/>
  <c r="M29" i="28"/>
  <c r="L29" i="28"/>
  <c r="K29" i="28"/>
  <c r="J29" i="28"/>
  <c r="I29" i="28"/>
  <c r="M28" i="28"/>
  <c r="L28" i="28"/>
  <c r="K28" i="28"/>
  <c r="J28" i="28"/>
  <c r="I28" i="28"/>
  <c r="M27" i="28"/>
  <c r="L27" i="28"/>
  <c r="K27" i="28"/>
  <c r="J27" i="28"/>
  <c r="I27" i="28"/>
  <c r="M26" i="28"/>
  <c r="L26" i="28"/>
  <c r="K26" i="28"/>
  <c r="J26" i="28"/>
  <c r="I26" i="28"/>
  <c r="M25" i="28"/>
  <c r="L25" i="28"/>
  <c r="K25" i="28"/>
  <c r="J25" i="28"/>
  <c r="I25" i="28"/>
  <c r="M24" i="28"/>
  <c r="L24" i="28"/>
  <c r="K24" i="28"/>
  <c r="J24" i="28"/>
  <c r="I24" i="28"/>
  <c r="M23" i="28"/>
  <c r="L23" i="28"/>
  <c r="K23" i="28"/>
  <c r="J23" i="28"/>
  <c r="I23" i="28"/>
  <c r="M22" i="28"/>
  <c r="L22" i="28"/>
  <c r="K22" i="28"/>
  <c r="J22" i="28"/>
  <c r="I22" i="28"/>
  <c r="M21" i="28"/>
  <c r="L21" i="28"/>
  <c r="K21" i="28"/>
  <c r="J21" i="28"/>
  <c r="I21" i="28"/>
  <c r="M20" i="28"/>
  <c r="L20" i="28"/>
  <c r="K20" i="28"/>
  <c r="J20" i="28"/>
  <c r="I20" i="28"/>
  <c r="M19" i="28"/>
  <c r="L19" i="28"/>
  <c r="K19" i="28"/>
  <c r="J19" i="28"/>
  <c r="I19" i="28"/>
  <c r="M18" i="28"/>
  <c r="L18" i="28"/>
  <c r="K18" i="28"/>
  <c r="J18" i="28"/>
  <c r="I18" i="28"/>
  <c r="M17" i="28"/>
  <c r="L17" i="28"/>
  <c r="K17" i="28"/>
  <c r="J17" i="28"/>
  <c r="I17" i="28"/>
  <c r="M16" i="28"/>
  <c r="L16" i="28"/>
  <c r="K16" i="28"/>
  <c r="J16" i="28"/>
  <c r="I16" i="28"/>
  <c r="M15" i="28"/>
  <c r="L15" i="28"/>
  <c r="K15" i="28"/>
  <c r="J15" i="28"/>
  <c r="I15" i="28"/>
  <c r="M14" i="28"/>
  <c r="L14" i="28"/>
  <c r="K14" i="28"/>
  <c r="J14" i="28"/>
  <c r="I14" i="28"/>
  <c r="M13" i="28"/>
  <c r="L13" i="28"/>
  <c r="K13" i="28"/>
  <c r="J13" i="28"/>
  <c r="I13" i="28"/>
  <c r="M12" i="28"/>
  <c r="L12" i="28"/>
  <c r="K12" i="28"/>
  <c r="J12" i="28"/>
  <c r="I12" i="28"/>
  <c r="M11" i="28"/>
  <c r="L11" i="28"/>
  <c r="K11" i="28"/>
  <c r="J11" i="28"/>
  <c r="I11" i="28"/>
  <c r="M10" i="28"/>
  <c r="L10" i="28"/>
  <c r="K10" i="28"/>
  <c r="J10" i="28"/>
  <c r="I10" i="28"/>
  <c r="M9" i="28"/>
  <c r="L9" i="28"/>
  <c r="K9" i="28"/>
  <c r="J9" i="28"/>
  <c r="I9" i="28"/>
  <c r="M8" i="28"/>
  <c r="L8" i="28"/>
  <c r="K8" i="28"/>
  <c r="J8" i="28"/>
  <c r="I8" i="28"/>
  <c r="M7" i="28"/>
  <c r="L7" i="28"/>
  <c r="K7" i="28"/>
  <c r="J7" i="28"/>
  <c r="I7" i="28"/>
  <c r="M6" i="28"/>
  <c r="L6" i="28"/>
  <c r="K6" i="28"/>
  <c r="J6" i="28"/>
  <c r="I6" i="28"/>
  <c r="M5" i="28"/>
  <c r="L5" i="28"/>
  <c r="K5" i="28"/>
  <c r="J5" i="28"/>
  <c r="I5" i="28"/>
  <c r="M4" i="28"/>
  <c r="L4" i="28"/>
  <c r="K4" i="28"/>
  <c r="J4" i="28"/>
  <c r="I4" i="28"/>
  <c r="M3" i="28"/>
  <c r="L3" i="28"/>
  <c r="K3" i="28"/>
  <c r="J3" i="28"/>
  <c r="I3" i="28"/>
  <c r="M71" i="27"/>
  <c r="L71" i="27"/>
  <c r="K71" i="27"/>
  <c r="J71" i="27"/>
  <c r="I71" i="27"/>
  <c r="M70" i="27"/>
  <c r="L70" i="27"/>
  <c r="K70" i="27"/>
  <c r="J70" i="27"/>
  <c r="I70" i="27"/>
  <c r="M69" i="27"/>
  <c r="L69" i="27"/>
  <c r="K69" i="27"/>
  <c r="J69" i="27"/>
  <c r="I69" i="27"/>
  <c r="M68" i="27"/>
  <c r="L68" i="27"/>
  <c r="K68" i="27"/>
  <c r="J68" i="27"/>
  <c r="I68" i="27"/>
  <c r="M67" i="27"/>
  <c r="L67" i="27"/>
  <c r="K67" i="27"/>
  <c r="J67" i="27"/>
  <c r="I67" i="27"/>
  <c r="M66" i="27"/>
  <c r="L66" i="27"/>
  <c r="K66" i="27"/>
  <c r="J66" i="27"/>
  <c r="I66" i="27"/>
  <c r="M65" i="27"/>
  <c r="L65" i="27"/>
  <c r="K65" i="27"/>
  <c r="J65" i="27"/>
  <c r="I65" i="27"/>
  <c r="M64" i="27"/>
  <c r="L64" i="27"/>
  <c r="K64" i="27"/>
  <c r="J64" i="27"/>
  <c r="I64" i="27"/>
  <c r="M63" i="27"/>
  <c r="L63" i="27"/>
  <c r="K63" i="27"/>
  <c r="J63" i="27"/>
  <c r="I63" i="27"/>
  <c r="M62" i="27"/>
  <c r="L62" i="27"/>
  <c r="K62" i="27"/>
  <c r="J62" i="27"/>
  <c r="I62" i="27"/>
  <c r="M61" i="27"/>
  <c r="L61" i="27"/>
  <c r="K61" i="27"/>
  <c r="J61" i="27"/>
  <c r="I61" i="27"/>
  <c r="M60" i="27"/>
  <c r="L60" i="27"/>
  <c r="K60" i="27"/>
  <c r="J60" i="27"/>
  <c r="I60" i="27"/>
  <c r="M59" i="27"/>
  <c r="L59" i="27"/>
  <c r="K59" i="27"/>
  <c r="J59" i="27"/>
  <c r="I59" i="27"/>
  <c r="M58" i="27"/>
  <c r="L58" i="27"/>
  <c r="K58" i="27"/>
  <c r="J58" i="27"/>
  <c r="I58" i="27"/>
  <c r="M57" i="27"/>
  <c r="L57" i="27"/>
  <c r="K57" i="27"/>
  <c r="J57" i="27"/>
  <c r="I57" i="27"/>
  <c r="M56" i="27"/>
  <c r="L56" i="27"/>
  <c r="K56" i="27"/>
  <c r="J56" i="27"/>
  <c r="I56" i="27"/>
  <c r="M55" i="27"/>
  <c r="L55" i="27"/>
  <c r="K55" i="27"/>
  <c r="J55" i="27"/>
  <c r="I55" i="27"/>
  <c r="M54" i="27"/>
  <c r="L54" i="27"/>
  <c r="K54" i="27"/>
  <c r="J54" i="27"/>
  <c r="I54" i="27"/>
  <c r="M53" i="27"/>
  <c r="L53" i="27"/>
  <c r="K53" i="27"/>
  <c r="J53" i="27"/>
  <c r="I53" i="27"/>
  <c r="M52" i="27"/>
  <c r="L52" i="27"/>
  <c r="K52" i="27"/>
  <c r="J52" i="27"/>
  <c r="I52" i="27"/>
  <c r="M51" i="27"/>
  <c r="L51" i="27"/>
  <c r="K51" i="27"/>
  <c r="J51" i="27"/>
  <c r="I51" i="27"/>
  <c r="M50" i="27"/>
  <c r="L50" i="27"/>
  <c r="K50" i="27"/>
  <c r="J50" i="27"/>
  <c r="I50" i="27"/>
  <c r="M49" i="27"/>
  <c r="L49" i="27"/>
  <c r="K49" i="27"/>
  <c r="J49" i="27"/>
  <c r="I49" i="27"/>
  <c r="M48" i="27"/>
  <c r="L48" i="27"/>
  <c r="K48" i="27"/>
  <c r="J48" i="27"/>
  <c r="I48" i="27"/>
  <c r="M47" i="27"/>
  <c r="L47" i="27"/>
  <c r="K47" i="27"/>
  <c r="J47" i="27"/>
  <c r="I47" i="27"/>
  <c r="M46" i="27"/>
  <c r="L46" i="27"/>
  <c r="K46" i="27"/>
  <c r="J46" i="27"/>
  <c r="I46" i="27"/>
  <c r="M45" i="27"/>
  <c r="L45" i="27"/>
  <c r="K45" i="27"/>
  <c r="J45" i="27"/>
  <c r="I45" i="27"/>
  <c r="M44" i="27"/>
  <c r="L44" i="27"/>
  <c r="K44" i="27"/>
  <c r="J44" i="27"/>
  <c r="I44" i="27"/>
  <c r="M43" i="27"/>
  <c r="L43" i="27"/>
  <c r="K43" i="27"/>
  <c r="J43" i="27"/>
  <c r="I43" i="27"/>
  <c r="M42" i="27"/>
  <c r="L42" i="27"/>
  <c r="K42" i="27"/>
  <c r="J42" i="27"/>
  <c r="I42" i="27"/>
  <c r="M41" i="27"/>
  <c r="L41" i="27"/>
  <c r="K41" i="27"/>
  <c r="J41" i="27"/>
  <c r="I41" i="27"/>
  <c r="M40" i="27"/>
  <c r="L40" i="27"/>
  <c r="K40" i="27"/>
  <c r="J40" i="27"/>
  <c r="I40" i="27"/>
  <c r="M39" i="27"/>
  <c r="L39" i="27"/>
  <c r="K39" i="27"/>
  <c r="J39" i="27"/>
  <c r="I39" i="27"/>
  <c r="M38" i="27"/>
  <c r="L38" i="27"/>
  <c r="K38" i="27"/>
  <c r="J38" i="27"/>
  <c r="I38" i="27"/>
  <c r="M37" i="27"/>
  <c r="L37" i="27"/>
  <c r="K37" i="27"/>
  <c r="J37" i="27"/>
  <c r="I37" i="27"/>
  <c r="M36" i="27"/>
  <c r="L36" i="27"/>
  <c r="K36" i="27"/>
  <c r="J36" i="27"/>
  <c r="I36" i="27"/>
  <c r="M35" i="27"/>
  <c r="L35" i="27"/>
  <c r="K35" i="27"/>
  <c r="J35" i="27"/>
  <c r="I35" i="27"/>
  <c r="M34" i="27"/>
  <c r="L34" i="27"/>
  <c r="K34" i="27"/>
  <c r="J34" i="27"/>
  <c r="I34" i="27"/>
  <c r="M33" i="27"/>
  <c r="L33" i="27"/>
  <c r="K33" i="27"/>
  <c r="J33" i="27"/>
  <c r="I33" i="27"/>
  <c r="M32" i="27"/>
  <c r="L32" i="27"/>
  <c r="K32" i="27"/>
  <c r="J32" i="27"/>
  <c r="I32" i="27"/>
  <c r="M31" i="27"/>
  <c r="L31" i="27"/>
  <c r="K31" i="27"/>
  <c r="J31" i="27"/>
  <c r="I31" i="27"/>
  <c r="M30" i="27"/>
  <c r="L30" i="27"/>
  <c r="K30" i="27"/>
  <c r="J30" i="27"/>
  <c r="I30" i="27"/>
  <c r="M29" i="27"/>
  <c r="L29" i="27"/>
  <c r="K29" i="27"/>
  <c r="J29" i="27"/>
  <c r="I29" i="27"/>
  <c r="M28" i="27"/>
  <c r="L28" i="27"/>
  <c r="K28" i="27"/>
  <c r="J28" i="27"/>
  <c r="I28" i="27"/>
  <c r="M27" i="27"/>
  <c r="L27" i="27"/>
  <c r="K27" i="27"/>
  <c r="J27" i="27"/>
  <c r="I27" i="27"/>
  <c r="M26" i="27"/>
  <c r="L26" i="27"/>
  <c r="K26" i="27"/>
  <c r="J26" i="27"/>
  <c r="I26" i="27"/>
  <c r="M25" i="27"/>
  <c r="L25" i="27"/>
  <c r="K25" i="27"/>
  <c r="J25" i="27"/>
  <c r="I25" i="27"/>
  <c r="M24" i="27"/>
  <c r="L24" i="27"/>
  <c r="K24" i="27"/>
  <c r="J24" i="27"/>
  <c r="I24" i="27"/>
  <c r="M23" i="27"/>
  <c r="L23" i="27"/>
  <c r="K23" i="27"/>
  <c r="J23" i="27"/>
  <c r="I23" i="27"/>
  <c r="M22" i="27"/>
  <c r="L22" i="27"/>
  <c r="K22" i="27"/>
  <c r="J22" i="27"/>
  <c r="I22" i="27"/>
  <c r="M21" i="27"/>
  <c r="L21" i="27"/>
  <c r="K21" i="27"/>
  <c r="J21" i="27"/>
  <c r="I21" i="27"/>
  <c r="M20" i="27"/>
  <c r="L20" i="27"/>
  <c r="K20" i="27"/>
  <c r="J20" i="27"/>
  <c r="I20" i="27"/>
  <c r="M19" i="27"/>
  <c r="L19" i="27"/>
  <c r="K19" i="27"/>
  <c r="J19" i="27"/>
  <c r="I19" i="27"/>
  <c r="M18" i="27"/>
  <c r="L18" i="27"/>
  <c r="K18" i="27"/>
  <c r="J18" i="27"/>
  <c r="I18" i="27"/>
  <c r="M17" i="27"/>
  <c r="L17" i="27"/>
  <c r="K17" i="27"/>
  <c r="J17" i="27"/>
  <c r="I17" i="27"/>
  <c r="M16" i="27"/>
  <c r="L16" i="27"/>
  <c r="K16" i="27"/>
  <c r="J16" i="27"/>
  <c r="I16" i="27"/>
  <c r="M15" i="27"/>
  <c r="L15" i="27"/>
  <c r="K15" i="27"/>
  <c r="J15" i="27"/>
  <c r="I15" i="27"/>
  <c r="M14" i="27"/>
  <c r="L14" i="27"/>
  <c r="K14" i="27"/>
  <c r="J14" i="27"/>
  <c r="I14" i="27"/>
  <c r="M13" i="27"/>
  <c r="L13" i="27"/>
  <c r="K13" i="27"/>
  <c r="J13" i="27"/>
  <c r="I13" i="27"/>
  <c r="M12" i="27"/>
  <c r="L12" i="27"/>
  <c r="K12" i="27"/>
  <c r="J12" i="27"/>
  <c r="I12" i="27"/>
  <c r="M11" i="27"/>
  <c r="L11" i="27"/>
  <c r="K11" i="27"/>
  <c r="J11" i="27"/>
  <c r="I11" i="27"/>
  <c r="M10" i="27"/>
  <c r="L10" i="27"/>
  <c r="K10" i="27"/>
  <c r="J10" i="27"/>
  <c r="I10" i="27"/>
  <c r="M9" i="27"/>
  <c r="L9" i="27"/>
  <c r="K9" i="27"/>
  <c r="J9" i="27"/>
  <c r="I9" i="27"/>
  <c r="M8" i="27"/>
  <c r="L8" i="27"/>
  <c r="K8" i="27"/>
  <c r="J8" i="27"/>
  <c r="I8" i="27"/>
  <c r="M7" i="27"/>
  <c r="L7" i="27"/>
  <c r="K7" i="27"/>
  <c r="J7" i="27"/>
  <c r="I7" i="27"/>
  <c r="M6" i="27"/>
  <c r="L6" i="27"/>
  <c r="K6" i="27"/>
  <c r="J6" i="27"/>
  <c r="I6" i="27"/>
  <c r="M5" i="27"/>
  <c r="L5" i="27"/>
  <c r="K5" i="27"/>
  <c r="J5" i="27"/>
  <c r="I5" i="27"/>
  <c r="M4" i="27"/>
  <c r="L4" i="27"/>
  <c r="K4" i="27"/>
  <c r="J4" i="27"/>
  <c r="I4" i="27"/>
  <c r="M3" i="27"/>
  <c r="L3" i="27"/>
  <c r="K3" i="27"/>
  <c r="J3" i="27"/>
  <c r="I3" i="27"/>
  <c r="M71" i="26"/>
  <c r="L71" i="26"/>
  <c r="K71" i="26"/>
  <c r="J71" i="26"/>
  <c r="I71" i="26"/>
  <c r="M70" i="26"/>
  <c r="L70" i="26"/>
  <c r="K70" i="26"/>
  <c r="J70" i="26"/>
  <c r="I70" i="26"/>
  <c r="M69" i="26"/>
  <c r="L69" i="26"/>
  <c r="K69" i="26"/>
  <c r="J69" i="26"/>
  <c r="I69" i="26"/>
  <c r="M68" i="26"/>
  <c r="L68" i="26"/>
  <c r="K68" i="26"/>
  <c r="J68" i="26"/>
  <c r="I68" i="26"/>
  <c r="M67" i="26"/>
  <c r="L67" i="26"/>
  <c r="K67" i="26"/>
  <c r="J67" i="26"/>
  <c r="I67" i="26"/>
  <c r="M66" i="26"/>
  <c r="L66" i="26"/>
  <c r="K66" i="26"/>
  <c r="J66" i="26"/>
  <c r="I66" i="26"/>
  <c r="M65" i="26"/>
  <c r="L65" i="26"/>
  <c r="K65" i="26"/>
  <c r="J65" i="26"/>
  <c r="I65" i="26"/>
  <c r="M64" i="26"/>
  <c r="L64" i="26"/>
  <c r="K64" i="26"/>
  <c r="J64" i="26"/>
  <c r="I64" i="26"/>
  <c r="M63" i="26"/>
  <c r="L63" i="26"/>
  <c r="K63" i="26"/>
  <c r="J63" i="26"/>
  <c r="I63" i="26"/>
  <c r="M62" i="26"/>
  <c r="L62" i="26"/>
  <c r="K62" i="26"/>
  <c r="J62" i="26"/>
  <c r="I62" i="26"/>
  <c r="M61" i="26"/>
  <c r="L61" i="26"/>
  <c r="K61" i="26"/>
  <c r="J61" i="26"/>
  <c r="I61" i="26"/>
  <c r="M60" i="26"/>
  <c r="L60" i="26"/>
  <c r="K60" i="26"/>
  <c r="J60" i="26"/>
  <c r="I60" i="26"/>
  <c r="M59" i="26"/>
  <c r="L59" i="26"/>
  <c r="K59" i="26"/>
  <c r="J59" i="26"/>
  <c r="I59" i="26"/>
  <c r="M58" i="26"/>
  <c r="L58" i="26"/>
  <c r="K58" i="26"/>
  <c r="J58" i="26"/>
  <c r="I58" i="26"/>
  <c r="M57" i="26"/>
  <c r="L57" i="26"/>
  <c r="K57" i="26"/>
  <c r="J57" i="26"/>
  <c r="I57" i="26"/>
  <c r="M56" i="26"/>
  <c r="L56" i="26"/>
  <c r="K56" i="26"/>
  <c r="J56" i="26"/>
  <c r="I56" i="26"/>
  <c r="M55" i="26"/>
  <c r="L55" i="26"/>
  <c r="K55" i="26"/>
  <c r="J55" i="26"/>
  <c r="I55" i="26"/>
  <c r="M54" i="26"/>
  <c r="L54" i="26"/>
  <c r="K54" i="26"/>
  <c r="J54" i="26"/>
  <c r="I54" i="26"/>
  <c r="M53" i="26"/>
  <c r="L53" i="26"/>
  <c r="K53" i="26"/>
  <c r="J53" i="26"/>
  <c r="I53" i="26"/>
  <c r="M52" i="26"/>
  <c r="L52" i="26"/>
  <c r="K52" i="26"/>
  <c r="J52" i="26"/>
  <c r="I52" i="26"/>
  <c r="M51" i="26"/>
  <c r="L51" i="26"/>
  <c r="K51" i="26"/>
  <c r="J51" i="26"/>
  <c r="I51" i="26"/>
  <c r="M50" i="26"/>
  <c r="L50" i="26"/>
  <c r="K50" i="26"/>
  <c r="J50" i="26"/>
  <c r="I50" i="26"/>
  <c r="M49" i="26"/>
  <c r="L49" i="26"/>
  <c r="K49" i="26"/>
  <c r="J49" i="26"/>
  <c r="I49" i="26"/>
  <c r="M48" i="26"/>
  <c r="L48" i="26"/>
  <c r="K48" i="26"/>
  <c r="J48" i="26"/>
  <c r="I48" i="26"/>
  <c r="M47" i="26"/>
  <c r="L47" i="26"/>
  <c r="K47" i="26"/>
  <c r="J47" i="26"/>
  <c r="I47" i="26"/>
  <c r="M46" i="26"/>
  <c r="L46" i="26"/>
  <c r="K46" i="26"/>
  <c r="J46" i="26"/>
  <c r="I46" i="26"/>
  <c r="M45" i="26"/>
  <c r="L45" i="26"/>
  <c r="K45" i="26"/>
  <c r="J45" i="26"/>
  <c r="I45" i="26"/>
  <c r="M44" i="26"/>
  <c r="L44" i="26"/>
  <c r="K44" i="26"/>
  <c r="J44" i="26"/>
  <c r="I44" i="26"/>
  <c r="M43" i="26"/>
  <c r="L43" i="26"/>
  <c r="K43" i="26"/>
  <c r="J43" i="26"/>
  <c r="I43" i="26"/>
  <c r="M42" i="26"/>
  <c r="L42" i="26"/>
  <c r="K42" i="26"/>
  <c r="J42" i="26"/>
  <c r="I42" i="26"/>
  <c r="M41" i="26"/>
  <c r="L41" i="26"/>
  <c r="K41" i="26"/>
  <c r="J41" i="26"/>
  <c r="I41" i="26"/>
  <c r="M40" i="26"/>
  <c r="L40" i="26"/>
  <c r="K40" i="26"/>
  <c r="J40" i="26"/>
  <c r="I40" i="26"/>
  <c r="M39" i="26"/>
  <c r="L39" i="26"/>
  <c r="K39" i="26"/>
  <c r="J39" i="26"/>
  <c r="I39" i="26"/>
  <c r="M38" i="26"/>
  <c r="L38" i="26"/>
  <c r="K38" i="26"/>
  <c r="J38" i="26"/>
  <c r="I38" i="26"/>
  <c r="M37" i="26"/>
  <c r="L37" i="26"/>
  <c r="K37" i="26"/>
  <c r="J37" i="26"/>
  <c r="I37" i="26"/>
  <c r="M36" i="26"/>
  <c r="L36" i="26"/>
  <c r="K36" i="26"/>
  <c r="J36" i="26"/>
  <c r="I36" i="26"/>
  <c r="M35" i="26"/>
  <c r="L35" i="26"/>
  <c r="K35" i="26"/>
  <c r="J35" i="26"/>
  <c r="I35" i="26"/>
  <c r="M34" i="26"/>
  <c r="L34" i="26"/>
  <c r="K34" i="26"/>
  <c r="J34" i="26"/>
  <c r="I34" i="26"/>
  <c r="M33" i="26"/>
  <c r="L33" i="26"/>
  <c r="K33" i="26"/>
  <c r="J33" i="26"/>
  <c r="I33" i="26"/>
  <c r="M32" i="26"/>
  <c r="L32" i="26"/>
  <c r="K32" i="26"/>
  <c r="J32" i="26"/>
  <c r="I32" i="26"/>
  <c r="M31" i="26"/>
  <c r="L31" i="26"/>
  <c r="K31" i="26"/>
  <c r="J31" i="26"/>
  <c r="I31" i="26"/>
  <c r="M30" i="26"/>
  <c r="L30" i="26"/>
  <c r="K30" i="26"/>
  <c r="J30" i="26"/>
  <c r="I30" i="26"/>
  <c r="M29" i="26"/>
  <c r="L29" i="26"/>
  <c r="K29" i="26"/>
  <c r="J29" i="26"/>
  <c r="I29" i="26"/>
  <c r="M28" i="26"/>
  <c r="L28" i="26"/>
  <c r="K28" i="26"/>
  <c r="J28" i="26"/>
  <c r="I28" i="26"/>
  <c r="M27" i="26"/>
  <c r="L27" i="26"/>
  <c r="K27" i="26"/>
  <c r="J27" i="26"/>
  <c r="I27" i="26"/>
  <c r="M26" i="26"/>
  <c r="L26" i="26"/>
  <c r="K26" i="26"/>
  <c r="J26" i="26"/>
  <c r="I26" i="26"/>
  <c r="M25" i="26"/>
  <c r="L25" i="26"/>
  <c r="K25" i="26"/>
  <c r="J25" i="26"/>
  <c r="I25" i="26"/>
  <c r="M24" i="26"/>
  <c r="L24" i="26"/>
  <c r="K24" i="26"/>
  <c r="J24" i="26"/>
  <c r="I24" i="26"/>
  <c r="M23" i="26"/>
  <c r="L23" i="26"/>
  <c r="K23" i="26"/>
  <c r="J23" i="26"/>
  <c r="I23" i="26"/>
  <c r="M22" i="26"/>
  <c r="L22" i="26"/>
  <c r="K22" i="26"/>
  <c r="J22" i="26"/>
  <c r="I22" i="26"/>
  <c r="M21" i="26"/>
  <c r="L21" i="26"/>
  <c r="K21" i="26"/>
  <c r="J21" i="26"/>
  <c r="I21" i="26"/>
  <c r="M20" i="26"/>
  <c r="L20" i="26"/>
  <c r="K20" i="26"/>
  <c r="J20" i="26"/>
  <c r="I20" i="26"/>
  <c r="M19" i="26"/>
  <c r="L19" i="26"/>
  <c r="K19" i="26"/>
  <c r="J19" i="26"/>
  <c r="I19" i="26"/>
  <c r="M18" i="26"/>
  <c r="L18" i="26"/>
  <c r="K18" i="26"/>
  <c r="J18" i="26"/>
  <c r="I18" i="26"/>
  <c r="M17" i="26"/>
  <c r="L17" i="26"/>
  <c r="K17" i="26"/>
  <c r="J17" i="26"/>
  <c r="I17" i="26"/>
  <c r="M16" i="26"/>
  <c r="L16" i="26"/>
  <c r="K16" i="26"/>
  <c r="J16" i="26"/>
  <c r="I16" i="26"/>
  <c r="M15" i="26"/>
  <c r="L15" i="26"/>
  <c r="K15" i="26"/>
  <c r="J15" i="26"/>
  <c r="I15" i="26"/>
  <c r="M14" i="26"/>
  <c r="L14" i="26"/>
  <c r="K14" i="26"/>
  <c r="J14" i="26"/>
  <c r="I14" i="26"/>
  <c r="M13" i="26"/>
  <c r="L13" i="26"/>
  <c r="K13" i="26"/>
  <c r="J13" i="26"/>
  <c r="I13" i="26"/>
  <c r="M12" i="26"/>
  <c r="L12" i="26"/>
  <c r="K12" i="26"/>
  <c r="J12" i="26"/>
  <c r="I12" i="26"/>
  <c r="M11" i="26"/>
  <c r="L11" i="26"/>
  <c r="K11" i="26"/>
  <c r="J11" i="26"/>
  <c r="I11" i="26"/>
  <c r="M10" i="26"/>
  <c r="L10" i="26"/>
  <c r="K10" i="26"/>
  <c r="J10" i="26"/>
  <c r="I10" i="26"/>
  <c r="M9" i="26"/>
  <c r="L9" i="26"/>
  <c r="K9" i="26"/>
  <c r="J9" i="26"/>
  <c r="I9" i="26"/>
  <c r="M8" i="26"/>
  <c r="L8" i="26"/>
  <c r="K8" i="26"/>
  <c r="J8" i="26"/>
  <c r="I8" i="26"/>
  <c r="M7" i="26"/>
  <c r="L7" i="26"/>
  <c r="K7" i="26"/>
  <c r="J7" i="26"/>
  <c r="I7" i="26"/>
  <c r="M6" i="26"/>
  <c r="L6" i="26"/>
  <c r="K6" i="26"/>
  <c r="J6" i="26"/>
  <c r="I6" i="26"/>
  <c r="M5" i="26"/>
  <c r="L5" i="26"/>
  <c r="K5" i="26"/>
  <c r="J5" i="26"/>
  <c r="I5" i="26"/>
  <c r="M4" i="26"/>
  <c r="L4" i="26"/>
  <c r="K4" i="26"/>
  <c r="J4" i="26"/>
  <c r="I4" i="26"/>
  <c r="M3" i="26"/>
  <c r="L3" i="26"/>
  <c r="K3" i="26"/>
  <c r="J3" i="26"/>
  <c r="I3" i="26"/>
  <c r="M71" i="25"/>
  <c r="L71" i="25"/>
  <c r="K71" i="25"/>
  <c r="J71" i="25"/>
  <c r="I71" i="25"/>
  <c r="M70" i="25"/>
  <c r="L70" i="25"/>
  <c r="K70" i="25"/>
  <c r="J70" i="25"/>
  <c r="I70" i="25"/>
  <c r="M69" i="25"/>
  <c r="L69" i="25"/>
  <c r="K69" i="25"/>
  <c r="J69" i="25"/>
  <c r="I69" i="25"/>
  <c r="M68" i="25"/>
  <c r="L68" i="25"/>
  <c r="K68" i="25"/>
  <c r="J68" i="25"/>
  <c r="I68" i="25"/>
  <c r="M67" i="25"/>
  <c r="L67" i="25"/>
  <c r="K67" i="25"/>
  <c r="J67" i="25"/>
  <c r="I67" i="25"/>
  <c r="M66" i="25"/>
  <c r="L66" i="25"/>
  <c r="K66" i="25"/>
  <c r="J66" i="25"/>
  <c r="I66" i="25"/>
  <c r="M65" i="25"/>
  <c r="L65" i="25"/>
  <c r="K65" i="25"/>
  <c r="J65" i="25"/>
  <c r="I65" i="25"/>
  <c r="M64" i="25"/>
  <c r="L64" i="25"/>
  <c r="K64" i="25"/>
  <c r="J64" i="25"/>
  <c r="I64" i="25"/>
  <c r="M63" i="25"/>
  <c r="L63" i="25"/>
  <c r="K63" i="25"/>
  <c r="J63" i="25"/>
  <c r="I63" i="25"/>
  <c r="M62" i="25"/>
  <c r="L62" i="25"/>
  <c r="K62" i="25"/>
  <c r="J62" i="25"/>
  <c r="I62" i="25"/>
  <c r="M61" i="25"/>
  <c r="L61" i="25"/>
  <c r="K61" i="25"/>
  <c r="J61" i="25"/>
  <c r="I61" i="25"/>
  <c r="M60" i="25"/>
  <c r="L60" i="25"/>
  <c r="K60" i="25"/>
  <c r="J60" i="25"/>
  <c r="I60" i="25"/>
  <c r="M59" i="25"/>
  <c r="L59" i="25"/>
  <c r="K59" i="25"/>
  <c r="J59" i="25"/>
  <c r="I59" i="25"/>
  <c r="M58" i="25"/>
  <c r="L58" i="25"/>
  <c r="K58" i="25"/>
  <c r="J58" i="25"/>
  <c r="I58" i="25"/>
  <c r="M57" i="25"/>
  <c r="L57" i="25"/>
  <c r="K57" i="25"/>
  <c r="J57" i="25"/>
  <c r="I57" i="25"/>
  <c r="M56" i="25"/>
  <c r="L56" i="25"/>
  <c r="K56" i="25"/>
  <c r="J56" i="25"/>
  <c r="I56" i="25"/>
  <c r="M55" i="25"/>
  <c r="L55" i="25"/>
  <c r="K55" i="25"/>
  <c r="J55" i="25"/>
  <c r="I55" i="25"/>
  <c r="M54" i="25"/>
  <c r="L54" i="25"/>
  <c r="K54" i="25"/>
  <c r="J54" i="25"/>
  <c r="I54" i="25"/>
  <c r="M53" i="25"/>
  <c r="L53" i="25"/>
  <c r="K53" i="25"/>
  <c r="J53" i="25"/>
  <c r="I53" i="25"/>
  <c r="M52" i="25"/>
  <c r="L52" i="25"/>
  <c r="K52" i="25"/>
  <c r="J52" i="25"/>
  <c r="I52" i="25"/>
  <c r="M51" i="25"/>
  <c r="L51" i="25"/>
  <c r="K51" i="25"/>
  <c r="J51" i="25"/>
  <c r="I51" i="25"/>
  <c r="M50" i="25"/>
  <c r="L50" i="25"/>
  <c r="K50" i="25"/>
  <c r="J50" i="25"/>
  <c r="I50" i="25"/>
  <c r="M49" i="25"/>
  <c r="L49" i="25"/>
  <c r="K49" i="25"/>
  <c r="J49" i="25"/>
  <c r="I49" i="25"/>
  <c r="M48" i="25"/>
  <c r="L48" i="25"/>
  <c r="K48" i="25"/>
  <c r="J48" i="25"/>
  <c r="I48" i="25"/>
  <c r="M47" i="25"/>
  <c r="L47" i="25"/>
  <c r="K47" i="25"/>
  <c r="J47" i="25"/>
  <c r="I47" i="25"/>
  <c r="M46" i="25"/>
  <c r="L46" i="25"/>
  <c r="K46" i="25"/>
  <c r="J46" i="25"/>
  <c r="I46" i="25"/>
  <c r="M45" i="25"/>
  <c r="L45" i="25"/>
  <c r="K45" i="25"/>
  <c r="J45" i="25"/>
  <c r="I45" i="25"/>
  <c r="M44" i="25"/>
  <c r="L44" i="25"/>
  <c r="K44" i="25"/>
  <c r="J44" i="25"/>
  <c r="I44" i="25"/>
  <c r="M43" i="25"/>
  <c r="L43" i="25"/>
  <c r="K43" i="25"/>
  <c r="J43" i="25"/>
  <c r="I43" i="25"/>
  <c r="M42" i="25"/>
  <c r="L42" i="25"/>
  <c r="K42" i="25"/>
  <c r="J42" i="25"/>
  <c r="I42" i="25"/>
  <c r="M41" i="25"/>
  <c r="L41" i="25"/>
  <c r="K41" i="25"/>
  <c r="J41" i="25"/>
  <c r="I41" i="25"/>
  <c r="M40" i="25"/>
  <c r="L40" i="25"/>
  <c r="K40" i="25"/>
  <c r="J40" i="25"/>
  <c r="I40" i="25"/>
  <c r="M39" i="25"/>
  <c r="L39" i="25"/>
  <c r="K39" i="25"/>
  <c r="J39" i="25"/>
  <c r="I39" i="25"/>
  <c r="M38" i="25"/>
  <c r="L38" i="25"/>
  <c r="K38" i="25"/>
  <c r="J38" i="25"/>
  <c r="I38" i="25"/>
  <c r="M37" i="25"/>
  <c r="L37" i="25"/>
  <c r="K37" i="25"/>
  <c r="J37" i="25"/>
  <c r="I37" i="25"/>
  <c r="M36" i="25"/>
  <c r="L36" i="25"/>
  <c r="K36" i="25"/>
  <c r="J36" i="25"/>
  <c r="I36" i="25"/>
  <c r="M35" i="25"/>
  <c r="L35" i="25"/>
  <c r="K35" i="25"/>
  <c r="J35" i="25"/>
  <c r="I35" i="25"/>
  <c r="M34" i="25"/>
  <c r="L34" i="25"/>
  <c r="K34" i="25"/>
  <c r="J34" i="25"/>
  <c r="I34" i="25"/>
  <c r="M33" i="25"/>
  <c r="L33" i="25"/>
  <c r="K33" i="25"/>
  <c r="J33" i="25"/>
  <c r="I33" i="25"/>
  <c r="M32" i="25"/>
  <c r="L32" i="25"/>
  <c r="K32" i="25"/>
  <c r="J32" i="25"/>
  <c r="I32" i="25"/>
  <c r="M31" i="25"/>
  <c r="L31" i="25"/>
  <c r="K31" i="25"/>
  <c r="J31" i="25"/>
  <c r="I31" i="25"/>
  <c r="M30" i="25"/>
  <c r="L30" i="25"/>
  <c r="K30" i="25"/>
  <c r="J30" i="25"/>
  <c r="I30" i="25"/>
  <c r="M29" i="25"/>
  <c r="L29" i="25"/>
  <c r="K29" i="25"/>
  <c r="J29" i="25"/>
  <c r="I29" i="25"/>
  <c r="M28" i="25"/>
  <c r="L28" i="25"/>
  <c r="K28" i="25"/>
  <c r="J28" i="25"/>
  <c r="I28" i="25"/>
  <c r="M27" i="25"/>
  <c r="L27" i="25"/>
  <c r="K27" i="25"/>
  <c r="J27" i="25"/>
  <c r="I27" i="25"/>
  <c r="M26" i="25"/>
  <c r="L26" i="25"/>
  <c r="K26" i="25"/>
  <c r="J26" i="25"/>
  <c r="I26" i="25"/>
  <c r="M25" i="25"/>
  <c r="L25" i="25"/>
  <c r="K25" i="25"/>
  <c r="J25" i="25"/>
  <c r="I25" i="25"/>
  <c r="M24" i="25"/>
  <c r="L24" i="25"/>
  <c r="K24" i="25"/>
  <c r="J24" i="25"/>
  <c r="I24" i="25"/>
  <c r="M23" i="25"/>
  <c r="L23" i="25"/>
  <c r="K23" i="25"/>
  <c r="J23" i="25"/>
  <c r="I23" i="25"/>
  <c r="M22" i="25"/>
  <c r="L22" i="25"/>
  <c r="K22" i="25"/>
  <c r="J22" i="25"/>
  <c r="I22" i="25"/>
  <c r="M21" i="25"/>
  <c r="L21" i="25"/>
  <c r="K21" i="25"/>
  <c r="J21" i="25"/>
  <c r="I21" i="25"/>
  <c r="M20" i="25"/>
  <c r="L20" i="25"/>
  <c r="K20" i="25"/>
  <c r="J20" i="25"/>
  <c r="I20" i="25"/>
  <c r="M19" i="25"/>
  <c r="L19" i="25"/>
  <c r="K19" i="25"/>
  <c r="J19" i="25"/>
  <c r="I19" i="25"/>
  <c r="M18" i="25"/>
  <c r="L18" i="25"/>
  <c r="K18" i="25"/>
  <c r="J18" i="25"/>
  <c r="I18" i="25"/>
  <c r="M17" i="25"/>
  <c r="L17" i="25"/>
  <c r="K17" i="25"/>
  <c r="J17" i="25"/>
  <c r="I17" i="25"/>
  <c r="M16" i="25"/>
  <c r="L16" i="25"/>
  <c r="K16" i="25"/>
  <c r="J16" i="25"/>
  <c r="I16" i="25"/>
  <c r="M15" i="25"/>
  <c r="L15" i="25"/>
  <c r="K15" i="25"/>
  <c r="J15" i="25"/>
  <c r="I15" i="25"/>
  <c r="M14" i="25"/>
  <c r="L14" i="25"/>
  <c r="K14" i="25"/>
  <c r="J14" i="25"/>
  <c r="I14" i="25"/>
  <c r="M13" i="25"/>
  <c r="L13" i="25"/>
  <c r="K13" i="25"/>
  <c r="J13" i="25"/>
  <c r="I13" i="25"/>
  <c r="M12" i="25"/>
  <c r="L12" i="25"/>
  <c r="K12" i="25"/>
  <c r="J12" i="25"/>
  <c r="I12" i="25"/>
  <c r="M11" i="25"/>
  <c r="L11" i="25"/>
  <c r="K11" i="25"/>
  <c r="J11" i="25"/>
  <c r="I11" i="25"/>
  <c r="M10" i="25"/>
  <c r="L10" i="25"/>
  <c r="K10" i="25"/>
  <c r="J10" i="25"/>
  <c r="I10" i="25"/>
  <c r="M9" i="25"/>
  <c r="L9" i="25"/>
  <c r="K9" i="25"/>
  <c r="J9" i="25"/>
  <c r="I9" i="25"/>
  <c r="M8" i="25"/>
  <c r="L8" i="25"/>
  <c r="K8" i="25"/>
  <c r="J8" i="25"/>
  <c r="I8" i="25"/>
  <c r="M7" i="25"/>
  <c r="L7" i="25"/>
  <c r="K7" i="25"/>
  <c r="J7" i="25"/>
  <c r="I7" i="25"/>
  <c r="M6" i="25"/>
  <c r="L6" i="25"/>
  <c r="K6" i="25"/>
  <c r="J6" i="25"/>
  <c r="I6" i="25"/>
  <c r="M5" i="25"/>
  <c r="L5" i="25"/>
  <c r="K5" i="25"/>
  <c r="J5" i="25"/>
  <c r="I5" i="25"/>
  <c r="M4" i="25"/>
  <c r="L4" i="25"/>
  <c r="K4" i="25"/>
  <c r="J4" i="25"/>
  <c r="I4" i="25"/>
  <c r="M3" i="25"/>
  <c r="L3" i="25"/>
  <c r="K3" i="25"/>
  <c r="J3" i="25"/>
  <c r="I3" i="25"/>
  <c r="M71" i="24"/>
  <c r="L71" i="24"/>
  <c r="K71" i="24"/>
  <c r="J71" i="24"/>
  <c r="I71" i="24"/>
  <c r="M70" i="24"/>
  <c r="L70" i="24"/>
  <c r="K70" i="24"/>
  <c r="J70" i="24"/>
  <c r="I70" i="24"/>
  <c r="M69" i="24"/>
  <c r="L69" i="24"/>
  <c r="K69" i="24"/>
  <c r="J69" i="24"/>
  <c r="I69" i="24"/>
  <c r="M68" i="24"/>
  <c r="L68" i="24"/>
  <c r="K68" i="24"/>
  <c r="J68" i="24"/>
  <c r="I68" i="24"/>
  <c r="M67" i="24"/>
  <c r="L67" i="24"/>
  <c r="K67" i="24"/>
  <c r="J67" i="24"/>
  <c r="I67" i="24"/>
  <c r="M66" i="24"/>
  <c r="L66" i="24"/>
  <c r="K66" i="24"/>
  <c r="J66" i="24"/>
  <c r="I66" i="24"/>
  <c r="M65" i="24"/>
  <c r="L65" i="24"/>
  <c r="K65" i="24"/>
  <c r="J65" i="24"/>
  <c r="I65" i="24"/>
  <c r="M64" i="24"/>
  <c r="L64" i="24"/>
  <c r="K64" i="24"/>
  <c r="J64" i="24"/>
  <c r="I64" i="24"/>
  <c r="M63" i="24"/>
  <c r="L63" i="24"/>
  <c r="K63" i="24"/>
  <c r="J63" i="24"/>
  <c r="I63" i="24"/>
  <c r="M62" i="24"/>
  <c r="L62" i="24"/>
  <c r="K62" i="24"/>
  <c r="J62" i="24"/>
  <c r="I62" i="24"/>
  <c r="M61" i="24"/>
  <c r="L61" i="24"/>
  <c r="K61" i="24"/>
  <c r="J61" i="24"/>
  <c r="I61" i="24"/>
  <c r="M60" i="24"/>
  <c r="L60" i="24"/>
  <c r="K60" i="24"/>
  <c r="J60" i="24"/>
  <c r="I60" i="24"/>
  <c r="M59" i="24"/>
  <c r="L59" i="24"/>
  <c r="K59" i="24"/>
  <c r="J59" i="24"/>
  <c r="I59" i="24"/>
  <c r="M58" i="24"/>
  <c r="L58" i="24"/>
  <c r="K58" i="24"/>
  <c r="J58" i="24"/>
  <c r="I58" i="24"/>
  <c r="M57" i="24"/>
  <c r="L57" i="24"/>
  <c r="K57" i="24"/>
  <c r="J57" i="24"/>
  <c r="I57" i="24"/>
  <c r="M56" i="24"/>
  <c r="L56" i="24"/>
  <c r="K56" i="24"/>
  <c r="J56" i="24"/>
  <c r="I56" i="24"/>
  <c r="M55" i="24"/>
  <c r="L55" i="24"/>
  <c r="K55" i="24"/>
  <c r="J55" i="24"/>
  <c r="I55" i="24"/>
  <c r="M54" i="24"/>
  <c r="L54" i="24"/>
  <c r="K54" i="24"/>
  <c r="J54" i="24"/>
  <c r="I54" i="24"/>
  <c r="M53" i="24"/>
  <c r="L53" i="24"/>
  <c r="K53" i="24"/>
  <c r="J53" i="24"/>
  <c r="I53" i="24"/>
  <c r="M52" i="24"/>
  <c r="L52" i="24"/>
  <c r="K52" i="24"/>
  <c r="J52" i="24"/>
  <c r="I52" i="24"/>
  <c r="M51" i="24"/>
  <c r="L51" i="24"/>
  <c r="K51" i="24"/>
  <c r="J51" i="24"/>
  <c r="I51" i="24"/>
  <c r="M50" i="24"/>
  <c r="L50" i="24"/>
  <c r="K50" i="24"/>
  <c r="J50" i="24"/>
  <c r="I50" i="24"/>
  <c r="M49" i="24"/>
  <c r="L49" i="24"/>
  <c r="K49" i="24"/>
  <c r="J49" i="24"/>
  <c r="I49" i="24"/>
  <c r="M48" i="24"/>
  <c r="L48" i="24"/>
  <c r="K48" i="24"/>
  <c r="J48" i="24"/>
  <c r="I48" i="24"/>
  <c r="M47" i="24"/>
  <c r="L47" i="24"/>
  <c r="K47" i="24"/>
  <c r="J47" i="24"/>
  <c r="I47" i="24"/>
  <c r="M46" i="24"/>
  <c r="L46" i="24"/>
  <c r="K46" i="24"/>
  <c r="J46" i="24"/>
  <c r="I46" i="24"/>
  <c r="M45" i="24"/>
  <c r="L45" i="24"/>
  <c r="K45" i="24"/>
  <c r="J45" i="24"/>
  <c r="I45" i="24"/>
  <c r="M44" i="24"/>
  <c r="L44" i="24"/>
  <c r="K44" i="24"/>
  <c r="J44" i="24"/>
  <c r="I44" i="24"/>
  <c r="M43" i="24"/>
  <c r="L43" i="24"/>
  <c r="K43" i="24"/>
  <c r="J43" i="24"/>
  <c r="I43" i="24"/>
  <c r="M42" i="24"/>
  <c r="L42" i="24"/>
  <c r="K42" i="24"/>
  <c r="J42" i="24"/>
  <c r="I42" i="24"/>
  <c r="M41" i="24"/>
  <c r="L41" i="24"/>
  <c r="K41" i="24"/>
  <c r="J41" i="24"/>
  <c r="I41" i="24"/>
  <c r="M40" i="24"/>
  <c r="L40" i="24"/>
  <c r="K40" i="24"/>
  <c r="J40" i="24"/>
  <c r="I40" i="24"/>
  <c r="M39" i="24"/>
  <c r="L39" i="24"/>
  <c r="K39" i="24"/>
  <c r="J39" i="24"/>
  <c r="I39" i="24"/>
  <c r="M38" i="24"/>
  <c r="L38" i="24"/>
  <c r="K38" i="24"/>
  <c r="J38" i="24"/>
  <c r="I38" i="24"/>
  <c r="M37" i="24"/>
  <c r="L37" i="24"/>
  <c r="K37" i="24"/>
  <c r="J37" i="24"/>
  <c r="I37" i="24"/>
  <c r="M36" i="24"/>
  <c r="L36" i="24"/>
  <c r="K36" i="24"/>
  <c r="J36" i="24"/>
  <c r="I36" i="24"/>
  <c r="M35" i="24"/>
  <c r="L35" i="24"/>
  <c r="K35" i="24"/>
  <c r="J35" i="24"/>
  <c r="I35" i="24"/>
  <c r="M34" i="24"/>
  <c r="L34" i="24"/>
  <c r="K34" i="24"/>
  <c r="J34" i="24"/>
  <c r="I34" i="24"/>
  <c r="M33" i="24"/>
  <c r="L33" i="24"/>
  <c r="K33" i="24"/>
  <c r="J33" i="24"/>
  <c r="I33" i="24"/>
  <c r="M32" i="24"/>
  <c r="L32" i="24"/>
  <c r="K32" i="24"/>
  <c r="J32" i="24"/>
  <c r="I32" i="24"/>
  <c r="M31" i="24"/>
  <c r="L31" i="24"/>
  <c r="K31" i="24"/>
  <c r="J31" i="24"/>
  <c r="I31" i="24"/>
  <c r="M30" i="24"/>
  <c r="L30" i="24"/>
  <c r="K30" i="24"/>
  <c r="J30" i="24"/>
  <c r="I30" i="24"/>
  <c r="M29" i="24"/>
  <c r="L29" i="24"/>
  <c r="K29" i="24"/>
  <c r="J29" i="24"/>
  <c r="I29" i="24"/>
  <c r="M28" i="24"/>
  <c r="L28" i="24"/>
  <c r="K28" i="24"/>
  <c r="J28" i="24"/>
  <c r="I28" i="24"/>
  <c r="M27" i="24"/>
  <c r="L27" i="24"/>
  <c r="K27" i="24"/>
  <c r="J27" i="24"/>
  <c r="I27" i="24"/>
  <c r="M26" i="24"/>
  <c r="L26" i="24"/>
  <c r="K26" i="24"/>
  <c r="J26" i="24"/>
  <c r="I26" i="24"/>
  <c r="M25" i="24"/>
  <c r="L25" i="24"/>
  <c r="K25" i="24"/>
  <c r="J25" i="24"/>
  <c r="I25" i="24"/>
  <c r="M24" i="24"/>
  <c r="L24" i="24"/>
  <c r="K24" i="24"/>
  <c r="J24" i="24"/>
  <c r="I24" i="24"/>
  <c r="M23" i="24"/>
  <c r="L23" i="24"/>
  <c r="K23" i="24"/>
  <c r="J23" i="24"/>
  <c r="I23" i="24"/>
  <c r="M22" i="24"/>
  <c r="L22" i="24"/>
  <c r="K22" i="24"/>
  <c r="J22" i="24"/>
  <c r="I22" i="24"/>
  <c r="M21" i="24"/>
  <c r="L21" i="24"/>
  <c r="K21" i="24"/>
  <c r="J21" i="24"/>
  <c r="I21" i="24"/>
  <c r="M20" i="24"/>
  <c r="L20" i="24"/>
  <c r="K20" i="24"/>
  <c r="J20" i="24"/>
  <c r="I20" i="24"/>
  <c r="M19" i="24"/>
  <c r="L19" i="24"/>
  <c r="K19" i="24"/>
  <c r="J19" i="24"/>
  <c r="I19" i="24"/>
  <c r="M18" i="24"/>
  <c r="L18" i="24"/>
  <c r="K18" i="24"/>
  <c r="J18" i="24"/>
  <c r="I18" i="24"/>
  <c r="M17" i="24"/>
  <c r="L17" i="24"/>
  <c r="K17" i="24"/>
  <c r="J17" i="24"/>
  <c r="I17" i="24"/>
  <c r="M16" i="24"/>
  <c r="L16" i="24"/>
  <c r="K16" i="24"/>
  <c r="J16" i="24"/>
  <c r="I16" i="24"/>
  <c r="M15" i="24"/>
  <c r="L15" i="24"/>
  <c r="K15" i="24"/>
  <c r="J15" i="24"/>
  <c r="I15" i="24"/>
  <c r="M14" i="24"/>
  <c r="L14" i="24"/>
  <c r="K14" i="24"/>
  <c r="J14" i="24"/>
  <c r="I14" i="24"/>
  <c r="M13" i="24"/>
  <c r="L13" i="24"/>
  <c r="K13" i="24"/>
  <c r="J13" i="24"/>
  <c r="I13" i="24"/>
  <c r="M12" i="24"/>
  <c r="L12" i="24"/>
  <c r="K12" i="24"/>
  <c r="J12" i="24"/>
  <c r="I12" i="24"/>
  <c r="M11" i="24"/>
  <c r="L11" i="24"/>
  <c r="K11" i="24"/>
  <c r="J11" i="24"/>
  <c r="I11" i="24"/>
  <c r="M10" i="24"/>
  <c r="L10" i="24"/>
  <c r="K10" i="24"/>
  <c r="J10" i="24"/>
  <c r="I10" i="24"/>
  <c r="M9" i="24"/>
  <c r="L9" i="24"/>
  <c r="K9" i="24"/>
  <c r="J9" i="24"/>
  <c r="I9" i="24"/>
  <c r="M8" i="24"/>
  <c r="L8" i="24"/>
  <c r="K8" i="24"/>
  <c r="J8" i="24"/>
  <c r="I8" i="24"/>
  <c r="M7" i="24"/>
  <c r="L7" i="24"/>
  <c r="K7" i="24"/>
  <c r="J7" i="24"/>
  <c r="I7" i="24"/>
  <c r="M6" i="24"/>
  <c r="L6" i="24"/>
  <c r="K6" i="24"/>
  <c r="J6" i="24"/>
  <c r="I6" i="24"/>
  <c r="M5" i="24"/>
  <c r="L5" i="24"/>
  <c r="K5" i="24"/>
  <c r="J5" i="24"/>
  <c r="I5" i="24"/>
  <c r="M4" i="24"/>
  <c r="L4" i="24"/>
  <c r="K4" i="24"/>
  <c r="J4" i="24"/>
  <c r="I4" i="24"/>
  <c r="M3" i="24"/>
  <c r="L3" i="24"/>
  <c r="K3" i="24"/>
  <c r="J3" i="24"/>
  <c r="I3" i="24"/>
  <c r="M71" i="23"/>
  <c r="L71" i="23"/>
  <c r="K71" i="23"/>
  <c r="J71" i="23"/>
  <c r="I71" i="23"/>
  <c r="M70" i="23"/>
  <c r="L70" i="23"/>
  <c r="K70" i="23"/>
  <c r="J70" i="23"/>
  <c r="I70" i="23"/>
  <c r="M69" i="23"/>
  <c r="L69" i="23"/>
  <c r="K69" i="23"/>
  <c r="J69" i="23"/>
  <c r="I69" i="23"/>
  <c r="M68" i="23"/>
  <c r="L68" i="23"/>
  <c r="K68" i="23"/>
  <c r="J68" i="23"/>
  <c r="I68" i="23"/>
  <c r="M67" i="23"/>
  <c r="L67" i="23"/>
  <c r="K67" i="23"/>
  <c r="J67" i="23"/>
  <c r="I67" i="23"/>
  <c r="M66" i="23"/>
  <c r="L66" i="23"/>
  <c r="K66" i="23"/>
  <c r="J66" i="23"/>
  <c r="I66" i="23"/>
  <c r="M65" i="23"/>
  <c r="L65" i="23"/>
  <c r="K65" i="23"/>
  <c r="J65" i="23"/>
  <c r="I65" i="23"/>
  <c r="M64" i="23"/>
  <c r="L64" i="23"/>
  <c r="K64" i="23"/>
  <c r="J64" i="23"/>
  <c r="I64" i="23"/>
  <c r="M63" i="23"/>
  <c r="L63" i="23"/>
  <c r="K63" i="23"/>
  <c r="J63" i="23"/>
  <c r="I63" i="23"/>
  <c r="M62" i="23"/>
  <c r="L62" i="23"/>
  <c r="K62" i="23"/>
  <c r="J62" i="23"/>
  <c r="I62" i="23"/>
  <c r="M61" i="23"/>
  <c r="L61" i="23"/>
  <c r="K61" i="23"/>
  <c r="J61" i="23"/>
  <c r="I61" i="23"/>
  <c r="M60" i="23"/>
  <c r="L60" i="23"/>
  <c r="K60" i="23"/>
  <c r="J60" i="23"/>
  <c r="I60" i="23"/>
  <c r="M59" i="23"/>
  <c r="L59" i="23"/>
  <c r="K59" i="23"/>
  <c r="J59" i="23"/>
  <c r="I59" i="23"/>
  <c r="M58" i="23"/>
  <c r="L58" i="23"/>
  <c r="K58" i="23"/>
  <c r="J58" i="23"/>
  <c r="I58" i="23"/>
  <c r="M57" i="23"/>
  <c r="L57" i="23"/>
  <c r="K57" i="23"/>
  <c r="J57" i="23"/>
  <c r="I57" i="23"/>
  <c r="M56" i="23"/>
  <c r="L56" i="23"/>
  <c r="K56" i="23"/>
  <c r="J56" i="23"/>
  <c r="I56" i="23"/>
  <c r="M55" i="23"/>
  <c r="L55" i="23"/>
  <c r="K55" i="23"/>
  <c r="J55" i="23"/>
  <c r="I55" i="23"/>
  <c r="M54" i="23"/>
  <c r="L54" i="23"/>
  <c r="K54" i="23"/>
  <c r="J54" i="23"/>
  <c r="I54" i="23"/>
  <c r="M53" i="23"/>
  <c r="L53" i="23"/>
  <c r="K53" i="23"/>
  <c r="J53" i="23"/>
  <c r="I53" i="23"/>
  <c r="M52" i="23"/>
  <c r="L52" i="23"/>
  <c r="K52" i="23"/>
  <c r="J52" i="23"/>
  <c r="I52" i="23"/>
  <c r="M51" i="23"/>
  <c r="L51" i="23"/>
  <c r="K51" i="23"/>
  <c r="J51" i="23"/>
  <c r="I51" i="23"/>
  <c r="M50" i="23"/>
  <c r="L50" i="23"/>
  <c r="K50" i="23"/>
  <c r="J50" i="23"/>
  <c r="I50" i="23"/>
  <c r="M49" i="23"/>
  <c r="L49" i="23"/>
  <c r="K49" i="23"/>
  <c r="J49" i="23"/>
  <c r="I49" i="23"/>
  <c r="M48" i="23"/>
  <c r="L48" i="23"/>
  <c r="K48" i="23"/>
  <c r="J48" i="23"/>
  <c r="I48" i="23"/>
  <c r="M47" i="23"/>
  <c r="L47" i="23"/>
  <c r="K47" i="23"/>
  <c r="J47" i="23"/>
  <c r="I47" i="23"/>
  <c r="M46" i="23"/>
  <c r="L46" i="23"/>
  <c r="K46" i="23"/>
  <c r="J46" i="23"/>
  <c r="I46" i="23"/>
  <c r="M45" i="23"/>
  <c r="L45" i="23"/>
  <c r="K45" i="23"/>
  <c r="J45" i="23"/>
  <c r="I45" i="23"/>
  <c r="M44" i="23"/>
  <c r="L44" i="23"/>
  <c r="K44" i="23"/>
  <c r="J44" i="23"/>
  <c r="I44" i="23"/>
  <c r="M43" i="23"/>
  <c r="L43" i="23"/>
  <c r="K43" i="23"/>
  <c r="J43" i="23"/>
  <c r="I43" i="23"/>
  <c r="M42" i="23"/>
  <c r="L42" i="23"/>
  <c r="K42" i="23"/>
  <c r="J42" i="23"/>
  <c r="I42" i="23"/>
  <c r="M41" i="23"/>
  <c r="L41" i="23"/>
  <c r="K41" i="23"/>
  <c r="J41" i="23"/>
  <c r="I41" i="23"/>
  <c r="M40" i="23"/>
  <c r="L40" i="23"/>
  <c r="K40" i="23"/>
  <c r="J40" i="23"/>
  <c r="I40" i="23"/>
  <c r="M39" i="23"/>
  <c r="L39" i="23"/>
  <c r="K39" i="23"/>
  <c r="J39" i="23"/>
  <c r="I39" i="23"/>
  <c r="M38" i="23"/>
  <c r="L38" i="23"/>
  <c r="K38" i="23"/>
  <c r="J38" i="23"/>
  <c r="I38" i="23"/>
  <c r="M37" i="23"/>
  <c r="L37" i="23"/>
  <c r="K37" i="23"/>
  <c r="J37" i="23"/>
  <c r="I37" i="23"/>
  <c r="M36" i="23"/>
  <c r="L36" i="23"/>
  <c r="K36" i="23"/>
  <c r="J36" i="23"/>
  <c r="I36" i="23"/>
  <c r="M35" i="23"/>
  <c r="L35" i="23"/>
  <c r="K35" i="23"/>
  <c r="J35" i="23"/>
  <c r="I35" i="23"/>
  <c r="M34" i="23"/>
  <c r="L34" i="23"/>
  <c r="K34" i="23"/>
  <c r="J34" i="23"/>
  <c r="I34" i="23"/>
  <c r="M33" i="23"/>
  <c r="L33" i="23"/>
  <c r="K33" i="23"/>
  <c r="J33" i="23"/>
  <c r="I33" i="23"/>
  <c r="M32" i="23"/>
  <c r="L32" i="23"/>
  <c r="K32" i="23"/>
  <c r="J32" i="23"/>
  <c r="I32" i="23"/>
  <c r="M31" i="23"/>
  <c r="L31" i="23"/>
  <c r="K31" i="23"/>
  <c r="J31" i="23"/>
  <c r="I31" i="23"/>
  <c r="M30" i="23"/>
  <c r="L30" i="23"/>
  <c r="K30" i="23"/>
  <c r="J30" i="23"/>
  <c r="I30" i="23"/>
  <c r="M29" i="23"/>
  <c r="L29" i="23"/>
  <c r="K29" i="23"/>
  <c r="J29" i="23"/>
  <c r="I29" i="23"/>
  <c r="M28" i="23"/>
  <c r="L28" i="23"/>
  <c r="K28" i="23"/>
  <c r="J28" i="23"/>
  <c r="I28" i="23"/>
  <c r="M27" i="23"/>
  <c r="L27" i="23"/>
  <c r="K27" i="23"/>
  <c r="J27" i="23"/>
  <c r="I27" i="23"/>
  <c r="M26" i="23"/>
  <c r="L26" i="23"/>
  <c r="K26" i="23"/>
  <c r="J26" i="23"/>
  <c r="I26" i="23"/>
  <c r="M25" i="23"/>
  <c r="L25" i="23"/>
  <c r="K25" i="23"/>
  <c r="J25" i="23"/>
  <c r="I25" i="23"/>
  <c r="M24" i="23"/>
  <c r="L24" i="23"/>
  <c r="K24" i="23"/>
  <c r="J24" i="23"/>
  <c r="I24" i="23"/>
  <c r="M23" i="23"/>
  <c r="L23" i="23"/>
  <c r="K23" i="23"/>
  <c r="J23" i="23"/>
  <c r="I23" i="23"/>
  <c r="M22" i="23"/>
  <c r="L22" i="23"/>
  <c r="K22" i="23"/>
  <c r="J22" i="23"/>
  <c r="I22" i="23"/>
  <c r="M21" i="23"/>
  <c r="L21" i="23"/>
  <c r="K21" i="23"/>
  <c r="J21" i="23"/>
  <c r="I21" i="23"/>
  <c r="M20" i="23"/>
  <c r="L20" i="23"/>
  <c r="K20" i="23"/>
  <c r="J20" i="23"/>
  <c r="I20" i="23"/>
  <c r="M19" i="23"/>
  <c r="L19" i="23"/>
  <c r="K19" i="23"/>
  <c r="J19" i="23"/>
  <c r="I19" i="23"/>
  <c r="M18" i="23"/>
  <c r="L18" i="23"/>
  <c r="K18" i="23"/>
  <c r="J18" i="23"/>
  <c r="I18" i="23"/>
  <c r="M17" i="23"/>
  <c r="L17" i="23"/>
  <c r="K17" i="23"/>
  <c r="J17" i="23"/>
  <c r="I17" i="23"/>
  <c r="M16" i="23"/>
  <c r="L16" i="23"/>
  <c r="K16" i="23"/>
  <c r="J16" i="23"/>
  <c r="I16" i="23"/>
  <c r="M15" i="23"/>
  <c r="L15" i="23"/>
  <c r="K15" i="23"/>
  <c r="J15" i="23"/>
  <c r="I15" i="23"/>
  <c r="M14" i="23"/>
  <c r="L14" i="23"/>
  <c r="K14" i="23"/>
  <c r="J14" i="23"/>
  <c r="I14" i="23"/>
  <c r="M13" i="23"/>
  <c r="L13" i="23"/>
  <c r="K13" i="23"/>
  <c r="J13" i="23"/>
  <c r="I13" i="23"/>
  <c r="M12" i="23"/>
  <c r="L12" i="23"/>
  <c r="K12" i="23"/>
  <c r="J12" i="23"/>
  <c r="I12" i="23"/>
  <c r="M11" i="23"/>
  <c r="L11" i="23"/>
  <c r="K11" i="23"/>
  <c r="J11" i="23"/>
  <c r="I11" i="23"/>
  <c r="M10" i="23"/>
  <c r="L10" i="23"/>
  <c r="K10" i="23"/>
  <c r="J10" i="23"/>
  <c r="I10" i="23"/>
  <c r="M9" i="23"/>
  <c r="L9" i="23"/>
  <c r="K9" i="23"/>
  <c r="J9" i="23"/>
  <c r="I9" i="23"/>
  <c r="M8" i="23"/>
  <c r="L8" i="23"/>
  <c r="K8" i="23"/>
  <c r="J8" i="23"/>
  <c r="I8" i="23"/>
  <c r="M7" i="23"/>
  <c r="L7" i="23"/>
  <c r="K7" i="23"/>
  <c r="J7" i="23"/>
  <c r="I7" i="23"/>
  <c r="M6" i="23"/>
  <c r="L6" i="23"/>
  <c r="K6" i="23"/>
  <c r="J6" i="23"/>
  <c r="I6" i="23"/>
  <c r="M5" i="23"/>
  <c r="L5" i="23"/>
  <c r="K5" i="23"/>
  <c r="J5" i="23"/>
  <c r="I5" i="23"/>
  <c r="M4" i="23"/>
  <c r="L4" i="23"/>
  <c r="K4" i="23"/>
  <c r="J4" i="23"/>
  <c r="I4" i="23"/>
  <c r="M3" i="23"/>
  <c r="L3" i="23"/>
  <c r="K3" i="23"/>
  <c r="J3" i="23"/>
  <c r="I3" i="23"/>
  <c r="M71" i="20"/>
  <c r="L71" i="20"/>
  <c r="K71" i="20"/>
  <c r="J71" i="20"/>
  <c r="I71" i="20"/>
  <c r="M70" i="20"/>
  <c r="L70" i="20"/>
  <c r="K70" i="20"/>
  <c r="J70" i="20"/>
  <c r="I70" i="20"/>
  <c r="M69" i="20"/>
  <c r="L69" i="20"/>
  <c r="K69" i="20"/>
  <c r="J69" i="20"/>
  <c r="I69" i="20"/>
  <c r="M68" i="20"/>
  <c r="L68" i="20"/>
  <c r="K68" i="20"/>
  <c r="J68" i="20"/>
  <c r="I68" i="20"/>
  <c r="M67" i="20"/>
  <c r="L67" i="20"/>
  <c r="K67" i="20"/>
  <c r="J67" i="20"/>
  <c r="I67" i="20"/>
  <c r="M66" i="20"/>
  <c r="L66" i="20"/>
  <c r="K66" i="20"/>
  <c r="J66" i="20"/>
  <c r="I66" i="20"/>
  <c r="M65" i="20"/>
  <c r="L65" i="20"/>
  <c r="K65" i="20"/>
  <c r="J65" i="20"/>
  <c r="I65" i="20"/>
  <c r="M64" i="20"/>
  <c r="L64" i="20"/>
  <c r="K64" i="20"/>
  <c r="J64" i="20"/>
  <c r="I64" i="20"/>
  <c r="M63" i="20"/>
  <c r="L63" i="20"/>
  <c r="K63" i="20"/>
  <c r="J63" i="20"/>
  <c r="I63" i="20"/>
  <c r="M62" i="20"/>
  <c r="L62" i="20"/>
  <c r="K62" i="20"/>
  <c r="J62" i="20"/>
  <c r="I62" i="20"/>
  <c r="M61" i="20"/>
  <c r="L61" i="20"/>
  <c r="K61" i="20"/>
  <c r="J61" i="20"/>
  <c r="I61" i="20"/>
  <c r="M60" i="20"/>
  <c r="L60" i="20"/>
  <c r="K60" i="20"/>
  <c r="J60" i="20"/>
  <c r="I60" i="20"/>
  <c r="M59" i="20"/>
  <c r="L59" i="20"/>
  <c r="K59" i="20"/>
  <c r="J59" i="20"/>
  <c r="I59" i="20"/>
  <c r="M58" i="20"/>
  <c r="L58" i="20"/>
  <c r="K58" i="20"/>
  <c r="J58" i="20"/>
  <c r="I58" i="20"/>
  <c r="M57" i="20"/>
  <c r="L57" i="20"/>
  <c r="K57" i="20"/>
  <c r="J57" i="20"/>
  <c r="I57" i="20"/>
  <c r="M56" i="20"/>
  <c r="L56" i="20"/>
  <c r="K56" i="20"/>
  <c r="J56" i="20"/>
  <c r="I56" i="20"/>
  <c r="M55" i="20"/>
  <c r="L55" i="20"/>
  <c r="K55" i="20"/>
  <c r="J55" i="20"/>
  <c r="I55" i="20"/>
  <c r="M54" i="20"/>
  <c r="L54" i="20"/>
  <c r="K54" i="20"/>
  <c r="J54" i="20"/>
  <c r="I54" i="20"/>
  <c r="M53" i="20"/>
  <c r="L53" i="20"/>
  <c r="K53" i="20"/>
  <c r="J53" i="20"/>
  <c r="I53" i="20"/>
  <c r="M52" i="20"/>
  <c r="L52" i="20"/>
  <c r="K52" i="20"/>
  <c r="J52" i="20"/>
  <c r="I52" i="20"/>
  <c r="M51" i="20"/>
  <c r="L51" i="20"/>
  <c r="K51" i="20"/>
  <c r="J51" i="20"/>
  <c r="I51" i="20"/>
  <c r="M50" i="20"/>
  <c r="L50" i="20"/>
  <c r="K50" i="20"/>
  <c r="J50" i="20"/>
  <c r="I50" i="20"/>
  <c r="M49" i="20"/>
  <c r="L49" i="20"/>
  <c r="K49" i="20"/>
  <c r="J49" i="20"/>
  <c r="I49" i="20"/>
  <c r="M48" i="20"/>
  <c r="L48" i="20"/>
  <c r="K48" i="20"/>
  <c r="J48" i="20"/>
  <c r="I48" i="20"/>
  <c r="M47" i="20"/>
  <c r="L47" i="20"/>
  <c r="K47" i="20"/>
  <c r="J47" i="20"/>
  <c r="I47" i="20"/>
  <c r="M46" i="20"/>
  <c r="L46" i="20"/>
  <c r="K46" i="20"/>
  <c r="J46" i="20"/>
  <c r="I46" i="20"/>
  <c r="M45" i="20"/>
  <c r="L45" i="20"/>
  <c r="K45" i="20"/>
  <c r="J45" i="20"/>
  <c r="I45" i="20"/>
  <c r="M44" i="20"/>
  <c r="L44" i="20"/>
  <c r="K44" i="20"/>
  <c r="J44" i="20"/>
  <c r="I44" i="20"/>
  <c r="M43" i="20"/>
  <c r="L43" i="20"/>
  <c r="K43" i="20"/>
  <c r="J43" i="20"/>
  <c r="I43" i="20"/>
  <c r="M42" i="20"/>
  <c r="L42" i="20"/>
  <c r="K42" i="20"/>
  <c r="J42" i="20"/>
  <c r="I42" i="20"/>
  <c r="M41" i="20"/>
  <c r="L41" i="20"/>
  <c r="K41" i="20"/>
  <c r="J41" i="20"/>
  <c r="I41" i="20"/>
  <c r="M40" i="20"/>
  <c r="L40" i="20"/>
  <c r="K40" i="20"/>
  <c r="J40" i="20"/>
  <c r="I40" i="20"/>
  <c r="M39" i="20"/>
  <c r="L39" i="20"/>
  <c r="K39" i="20"/>
  <c r="J39" i="20"/>
  <c r="I39" i="20"/>
  <c r="M38" i="20"/>
  <c r="L38" i="20"/>
  <c r="K38" i="20"/>
  <c r="J38" i="20"/>
  <c r="I38" i="20"/>
  <c r="M37" i="20"/>
  <c r="L37" i="20"/>
  <c r="K37" i="20"/>
  <c r="J37" i="20"/>
  <c r="I37" i="20"/>
  <c r="M36" i="20"/>
  <c r="L36" i="20"/>
  <c r="K36" i="20"/>
  <c r="J36" i="20"/>
  <c r="I36" i="20"/>
  <c r="M35" i="20"/>
  <c r="L35" i="20"/>
  <c r="K35" i="20"/>
  <c r="J35" i="20"/>
  <c r="I35" i="20"/>
  <c r="M34" i="20"/>
  <c r="L34" i="20"/>
  <c r="K34" i="20"/>
  <c r="J34" i="20"/>
  <c r="I34" i="20"/>
  <c r="M33" i="20"/>
  <c r="L33" i="20"/>
  <c r="K33" i="20"/>
  <c r="J33" i="20"/>
  <c r="I33" i="20"/>
  <c r="M32" i="20"/>
  <c r="L32" i="20"/>
  <c r="K32" i="20"/>
  <c r="J32" i="20"/>
  <c r="I32" i="20"/>
  <c r="M31" i="20"/>
  <c r="L31" i="20"/>
  <c r="K31" i="20"/>
  <c r="J31" i="20"/>
  <c r="I31" i="20"/>
  <c r="M30" i="20"/>
  <c r="L30" i="20"/>
  <c r="K30" i="20"/>
  <c r="J30" i="20"/>
  <c r="I30" i="20"/>
  <c r="M29" i="20"/>
  <c r="L29" i="20"/>
  <c r="K29" i="20"/>
  <c r="J29" i="20"/>
  <c r="I29" i="20"/>
  <c r="M28" i="20"/>
  <c r="L28" i="20"/>
  <c r="K28" i="20"/>
  <c r="J28" i="20"/>
  <c r="I28" i="20"/>
  <c r="M27" i="20"/>
  <c r="L27" i="20"/>
  <c r="K27" i="20"/>
  <c r="J27" i="20"/>
  <c r="I27" i="20"/>
  <c r="M26" i="20"/>
  <c r="L26" i="20"/>
  <c r="K26" i="20"/>
  <c r="J26" i="20"/>
  <c r="I26" i="20"/>
  <c r="M25" i="20"/>
  <c r="L25" i="20"/>
  <c r="K25" i="20"/>
  <c r="J25" i="20"/>
  <c r="I25" i="20"/>
  <c r="M24" i="20"/>
  <c r="L24" i="20"/>
  <c r="K24" i="20"/>
  <c r="J24" i="20"/>
  <c r="I24" i="20"/>
  <c r="M23" i="20"/>
  <c r="L23" i="20"/>
  <c r="K23" i="20"/>
  <c r="J23" i="20"/>
  <c r="I23" i="20"/>
  <c r="M22" i="20"/>
  <c r="L22" i="20"/>
  <c r="K22" i="20"/>
  <c r="J22" i="20"/>
  <c r="I22" i="20"/>
  <c r="M21" i="20"/>
  <c r="L21" i="20"/>
  <c r="K21" i="20"/>
  <c r="J21" i="20"/>
  <c r="I21" i="20"/>
  <c r="M20" i="20"/>
  <c r="L20" i="20"/>
  <c r="K20" i="20"/>
  <c r="J20" i="20"/>
  <c r="I20" i="20"/>
  <c r="M19" i="20"/>
  <c r="L19" i="20"/>
  <c r="K19" i="20"/>
  <c r="J19" i="20"/>
  <c r="I19" i="20"/>
  <c r="M18" i="20"/>
  <c r="L18" i="20"/>
  <c r="K18" i="20"/>
  <c r="J18" i="20"/>
  <c r="I18" i="20"/>
  <c r="M17" i="20"/>
  <c r="L17" i="20"/>
  <c r="K17" i="20"/>
  <c r="J17" i="20"/>
  <c r="I17" i="20"/>
  <c r="M16" i="20"/>
  <c r="L16" i="20"/>
  <c r="K16" i="20"/>
  <c r="J16" i="20"/>
  <c r="I16" i="20"/>
  <c r="M15" i="20"/>
  <c r="L15" i="20"/>
  <c r="K15" i="20"/>
  <c r="J15" i="20"/>
  <c r="I15" i="20"/>
  <c r="M14" i="20"/>
  <c r="L14" i="20"/>
  <c r="K14" i="20"/>
  <c r="J14" i="20"/>
  <c r="I14" i="20"/>
  <c r="M13" i="20"/>
  <c r="L13" i="20"/>
  <c r="K13" i="20"/>
  <c r="J13" i="20"/>
  <c r="I13" i="20"/>
  <c r="M12" i="20"/>
  <c r="L12" i="20"/>
  <c r="K12" i="20"/>
  <c r="J12" i="20"/>
  <c r="I12" i="20"/>
  <c r="M11" i="20"/>
  <c r="L11" i="20"/>
  <c r="K11" i="20"/>
  <c r="J11" i="20"/>
  <c r="I11" i="20"/>
  <c r="M10" i="20"/>
  <c r="L10" i="20"/>
  <c r="K10" i="20"/>
  <c r="J10" i="20"/>
  <c r="I10" i="20"/>
  <c r="M9" i="20"/>
  <c r="L9" i="20"/>
  <c r="K9" i="20"/>
  <c r="J9" i="20"/>
  <c r="I9" i="20"/>
  <c r="M8" i="20"/>
  <c r="L8" i="20"/>
  <c r="K8" i="20"/>
  <c r="J8" i="20"/>
  <c r="I8" i="20"/>
  <c r="M7" i="20"/>
  <c r="L7" i="20"/>
  <c r="K7" i="20"/>
  <c r="J7" i="20"/>
  <c r="I7" i="20"/>
  <c r="M6" i="20"/>
  <c r="L6" i="20"/>
  <c r="K6" i="20"/>
  <c r="J6" i="20"/>
  <c r="I6" i="20"/>
  <c r="M5" i="20"/>
  <c r="L5" i="20"/>
  <c r="K5" i="20"/>
  <c r="J5" i="20"/>
  <c r="I5" i="20"/>
  <c r="M4" i="20"/>
  <c r="L4" i="20"/>
  <c r="K4" i="20"/>
  <c r="J4" i="20"/>
  <c r="I4" i="20"/>
  <c r="M3" i="20"/>
  <c r="L3" i="20"/>
  <c r="K3" i="20"/>
  <c r="J3" i="20"/>
  <c r="I3" i="20"/>
  <c r="M71" i="19"/>
  <c r="L71" i="19"/>
  <c r="K71" i="19"/>
  <c r="J71" i="19"/>
  <c r="I71" i="19"/>
  <c r="M70" i="19"/>
  <c r="L70" i="19"/>
  <c r="K70" i="19"/>
  <c r="J70" i="19"/>
  <c r="I70" i="19"/>
  <c r="M69" i="19"/>
  <c r="L69" i="19"/>
  <c r="K69" i="19"/>
  <c r="J69" i="19"/>
  <c r="I69" i="19"/>
  <c r="M68" i="19"/>
  <c r="L68" i="19"/>
  <c r="K68" i="19"/>
  <c r="J68" i="19"/>
  <c r="I68" i="19"/>
  <c r="M67" i="19"/>
  <c r="L67" i="19"/>
  <c r="K67" i="19"/>
  <c r="J67" i="19"/>
  <c r="I67" i="19"/>
  <c r="M66" i="19"/>
  <c r="L66" i="19"/>
  <c r="K66" i="19"/>
  <c r="J66" i="19"/>
  <c r="I66" i="19"/>
  <c r="M65" i="19"/>
  <c r="L65" i="19"/>
  <c r="K65" i="19"/>
  <c r="J65" i="19"/>
  <c r="I65" i="19"/>
  <c r="M64" i="19"/>
  <c r="L64" i="19"/>
  <c r="K64" i="19"/>
  <c r="J64" i="19"/>
  <c r="I64" i="19"/>
  <c r="M63" i="19"/>
  <c r="L63" i="19"/>
  <c r="K63" i="19"/>
  <c r="J63" i="19"/>
  <c r="I63" i="19"/>
  <c r="M62" i="19"/>
  <c r="L62" i="19"/>
  <c r="K62" i="19"/>
  <c r="J62" i="19"/>
  <c r="I62" i="19"/>
  <c r="M61" i="19"/>
  <c r="L61" i="19"/>
  <c r="K61" i="19"/>
  <c r="J61" i="19"/>
  <c r="I61" i="19"/>
  <c r="M60" i="19"/>
  <c r="L60" i="19"/>
  <c r="K60" i="19"/>
  <c r="J60" i="19"/>
  <c r="I60" i="19"/>
  <c r="M59" i="19"/>
  <c r="L59" i="19"/>
  <c r="K59" i="19"/>
  <c r="J59" i="19"/>
  <c r="I59" i="19"/>
  <c r="M58" i="19"/>
  <c r="L58" i="19"/>
  <c r="K58" i="19"/>
  <c r="J58" i="19"/>
  <c r="I58" i="19"/>
  <c r="M57" i="19"/>
  <c r="L57" i="19"/>
  <c r="K57" i="19"/>
  <c r="J57" i="19"/>
  <c r="I57" i="19"/>
  <c r="M56" i="19"/>
  <c r="L56" i="19"/>
  <c r="K56" i="19"/>
  <c r="J56" i="19"/>
  <c r="I56" i="19"/>
  <c r="M55" i="19"/>
  <c r="L55" i="19"/>
  <c r="K55" i="19"/>
  <c r="J55" i="19"/>
  <c r="I55" i="19"/>
  <c r="M54" i="19"/>
  <c r="L54" i="19"/>
  <c r="K54" i="19"/>
  <c r="J54" i="19"/>
  <c r="I54" i="19"/>
  <c r="M53" i="19"/>
  <c r="L53" i="19"/>
  <c r="K53" i="19"/>
  <c r="J53" i="19"/>
  <c r="I53" i="19"/>
  <c r="M52" i="19"/>
  <c r="L52" i="19"/>
  <c r="K52" i="19"/>
  <c r="J52" i="19"/>
  <c r="I52" i="19"/>
  <c r="M51" i="19"/>
  <c r="L51" i="19"/>
  <c r="K51" i="19"/>
  <c r="J51" i="19"/>
  <c r="I51" i="19"/>
  <c r="M50" i="19"/>
  <c r="L50" i="19"/>
  <c r="K50" i="19"/>
  <c r="J50" i="19"/>
  <c r="I50" i="19"/>
  <c r="M49" i="19"/>
  <c r="L49" i="19"/>
  <c r="K49" i="19"/>
  <c r="J49" i="19"/>
  <c r="I49" i="19"/>
  <c r="M48" i="19"/>
  <c r="L48" i="19"/>
  <c r="K48" i="19"/>
  <c r="J48" i="19"/>
  <c r="I48" i="19"/>
  <c r="M47" i="19"/>
  <c r="L47" i="19"/>
  <c r="K47" i="19"/>
  <c r="J47" i="19"/>
  <c r="I47" i="19"/>
  <c r="M46" i="19"/>
  <c r="L46" i="19"/>
  <c r="K46" i="19"/>
  <c r="J46" i="19"/>
  <c r="I46" i="19"/>
  <c r="M45" i="19"/>
  <c r="L45" i="19"/>
  <c r="K45" i="19"/>
  <c r="J45" i="19"/>
  <c r="I45" i="19"/>
  <c r="M44" i="19"/>
  <c r="L44" i="19"/>
  <c r="K44" i="19"/>
  <c r="J44" i="19"/>
  <c r="I44" i="19"/>
  <c r="M43" i="19"/>
  <c r="L43" i="19"/>
  <c r="K43" i="19"/>
  <c r="J43" i="19"/>
  <c r="I43" i="19"/>
  <c r="M42" i="19"/>
  <c r="L42" i="19"/>
  <c r="K42" i="19"/>
  <c r="J42" i="19"/>
  <c r="I42" i="19"/>
  <c r="M41" i="19"/>
  <c r="L41" i="19"/>
  <c r="K41" i="19"/>
  <c r="J41" i="19"/>
  <c r="I41" i="19"/>
  <c r="M40" i="19"/>
  <c r="L40" i="19"/>
  <c r="K40" i="19"/>
  <c r="J40" i="19"/>
  <c r="I40" i="19"/>
  <c r="M39" i="19"/>
  <c r="L39" i="19"/>
  <c r="K39" i="19"/>
  <c r="J39" i="19"/>
  <c r="I39" i="19"/>
  <c r="M38" i="19"/>
  <c r="L38" i="19"/>
  <c r="K38" i="19"/>
  <c r="J38" i="19"/>
  <c r="I38" i="19"/>
  <c r="M37" i="19"/>
  <c r="L37" i="19"/>
  <c r="K37" i="19"/>
  <c r="J37" i="19"/>
  <c r="I37" i="19"/>
  <c r="M36" i="19"/>
  <c r="L36" i="19"/>
  <c r="K36" i="19"/>
  <c r="J36" i="19"/>
  <c r="I36" i="19"/>
  <c r="M35" i="19"/>
  <c r="L35" i="19"/>
  <c r="K35" i="19"/>
  <c r="J35" i="19"/>
  <c r="I35" i="19"/>
  <c r="M34" i="19"/>
  <c r="L34" i="19"/>
  <c r="K34" i="19"/>
  <c r="J34" i="19"/>
  <c r="I34" i="19"/>
  <c r="M33" i="19"/>
  <c r="L33" i="19"/>
  <c r="K33" i="19"/>
  <c r="J33" i="19"/>
  <c r="I33" i="19"/>
  <c r="M32" i="19"/>
  <c r="L32" i="19"/>
  <c r="K32" i="19"/>
  <c r="J32" i="19"/>
  <c r="I32" i="19"/>
  <c r="M31" i="19"/>
  <c r="L31" i="19"/>
  <c r="K31" i="19"/>
  <c r="J31" i="19"/>
  <c r="I31" i="19"/>
  <c r="M30" i="19"/>
  <c r="L30" i="19"/>
  <c r="K30" i="19"/>
  <c r="J30" i="19"/>
  <c r="I30" i="19"/>
  <c r="M29" i="19"/>
  <c r="L29" i="19"/>
  <c r="K29" i="19"/>
  <c r="J29" i="19"/>
  <c r="I29" i="19"/>
  <c r="M28" i="19"/>
  <c r="L28" i="19"/>
  <c r="K28" i="19"/>
  <c r="J28" i="19"/>
  <c r="I28" i="19"/>
  <c r="M27" i="19"/>
  <c r="L27" i="19"/>
  <c r="K27" i="19"/>
  <c r="J27" i="19"/>
  <c r="I27" i="19"/>
  <c r="M26" i="19"/>
  <c r="L26" i="19"/>
  <c r="K26" i="19"/>
  <c r="J26" i="19"/>
  <c r="I26" i="19"/>
  <c r="M25" i="19"/>
  <c r="L25" i="19"/>
  <c r="K25" i="19"/>
  <c r="J25" i="19"/>
  <c r="I25" i="19"/>
  <c r="M24" i="19"/>
  <c r="L24" i="19"/>
  <c r="K24" i="19"/>
  <c r="J24" i="19"/>
  <c r="I24" i="19"/>
  <c r="M23" i="19"/>
  <c r="L23" i="19"/>
  <c r="K23" i="19"/>
  <c r="J23" i="19"/>
  <c r="I23" i="19"/>
  <c r="M22" i="19"/>
  <c r="L22" i="19"/>
  <c r="K22" i="19"/>
  <c r="J22" i="19"/>
  <c r="I22" i="19"/>
  <c r="M21" i="19"/>
  <c r="L21" i="19"/>
  <c r="K21" i="19"/>
  <c r="J21" i="19"/>
  <c r="I21" i="19"/>
  <c r="M20" i="19"/>
  <c r="L20" i="19"/>
  <c r="K20" i="19"/>
  <c r="J20" i="19"/>
  <c r="I20" i="19"/>
  <c r="M19" i="19"/>
  <c r="L19" i="19"/>
  <c r="K19" i="19"/>
  <c r="J19" i="19"/>
  <c r="I19" i="19"/>
  <c r="M18" i="19"/>
  <c r="L18" i="19"/>
  <c r="K18" i="19"/>
  <c r="J18" i="19"/>
  <c r="I18" i="19"/>
  <c r="M17" i="19"/>
  <c r="L17" i="19"/>
  <c r="K17" i="19"/>
  <c r="J17" i="19"/>
  <c r="I17" i="19"/>
  <c r="M16" i="19"/>
  <c r="L16" i="19"/>
  <c r="K16" i="19"/>
  <c r="J16" i="19"/>
  <c r="I16" i="19"/>
  <c r="M15" i="19"/>
  <c r="L15" i="19"/>
  <c r="K15" i="19"/>
  <c r="J15" i="19"/>
  <c r="I15" i="19"/>
  <c r="M14" i="19"/>
  <c r="L14" i="19"/>
  <c r="K14" i="19"/>
  <c r="J14" i="19"/>
  <c r="I14" i="19"/>
  <c r="M13" i="19"/>
  <c r="L13" i="19"/>
  <c r="K13" i="19"/>
  <c r="J13" i="19"/>
  <c r="I13" i="19"/>
  <c r="M12" i="19"/>
  <c r="L12" i="19"/>
  <c r="K12" i="19"/>
  <c r="J12" i="19"/>
  <c r="I12" i="19"/>
  <c r="M11" i="19"/>
  <c r="L11" i="19"/>
  <c r="K11" i="19"/>
  <c r="J11" i="19"/>
  <c r="I11" i="19"/>
  <c r="M10" i="19"/>
  <c r="L10" i="19"/>
  <c r="K10" i="19"/>
  <c r="J10" i="19"/>
  <c r="I10" i="19"/>
  <c r="M9" i="19"/>
  <c r="L9" i="19"/>
  <c r="K9" i="19"/>
  <c r="J9" i="19"/>
  <c r="I9" i="19"/>
  <c r="M8" i="19"/>
  <c r="L8" i="19"/>
  <c r="K8" i="19"/>
  <c r="J8" i="19"/>
  <c r="I8" i="19"/>
  <c r="M7" i="19"/>
  <c r="L7" i="19"/>
  <c r="K7" i="19"/>
  <c r="J7" i="19"/>
  <c r="I7" i="19"/>
  <c r="M6" i="19"/>
  <c r="L6" i="19"/>
  <c r="K6" i="19"/>
  <c r="J6" i="19"/>
  <c r="I6" i="19"/>
  <c r="M5" i="19"/>
  <c r="L5" i="19"/>
  <c r="K5" i="19"/>
  <c r="J5" i="19"/>
  <c r="I5" i="19"/>
  <c r="M4" i="19"/>
  <c r="L4" i="19"/>
  <c r="K4" i="19"/>
  <c r="J4" i="19"/>
  <c r="I4" i="19"/>
  <c r="M3" i="19"/>
  <c r="L3" i="19"/>
  <c r="K3" i="19"/>
  <c r="J3" i="19"/>
  <c r="I3" i="19"/>
  <c r="M71" i="18"/>
  <c r="L71" i="18"/>
  <c r="K71" i="18"/>
  <c r="J71" i="18"/>
  <c r="I71" i="18"/>
  <c r="M70" i="18"/>
  <c r="L70" i="18"/>
  <c r="K70" i="18"/>
  <c r="J70" i="18"/>
  <c r="I70" i="18"/>
  <c r="M69" i="18"/>
  <c r="L69" i="18"/>
  <c r="K69" i="18"/>
  <c r="J69" i="18"/>
  <c r="I69" i="18"/>
  <c r="M68" i="18"/>
  <c r="L68" i="18"/>
  <c r="K68" i="18"/>
  <c r="J68" i="18"/>
  <c r="I68" i="18"/>
  <c r="M67" i="18"/>
  <c r="L67" i="18"/>
  <c r="K67" i="18"/>
  <c r="J67" i="18"/>
  <c r="I67" i="18"/>
  <c r="M66" i="18"/>
  <c r="L66" i="18"/>
  <c r="K66" i="18"/>
  <c r="J66" i="18"/>
  <c r="I66" i="18"/>
  <c r="M65" i="18"/>
  <c r="L65" i="18"/>
  <c r="K65" i="18"/>
  <c r="J65" i="18"/>
  <c r="I65" i="18"/>
  <c r="M64" i="18"/>
  <c r="L64" i="18"/>
  <c r="K64" i="18"/>
  <c r="J64" i="18"/>
  <c r="I64" i="18"/>
  <c r="M63" i="18"/>
  <c r="L63" i="18"/>
  <c r="K63" i="18"/>
  <c r="J63" i="18"/>
  <c r="I63" i="18"/>
  <c r="M62" i="18"/>
  <c r="L62" i="18"/>
  <c r="K62" i="18"/>
  <c r="J62" i="18"/>
  <c r="I62" i="18"/>
  <c r="M61" i="18"/>
  <c r="L61" i="18"/>
  <c r="K61" i="18"/>
  <c r="J61" i="18"/>
  <c r="I61" i="18"/>
  <c r="M60" i="18"/>
  <c r="L60" i="18"/>
  <c r="K60" i="18"/>
  <c r="J60" i="18"/>
  <c r="I60" i="18"/>
  <c r="M59" i="18"/>
  <c r="L59" i="18"/>
  <c r="K59" i="18"/>
  <c r="J59" i="18"/>
  <c r="I59" i="18"/>
  <c r="M58" i="18"/>
  <c r="L58" i="18"/>
  <c r="K58" i="18"/>
  <c r="J58" i="18"/>
  <c r="I58" i="18"/>
  <c r="M57" i="18"/>
  <c r="L57" i="18"/>
  <c r="K57" i="18"/>
  <c r="J57" i="18"/>
  <c r="I57" i="18"/>
  <c r="M56" i="18"/>
  <c r="L56" i="18"/>
  <c r="K56" i="18"/>
  <c r="J56" i="18"/>
  <c r="I56" i="18"/>
  <c r="M55" i="18"/>
  <c r="L55" i="18"/>
  <c r="K55" i="18"/>
  <c r="J55" i="18"/>
  <c r="I55" i="18"/>
  <c r="M54" i="18"/>
  <c r="L54" i="18"/>
  <c r="K54" i="18"/>
  <c r="J54" i="18"/>
  <c r="I54" i="18"/>
  <c r="M53" i="18"/>
  <c r="L53" i="18"/>
  <c r="K53" i="18"/>
  <c r="J53" i="18"/>
  <c r="I53" i="18"/>
  <c r="M52" i="18"/>
  <c r="L52" i="18"/>
  <c r="K52" i="18"/>
  <c r="J52" i="18"/>
  <c r="I52" i="18"/>
  <c r="M51" i="18"/>
  <c r="L51" i="18"/>
  <c r="K51" i="18"/>
  <c r="J51" i="18"/>
  <c r="I51" i="18"/>
  <c r="M50" i="18"/>
  <c r="L50" i="18"/>
  <c r="K50" i="18"/>
  <c r="J50" i="18"/>
  <c r="I50" i="18"/>
  <c r="M49" i="18"/>
  <c r="L49" i="18"/>
  <c r="K49" i="18"/>
  <c r="J49" i="18"/>
  <c r="I49" i="18"/>
  <c r="M48" i="18"/>
  <c r="L48" i="18"/>
  <c r="K48" i="18"/>
  <c r="J48" i="18"/>
  <c r="I48" i="18"/>
  <c r="M47" i="18"/>
  <c r="L47" i="18"/>
  <c r="K47" i="18"/>
  <c r="J47" i="18"/>
  <c r="I47" i="18"/>
  <c r="M46" i="18"/>
  <c r="L46" i="18"/>
  <c r="K46" i="18"/>
  <c r="J46" i="18"/>
  <c r="I46" i="18"/>
  <c r="M45" i="18"/>
  <c r="L45" i="18"/>
  <c r="K45" i="18"/>
  <c r="J45" i="18"/>
  <c r="I45" i="18"/>
  <c r="M44" i="18"/>
  <c r="L44" i="18"/>
  <c r="K44" i="18"/>
  <c r="J44" i="18"/>
  <c r="I44" i="18"/>
  <c r="M43" i="18"/>
  <c r="L43" i="18"/>
  <c r="K43" i="18"/>
  <c r="J43" i="18"/>
  <c r="I43" i="18"/>
  <c r="M42" i="18"/>
  <c r="L42" i="18"/>
  <c r="K42" i="18"/>
  <c r="J42" i="18"/>
  <c r="I42" i="18"/>
  <c r="M41" i="18"/>
  <c r="L41" i="18"/>
  <c r="K41" i="18"/>
  <c r="J41" i="18"/>
  <c r="I41" i="18"/>
  <c r="M40" i="18"/>
  <c r="L40" i="18"/>
  <c r="K40" i="18"/>
  <c r="J40" i="18"/>
  <c r="I40" i="18"/>
  <c r="M39" i="18"/>
  <c r="L39" i="18"/>
  <c r="K39" i="18"/>
  <c r="J39" i="18"/>
  <c r="I39" i="18"/>
  <c r="M38" i="18"/>
  <c r="L38" i="18"/>
  <c r="K38" i="18"/>
  <c r="J38" i="18"/>
  <c r="I38" i="18"/>
  <c r="M37" i="18"/>
  <c r="L37" i="18"/>
  <c r="K37" i="18"/>
  <c r="J37" i="18"/>
  <c r="I37" i="18"/>
  <c r="M36" i="18"/>
  <c r="L36" i="18"/>
  <c r="K36" i="18"/>
  <c r="J36" i="18"/>
  <c r="I36" i="18"/>
  <c r="M35" i="18"/>
  <c r="L35" i="18"/>
  <c r="K35" i="18"/>
  <c r="J35" i="18"/>
  <c r="I35" i="18"/>
  <c r="M34" i="18"/>
  <c r="L34" i="18"/>
  <c r="K34" i="18"/>
  <c r="J34" i="18"/>
  <c r="I34" i="18"/>
  <c r="M33" i="18"/>
  <c r="L33" i="18"/>
  <c r="K33" i="18"/>
  <c r="J33" i="18"/>
  <c r="I33" i="18"/>
  <c r="M32" i="18"/>
  <c r="L32" i="18"/>
  <c r="K32" i="18"/>
  <c r="J32" i="18"/>
  <c r="I32" i="18"/>
  <c r="M31" i="18"/>
  <c r="L31" i="18"/>
  <c r="K31" i="18"/>
  <c r="J31" i="18"/>
  <c r="I31" i="18"/>
  <c r="M30" i="18"/>
  <c r="L30" i="18"/>
  <c r="K30" i="18"/>
  <c r="J30" i="18"/>
  <c r="I30" i="18"/>
  <c r="M29" i="18"/>
  <c r="L29" i="18"/>
  <c r="K29" i="18"/>
  <c r="J29" i="18"/>
  <c r="I29" i="18"/>
  <c r="M28" i="18"/>
  <c r="L28" i="18"/>
  <c r="K28" i="18"/>
  <c r="J28" i="18"/>
  <c r="I28" i="18"/>
  <c r="M27" i="18"/>
  <c r="L27" i="18"/>
  <c r="K27" i="18"/>
  <c r="J27" i="18"/>
  <c r="I27" i="18"/>
  <c r="M26" i="18"/>
  <c r="L26" i="18"/>
  <c r="K26" i="18"/>
  <c r="J26" i="18"/>
  <c r="I26" i="18"/>
  <c r="M25" i="18"/>
  <c r="L25" i="18"/>
  <c r="K25" i="18"/>
  <c r="J25" i="18"/>
  <c r="I25" i="18"/>
  <c r="M24" i="18"/>
  <c r="L24" i="18"/>
  <c r="K24" i="18"/>
  <c r="J24" i="18"/>
  <c r="I24" i="18"/>
  <c r="M23" i="18"/>
  <c r="L23" i="18"/>
  <c r="K23" i="18"/>
  <c r="J23" i="18"/>
  <c r="I23" i="18"/>
  <c r="M22" i="18"/>
  <c r="L22" i="18"/>
  <c r="K22" i="18"/>
  <c r="J22" i="18"/>
  <c r="I22" i="18"/>
  <c r="M21" i="18"/>
  <c r="L21" i="18"/>
  <c r="K21" i="18"/>
  <c r="J21" i="18"/>
  <c r="I21" i="18"/>
  <c r="M20" i="18"/>
  <c r="L20" i="18"/>
  <c r="K20" i="18"/>
  <c r="J20" i="18"/>
  <c r="I20" i="18"/>
  <c r="M19" i="18"/>
  <c r="L19" i="18"/>
  <c r="K19" i="18"/>
  <c r="J19" i="18"/>
  <c r="I19" i="18"/>
  <c r="M18" i="18"/>
  <c r="L18" i="18"/>
  <c r="K18" i="18"/>
  <c r="J18" i="18"/>
  <c r="I18" i="18"/>
  <c r="M17" i="18"/>
  <c r="L17" i="18"/>
  <c r="K17" i="18"/>
  <c r="J17" i="18"/>
  <c r="I17" i="18"/>
  <c r="M16" i="18"/>
  <c r="L16" i="18"/>
  <c r="K16" i="18"/>
  <c r="J16" i="18"/>
  <c r="I16" i="18"/>
  <c r="M15" i="18"/>
  <c r="L15" i="18"/>
  <c r="K15" i="18"/>
  <c r="J15" i="18"/>
  <c r="I15" i="18"/>
  <c r="M14" i="18"/>
  <c r="L14" i="18"/>
  <c r="K14" i="18"/>
  <c r="J14" i="18"/>
  <c r="I14" i="18"/>
  <c r="M13" i="18"/>
  <c r="L13" i="18"/>
  <c r="K13" i="18"/>
  <c r="J13" i="18"/>
  <c r="I13" i="18"/>
  <c r="M12" i="18"/>
  <c r="L12" i="18"/>
  <c r="K12" i="18"/>
  <c r="J12" i="18"/>
  <c r="I12" i="18"/>
  <c r="M11" i="18"/>
  <c r="L11" i="18"/>
  <c r="K11" i="18"/>
  <c r="J11" i="18"/>
  <c r="I11" i="18"/>
  <c r="M10" i="18"/>
  <c r="L10" i="18"/>
  <c r="K10" i="18"/>
  <c r="J10" i="18"/>
  <c r="I10" i="18"/>
  <c r="M9" i="18"/>
  <c r="L9" i="18"/>
  <c r="K9" i="18"/>
  <c r="J9" i="18"/>
  <c r="I9" i="18"/>
  <c r="M8" i="18"/>
  <c r="L8" i="18"/>
  <c r="K8" i="18"/>
  <c r="J8" i="18"/>
  <c r="I8" i="18"/>
  <c r="M7" i="18"/>
  <c r="L7" i="18"/>
  <c r="K7" i="18"/>
  <c r="J7" i="18"/>
  <c r="I7" i="18"/>
  <c r="M6" i="18"/>
  <c r="L6" i="18"/>
  <c r="K6" i="18"/>
  <c r="J6" i="18"/>
  <c r="I6" i="18"/>
  <c r="M5" i="18"/>
  <c r="L5" i="18"/>
  <c r="K5" i="18"/>
  <c r="J5" i="18"/>
  <c r="I5" i="18"/>
  <c r="M4" i="18"/>
  <c r="L4" i="18"/>
  <c r="K4" i="18"/>
  <c r="J4" i="18"/>
  <c r="I4" i="18"/>
  <c r="M3" i="18"/>
  <c r="L3" i="18"/>
  <c r="K3" i="18"/>
  <c r="J3" i="18"/>
  <c r="I3" i="18"/>
  <c r="M71" i="17"/>
  <c r="L71" i="17"/>
  <c r="K71" i="17"/>
  <c r="J71" i="17"/>
  <c r="I71" i="17"/>
  <c r="M70" i="17"/>
  <c r="L70" i="17"/>
  <c r="K70" i="17"/>
  <c r="J70" i="17"/>
  <c r="I70" i="17"/>
  <c r="M69" i="17"/>
  <c r="L69" i="17"/>
  <c r="K69" i="17"/>
  <c r="J69" i="17"/>
  <c r="I69" i="17"/>
  <c r="M68" i="17"/>
  <c r="L68" i="17"/>
  <c r="K68" i="17"/>
  <c r="J68" i="17"/>
  <c r="I68" i="17"/>
  <c r="M67" i="17"/>
  <c r="L67" i="17"/>
  <c r="K67" i="17"/>
  <c r="J67" i="17"/>
  <c r="I67" i="17"/>
  <c r="M66" i="17"/>
  <c r="L66" i="17"/>
  <c r="K66" i="17"/>
  <c r="J66" i="17"/>
  <c r="I66" i="17"/>
  <c r="M65" i="17"/>
  <c r="L65" i="17"/>
  <c r="K65" i="17"/>
  <c r="J65" i="17"/>
  <c r="I65" i="17"/>
  <c r="M64" i="17"/>
  <c r="L64" i="17"/>
  <c r="K64" i="17"/>
  <c r="J64" i="17"/>
  <c r="I64" i="17"/>
  <c r="M63" i="17"/>
  <c r="L63" i="17"/>
  <c r="K63" i="17"/>
  <c r="J63" i="17"/>
  <c r="I63" i="17"/>
  <c r="M62" i="17"/>
  <c r="L62" i="17"/>
  <c r="K62" i="17"/>
  <c r="J62" i="17"/>
  <c r="I62" i="17"/>
  <c r="M61" i="17"/>
  <c r="L61" i="17"/>
  <c r="K61" i="17"/>
  <c r="J61" i="17"/>
  <c r="I61" i="17"/>
  <c r="M60" i="17"/>
  <c r="L60" i="17"/>
  <c r="K60" i="17"/>
  <c r="J60" i="17"/>
  <c r="I60" i="17"/>
  <c r="M59" i="17"/>
  <c r="L59" i="17"/>
  <c r="K59" i="17"/>
  <c r="J59" i="17"/>
  <c r="I59" i="17"/>
  <c r="M58" i="17"/>
  <c r="L58" i="17"/>
  <c r="K58" i="17"/>
  <c r="J58" i="17"/>
  <c r="I58" i="17"/>
  <c r="M57" i="17"/>
  <c r="L57" i="17"/>
  <c r="K57" i="17"/>
  <c r="J57" i="17"/>
  <c r="I57" i="17"/>
  <c r="M56" i="17"/>
  <c r="L56" i="17"/>
  <c r="K56" i="17"/>
  <c r="J56" i="17"/>
  <c r="I56" i="17"/>
  <c r="M55" i="17"/>
  <c r="L55" i="17"/>
  <c r="K55" i="17"/>
  <c r="J55" i="17"/>
  <c r="I55" i="17"/>
  <c r="M54" i="17"/>
  <c r="L54" i="17"/>
  <c r="K54" i="17"/>
  <c r="J54" i="17"/>
  <c r="I54" i="17"/>
  <c r="M53" i="17"/>
  <c r="L53" i="17"/>
  <c r="K53" i="17"/>
  <c r="J53" i="17"/>
  <c r="I53" i="17"/>
  <c r="M52" i="17"/>
  <c r="L52" i="17"/>
  <c r="K52" i="17"/>
  <c r="J52" i="17"/>
  <c r="I52" i="17"/>
  <c r="M51" i="17"/>
  <c r="L51" i="17"/>
  <c r="K51" i="17"/>
  <c r="J51" i="17"/>
  <c r="I51" i="17"/>
  <c r="M50" i="17"/>
  <c r="L50" i="17"/>
  <c r="K50" i="17"/>
  <c r="J50" i="17"/>
  <c r="I50" i="17"/>
  <c r="M49" i="17"/>
  <c r="L49" i="17"/>
  <c r="K49" i="17"/>
  <c r="J49" i="17"/>
  <c r="I49" i="17"/>
  <c r="M48" i="17"/>
  <c r="L48" i="17"/>
  <c r="K48" i="17"/>
  <c r="J48" i="17"/>
  <c r="I48" i="17"/>
  <c r="M47" i="17"/>
  <c r="L47" i="17"/>
  <c r="K47" i="17"/>
  <c r="J47" i="17"/>
  <c r="I47" i="17"/>
  <c r="M46" i="17"/>
  <c r="L46" i="17"/>
  <c r="K46" i="17"/>
  <c r="J46" i="17"/>
  <c r="I46" i="17"/>
  <c r="M45" i="17"/>
  <c r="L45" i="17"/>
  <c r="K45" i="17"/>
  <c r="J45" i="17"/>
  <c r="I45" i="17"/>
  <c r="M44" i="17"/>
  <c r="L44" i="17"/>
  <c r="K44" i="17"/>
  <c r="J44" i="17"/>
  <c r="I44" i="17"/>
  <c r="M43" i="17"/>
  <c r="L43" i="17"/>
  <c r="K43" i="17"/>
  <c r="J43" i="17"/>
  <c r="I43" i="17"/>
  <c r="M42" i="17"/>
  <c r="L42" i="17"/>
  <c r="K42" i="17"/>
  <c r="J42" i="17"/>
  <c r="I42" i="17"/>
  <c r="M41" i="17"/>
  <c r="L41" i="17"/>
  <c r="K41" i="17"/>
  <c r="J41" i="17"/>
  <c r="I41" i="17"/>
  <c r="M40" i="17"/>
  <c r="L40" i="17"/>
  <c r="K40" i="17"/>
  <c r="J40" i="17"/>
  <c r="I40" i="17"/>
  <c r="M39" i="17"/>
  <c r="L39" i="17"/>
  <c r="K39" i="17"/>
  <c r="J39" i="17"/>
  <c r="I39" i="17"/>
  <c r="M38" i="17"/>
  <c r="L38" i="17"/>
  <c r="K38" i="17"/>
  <c r="J38" i="17"/>
  <c r="I38" i="17"/>
  <c r="M37" i="17"/>
  <c r="L37" i="17"/>
  <c r="K37" i="17"/>
  <c r="J37" i="17"/>
  <c r="I37" i="17"/>
  <c r="M36" i="17"/>
  <c r="L36" i="17"/>
  <c r="K36" i="17"/>
  <c r="J36" i="17"/>
  <c r="I36" i="17"/>
  <c r="M35" i="17"/>
  <c r="L35" i="17"/>
  <c r="K35" i="17"/>
  <c r="J35" i="17"/>
  <c r="I35" i="17"/>
  <c r="M34" i="17"/>
  <c r="L34" i="17"/>
  <c r="K34" i="17"/>
  <c r="J34" i="17"/>
  <c r="I34" i="17"/>
  <c r="M33" i="17"/>
  <c r="L33" i="17"/>
  <c r="K33" i="17"/>
  <c r="J33" i="17"/>
  <c r="I33" i="17"/>
  <c r="M32" i="17"/>
  <c r="L32" i="17"/>
  <c r="K32" i="17"/>
  <c r="J32" i="17"/>
  <c r="I32" i="17"/>
  <c r="M31" i="17"/>
  <c r="L31" i="17"/>
  <c r="K31" i="17"/>
  <c r="J31" i="17"/>
  <c r="I31" i="17"/>
  <c r="M30" i="17"/>
  <c r="L30" i="17"/>
  <c r="K30" i="17"/>
  <c r="J30" i="17"/>
  <c r="I30" i="17"/>
  <c r="M29" i="17"/>
  <c r="L29" i="17"/>
  <c r="K29" i="17"/>
  <c r="J29" i="17"/>
  <c r="I29" i="17"/>
  <c r="M28" i="17"/>
  <c r="L28" i="17"/>
  <c r="K28" i="17"/>
  <c r="J28" i="17"/>
  <c r="I28" i="17"/>
  <c r="M27" i="17"/>
  <c r="L27" i="17"/>
  <c r="K27" i="17"/>
  <c r="J27" i="17"/>
  <c r="I27" i="17"/>
  <c r="M26" i="17"/>
  <c r="L26" i="17"/>
  <c r="K26" i="17"/>
  <c r="J26" i="17"/>
  <c r="I26" i="17"/>
  <c r="M25" i="17"/>
  <c r="L25" i="17"/>
  <c r="K25" i="17"/>
  <c r="J25" i="17"/>
  <c r="I25" i="17"/>
  <c r="M24" i="17"/>
  <c r="L24" i="17"/>
  <c r="K24" i="17"/>
  <c r="J24" i="17"/>
  <c r="I24" i="17"/>
  <c r="M23" i="17"/>
  <c r="L23" i="17"/>
  <c r="K23" i="17"/>
  <c r="J23" i="17"/>
  <c r="I23" i="17"/>
  <c r="M22" i="17"/>
  <c r="L22" i="17"/>
  <c r="K22" i="17"/>
  <c r="J22" i="17"/>
  <c r="I22" i="17"/>
  <c r="M21" i="17"/>
  <c r="L21" i="17"/>
  <c r="K21" i="17"/>
  <c r="J21" i="17"/>
  <c r="I21" i="17"/>
  <c r="M20" i="17"/>
  <c r="L20" i="17"/>
  <c r="K20" i="17"/>
  <c r="J20" i="17"/>
  <c r="I20" i="17"/>
  <c r="M19" i="17"/>
  <c r="L19" i="17"/>
  <c r="K19" i="17"/>
  <c r="J19" i="17"/>
  <c r="I19" i="17"/>
  <c r="M18" i="17"/>
  <c r="L18" i="17"/>
  <c r="K18" i="17"/>
  <c r="J18" i="17"/>
  <c r="I18" i="17"/>
  <c r="M17" i="17"/>
  <c r="L17" i="17"/>
  <c r="K17" i="17"/>
  <c r="J17" i="17"/>
  <c r="I17" i="17"/>
  <c r="M16" i="17"/>
  <c r="L16" i="17"/>
  <c r="K16" i="17"/>
  <c r="J16" i="17"/>
  <c r="I16" i="17"/>
  <c r="M15" i="17"/>
  <c r="L15" i="17"/>
  <c r="K15" i="17"/>
  <c r="J15" i="17"/>
  <c r="I15" i="17"/>
  <c r="M14" i="17"/>
  <c r="L14" i="17"/>
  <c r="K14" i="17"/>
  <c r="J14" i="17"/>
  <c r="I14" i="17"/>
  <c r="M13" i="17"/>
  <c r="L13" i="17"/>
  <c r="K13" i="17"/>
  <c r="J13" i="17"/>
  <c r="I13" i="17"/>
  <c r="M12" i="17"/>
  <c r="L12" i="17"/>
  <c r="K12" i="17"/>
  <c r="J12" i="17"/>
  <c r="I12" i="17"/>
  <c r="M11" i="17"/>
  <c r="L11" i="17"/>
  <c r="K11" i="17"/>
  <c r="J11" i="17"/>
  <c r="I11" i="17"/>
  <c r="M10" i="17"/>
  <c r="L10" i="17"/>
  <c r="K10" i="17"/>
  <c r="J10" i="17"/>
  <c r="I10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M4" i="17"/>
  <c r="L4" i="17"/>
  <c r="K4" i="17"/>
  <c r="J4" i="17"/>
  <c r="I4" i="17"/>
  <c r="M3" i="17"/>
  <c r="L3" i="17"/>
  <c r="K3" i="17"/>
  <c r="J3" i="17"/>
  <c r="I3" i="17"/>
  <c r="M71" i="16"/>
  <c r="L71" i="16"/>
  <c r="K71" i="16"/>
  <c r="J71" i="16"/>
  <c r="I71" i="16"/>
  <c r="M70" i="16"/>
  <c r="L70" i="16"/>
  <c r="K70" i="16"/>
  <c r="J70" i="16"/>
  <c r="I70" i="16"/>
  <c r="M69" i="16"/>
  <c r="L69" i="16"/>
  <c r="K69" i="16"/>
  <c r="J69" i="16"/>
  <c r="I69" i="16"/>
  <c r="M68" i="16"/>
  <c r="L68" i="16"/>
  <c r="K68" i="16"/>
  <c r="J68" i="16"/>
  <c r="I68" i="16"/>
  <c r="M67" i="16"/>
  <c r="L67" i="16"/>
  <c r="K67" i="16"/>
  <c r="J67" i="16"/>
  <c r="I67" i="16"/>
  <c r="M66" i="16"/>
  <c r="L66" i="16"/>
  <c r="K66" i="16"/>
  <c r="J66" i="16"/>
  <c r="I66" i="16"/>
  <c r="M65" i="16"/>
  <c r="L65" i="16"/>
  <c r="K65" i="16"/>
  <c r="J65" i="16"/>
  <c r="I65" i="16"/>
  <c r="M64" i="16"/>
  <c r="L64" i="16"/>
  <c r="K64" i="16"/>
  <c r="J64" i="16"/>
  <c r="I64" i="16"/>
  <c r="M63" i="16"/>
  <c r="L63" i="16"/>
  <c r="K63" i="16"/>
  <c r="J63" i="16"/>
  <c r="I63" i="16"/>
  <c r="M62" i="16"/>
  <c r="L62" i="16"/>
  <c r="K62" i="16"/>
  <c r="J62" i="16"/>
  <c r="I62" i="16"/>
  <c r="M61" i="16"/>
  <c r="L61" i="16"/>
  <c r="K61" i="16"/>
  <c r="J61" i="16"/>
  <c r="I61" i="16"/>
  <c r="M60" i="16"/>
  <c r="L60" i="16"/>
  <c r="K60" i="16"/>
  <c r="J60" i="16"/>
  <c r="I60" i="16"/>
  <c r="M59" i="16"/>
  <c r="L59" i="16"/>
  <c r="K59" i="16"/>
  <c r="J59" i="16"/>
  <c r="I59" i="16"/>
  <c r="M58" i="16"/>
  <c r="L58" i="16"/>
  <c r="K58" i="16"/>
  <c r="J58" i="16"/>
  <c r="I58" i="16"/>
  <c r="M57" i="16"/>
  <c r="L57" i="16"/>
  <c r="K57" i="16"/>
  <c r="J57" i="16"/>
  <c r="I57" i="16"/>
  <c r="M56" i="16"/>
  <c r="L56" i="16"/>
  <c r="K56" i="16"/>
  <c r="J56" i="16"/>
  <c r="I56" i="16"/>
  <c r="M55" i="16"/>
  <c r="L55" i="16"/>
  <c r="K55" i="16"/>
  <c r="J55" i="16"/>
  <c r="I55" i="16"/>
  <c r="M54" i="16"/>
  <c r="L54" i="16"/>
  <c r="K54" i="16"/>
  <c r="J54" i="16"/>
  <c r="I54" i="16"/>
  <c r="M53" i="16"/>
  <c r="L53" i="16"/>
  <c r="K53" i="16"/>
  <c r="J53" i="16"/>
  <c r="I53" i="16"/>
  <c r="M52" i="16"/>
  <c r="L52" i="16"/>
  <c r="K52" i="16"/>
  <c r="J52" i="16"/>
  <c r="I52" i="16"/>
  <c r="M51" i="16"/>
  <c r="L51" i="16"/>
  <c r="K51" i="16"/>
  <c r="J51" i="16"/>
  <c r="I51" i="16"/>
  <c r="M50" i="16"/>
  <c r="L50" i="16"/>
  <c r="K50" i="16"/>
  <c r="J50" i="16"/>
  <c r="I50" i="16"/>
  <c r="M49" i="16"/>
  <c r="L49" i="16"/>
  <c r="K49" i="16"/>
  <c r="J49" i="16"/>
  <c r="I49" i="16"/>
  <c r="M48" i="16"/>
  <c r="L48" i="16"/>
  <c r="K48" i="16"/>
  <c r="J48" i="16"/>
  <c r="I48" i="16"/>
  <c r="M47" i="16"/>
  <c r="L47" i="16"/>
  <c r="K47" i="16"/>
  <c r="J47" i="16"/>
  <c r="I47" i="16"/>
  <c r="M46" i="16"/>
  <c r="L46" i="16"/>
  <c r="K46" i="16"/>
  <c r="J46" i="16"/>
  <c r="I46" i="16"/>
  <c r="M45" i="16"/>
  <c r="L45" i="16"/>
  <c r="K45" i="16"/>
  <c r="J45" i="16"/>
  <c r="I45" i="16"/>
  <c r="M44" i="16"/>
  <c r="L44" i="16"/>
  <c r="K44" i="16"/>
  <c r="J44" i="16"/>
  <c r="I44" i="16"/>
  <c r="M43" i="16"/>
  <c r="L43" i="16"/>
  <c r="K43" i="16"/>
  <c r="J43" i="16"/>
  <c r="I43" i="16"/>
  <c r="M42" i="16"/>
  <c r="L42" i="16"/>
  <c r="K42" i="16"/>
  <c r="J42" i="16"/>
  <c r="I42" i="16"/>
  <c r="M41" i="16"/>
  <c r="L41" i="16"/>
  <c r="K41" i="16"/>
  <c r="J41" i="16"/>
  <c r="I41" i="16"/>
  <c r="M40" i="16"/>
  <c r="L40" i="16"/>
  <c r="K40" i="16"/>
  <c r="J40" i="16"/>
  <c r="I40" i="16"/>
  <c r="M39" i="16"/>
  <c r="L39" i="16"/>
  <c r="K39" i="16"/>
  <c r="J39" i="16"/>
  <c r="I39" i="16"/>
  <c r="M38" i="16"/>
  <c r="L38" i="16"/>
  <c r="K38" i="16"/>
  <c r="J38" i="16"/>
  <c r="I38" i="16"/>
  <c r="M37" i="16"/>
  <c r="L37" i="16"/>
  <c r="K37" i="16"/>
  <c r="J37" i="16"/>
  <c r="I37" i="16"/>
  <c r="M36" i="16"/>
  <c r="L36" i="16"/>
  <c r="K36" i="16"/>
  <c r="J36" i="16"/>
  <c r="I36" i="16"/>
  <c r="M35" i="16"/>
  <c r="L35" i="16"/>
  <c r="K35" i="16"/>
  <c r="J35" i="16"/>
  <c r="I35" i="16"/>
  <c r="M34" i="16"/>
  <c r="L34" i="16"/>
  <c r="K34" i="16"/>
  <c r="J34" i="16"/>
  <c r="I34" i="16"/>
  <c r="M33" i="16"/>
  <c r="L33" i="16"/>
  <c r="K33" i="16"/>
  <c r="J33" i="16"/>
  <c r="I33" i="16"/>
  <c r="M32" i="16"/>
  <c r="L32" i="16"/>
  <c r="K32" i="16"/>
  <c r="J32" i="16"/>
  <c r="I32" i="16"/>
  <c r="M31" i="16"/>
  <c r="L31" i="16"/>
  <c r="K31" i="16"/>
  <c r="J31" i="16"/>
  <c r="I31" i="16"/>
  <c r="M30" i="16"/>
  <c r="L30" i="16"/>
  <c r="K30" i="16"/>
  <c r="J30" i="16"/>
  <c r="I30" i="16"/>
  <c r="M29" i="16"/>
  <c r="L29" i="16"/>
  <c r="K29" i="16"/>
  <c r="J29" i="16"/>
  <c r="I29" i="16"/>
  <c r="M28" i="16"/>
  <c r="L28" i="16"/>
  <c r="K28" i="16"/>
  <c r="J28" i="16"/>
  <c r="I28" i="16"/>
  <c r="M27" i="16"/>
  <c r="L27" i="16"/>
  <c r="K27" i="16"/>
  <c r="J27" i="16"/>
  <c r="I27" i="16"/>
  <c r="M26" i="16"/>
  <c r="L26" i="16"/>
  <c r="K26" i="16"/>
  <c r="J26" i="16"/>
  <c r="I26" i="16"/>
  <c r="M25" i="16"/>
  <c r="L25" i="16"/>
  <c r="K25" i="16"/>
  <c r="J25" i="16"/>
  <c r="I25" i="16"/>
  <c r="M24" i="16"/>
  <c r="L24" i="16"/>
  <c r="K24" i="16"/>
  <c r="J24" i="16"/>
  <c r="I24" i="16"/>
  <c r="M23" i="16"/>
  <c r="L23" i="16"/>
  <c r="K23" i="16"/>
  <c r="J23" i="16"/>
  <c r="I23" i="16"/>
  <c r="M22" i="16"/>
  <c r="L22" i="16"/>
  <c r="K22" i="16"/>
  <c r="J22" i="16"/>
  <c r="I22" i="16"/>
  <c r="M21" i="16"/>
  <c r="L21" i="16"/>
  <c r="K21" i="16"/>
  <c r="J21" i="16"/>
  <c r="I21" i="16"/>
  <c r="M20" i="16"/>
  <c r="L20" i="16"/>
  <c r="K20" i="16"/>
  <c r="J20" i="16"/>
  <c r="I20" i="16"/>
  <c r="M19" i="16"/>
  <c r="L19" i="16"/>
  <c r="K19" i="16"/>
  <c r="J19" i="16"/>
  <c r="I19" i="16"/>
  <c r="M18" i="16"/>
  <c r="L18" i="16"/>
  <c r="K18" i="16"/>
  <c r="J18" i="16"/>
  <c r="I18" i="16"/>
  <c r="M17" i="16"/>
  <c r="L17" i="16"/>
  <c r="K17" i="16"/>
  <c r="J17" i="16"/>
  <c r="I17" i="16"/>
  <c r="M16" i="16"/>
  <c r="L16" i="16"/>
  <c r="K16" i="16"/>
  <c r="J16" i="16"/>
  <c r="I16" i="16"/>
  <c r="M15" i="16"/>
  <c r="L15" i="16"/>
  <c r="K15" i="16"/>
  <c r="J15" i="16"/>
  <c r="I15" i="16"/>
  <c r="M14" i="16"/>
  <c r="L14" i="16"/>
  <c r="K14" i="16"/>
  <c r="J14" i="16"/>
  <c r="I14" i="16"/>
  <c r="M13" i="16"/>
  <c r="L13" i="16"/>
  <c r="K13" i="16"/>
  <c r="J13" i="16"/>
  <c r="I13" i="16"/>
  <c r="M12" i="16"/>
  <c r="L12" i="16"/>
  <c r="K12" i="16"/>
  <c r="J12" i="16"/>
  <c r="I12" i="16"/>
  <c r="M11" i="16"/>
  <c r="L11" i="16"/>
  <c r="K11" i="16"/>
  <c r="J11" i="16"/>
  <c r="I11" i="16"/>
  <c r="M10" i="16"/>
  <c r="L10" i="16"/>
  <c r="K10" i="16"/>
  <c r="J10" i="16"/>
  <c r="I10" i="16"/>
  <c r="M9" i="16"/>
  <c r="L9" i="16"/>
  <c r="K9" i="16"/>
  <c r="J9" i="16"/>
  <c r="I9" i="16"/>
  <c r="M8" i="16"/>
  <c r="L8" i="16"/>
  <c r="K8" i="16"/>
  <c r="J8" i="16"/>
  <c r="I8" i="16"/>
  <c r="M7" i="16"/>
  <c r="L7" i="16"/>
  <c r="K7" i="16"/>
  <c r="J7" i="16"/>
  <c r="I7" i="16"/>
  <c r="M6" i="16"/>
  <c r="L6" i="16"/>
  <c r="K6" i="16"/>
  <c r="J6" i="16"/>
  <c r="I6" i="16"/>
  <c r="M5" i="16"/>
  <c r="L5" i="16"/>
  <c r="K5" i="16"/>
  <c r="J5" i="16"/>
  <c r="I5" i="16"/>
  <c r="M4" i="16"/>
  <c r="L4" i="16"/>
  <c r="K4" i="16"/>
  <c r="J4" i="16"/>
  <c r="I4" i="16"/>
  <c r="M3" i="16"/>
  <c r="L3" i="16"/>
  <c r="K3" i="16"/>
  <c r="J3" i="16"/>
  <c r="I3" i="16"/>
  <c r="M71" i="15"/>
  <c r="L71" i="15"/>
  <c r="K71" i="15"/>
  <c r="J71" i="15"/>
  <c r="I71" i="15"/>
  <c r="M70" i="15"/>
  <c r="L70" i="15"/>
  <c r="K70" i="15"/>
  <c r="J70" i="15"/>
  <c r="I70" i="15"/>
  <c r="M69" i="15"/>
  <c r="L69" i="15"/>
  <c r="K69" i="15"/>
  <c r="J69" i="15"/>
  <c r="I69" i="15"/>
  <c r="M68" i="15"/>
  <c r="L68" i="15"/>
  <c r="K68" i="15"/>
  <c r="J68" i="15"/>
  <c r="I68" i="15"/>
  <c r="M67" i="15"/>
  <c r="L67" i="15"/>
  <c r="K67" i="15"/>
  <c r="J67" i="15"/>
  <c r="I67" i="15"/>
  <c r="M66" i="15"/>
  <c r="L66" i="15"/>
  <c r="K66" i="15"/>
  <c r="J66" i="15"/>
  <c r="I66" i="15"/>
  <c r="M65" i="15"/>
  <c r="L65" i="15"/>
  <c r="K65" i="15"/>
  <c r="J65" i="15"/>
  <c r="I65" i="15"/>
  <c r="M64" i="15"/>
  <c r="L64" i="15"/>
  <c r="K64" i="15"/>
  <c r="J64" i="15"/>
  <c r="I64" i="15"/>
  <c r="M63" i="15"/>
  <c r="L63" i="15"/>
  <c r="K63" i="15"/>
  <c r="J63" i="15"/>
  <c r="I63" i="15"/>
  <c r="M62" i="15"/>
  <c r="L62" i="15"/>
  <c r="K62" i="15"/>
  <c r="J62" i="15"/>
  <c r="I62" i="15"/>
  <c r="M61" i="15"/>
  <c r="L61" i="15"/>
  <c r="K61" i="15"/>
  <c r="J61" i="15"/>
  <c r="I61" i="15"/>
  <c r="M60" i="15"/>
  <c r="L60" i="15"/>
  <c r="K60" i="15"/>
  <c r="J60" i="15"/>
  <c r="I60" i="15"/>
  <c r="M59" i="15"/>
  <c r="L59" i="15"/>
  <c r="K59" i="15"/>
  <c r="J59" i="15"/>
  <c r="I59" i="15"/>
  <c r="M58" i="15"/>
  <c r="L58" i="15"/>
  <c r="K58" i="15"/>
  <c r="J58" i="15"/>
  <c r="I58" i="15"/>
  <c r="M57" i="15"/>
  <c r="L57" i="15"/>
  <c r="K57" i="15"/>
  <c r="J57" i="15"/>
  <c r="I57" i="15"/>
  <c r="M56" i="15"/>
  <c r="L56" i="15"/>
  <c r="K56" i="15"/>
  <c r="J56" i="15"/>
  <c r="I56" i="15"/>
  <c r="M55" i="15"/>
  <c r="L55" i="15"/>
  <c r="K55" i="15"/>
  <c r="J55" i="15"/>
  <c r="I55" i="15"/>
  <c r="M54" i="15"/>
  <c r="L54" i="15"/>
  <c r="K54" i="15"/>
  <c r="J54" i="15"/>
  <c r="I54" i="15"/>
  <c r="M53" i="15"/>
  <c r="L53" i="15"/>
  <c r="K53" i="15"/>
  <c r="J53" i="15"/>
  <c r="I53" i="15"/>
  <c r="M52" i="15"/>
  <c r="L52" i="15"/>
  <c r="K52" i="15"/>
  <c r="J52" i="15"/>
  <c r="I52" i="15"/>
  <c r="M51" i="15"/>
  <c r="L51" i="15"/>
  <c r="K51" i="15"/>
  <c r="J51" i="15"/>
  <c r="I51" i="15"/>
  <c r="M50" i="15"/>
  <c r="L50" i="15"/>
  <c r="K50" i="15"/>
  <c r="J50" i="15"/>
  <c r="I50" i="15"/>
  <c r="M49" i="15"/>
  <c r="L49" i="15"/>
  <c r="K49" i="15"/>
  <c r="J49" i="15"/>
  <c r="I49" i="15"/>
  <c r="M48" i="15"/>
  <c r="L48" i="15"/>
  <c r="K48" i="15"/>
  <c r="J48" i="15"/>
  <c r="I48" i="15"/>
  <c r="M47" i="15"/>
  <c r="L47" i="15"/>
  <c r="K47" i="15"/>
  <c r="J47" i="15"/>
  <c r="I47" i="15"/>
  <c r="M46" i="15"/>
  <c r="L46" i="15"/>
  <c r="K46" i="15"/>
  <c r="J46" i="15"/>
  <c r="I46" i="15"/>
  <c r="M45" i="15"/>
  <c r="L45" i="15"/>
  <c r="K45" i="15"/>
  <c r="J45" i="15"/>
  <c r="I45" i="15"/>
  <c r="M44" i="15"/>
  <c r="L44" i="15"/>
  <c r="K44" i="15"/>
  <c r="J44" i="15"/>
  <c r="I44" i="15"/>
  <c r="M43" i="15"/>
  <c r="L43" i="15"/>
  <c r="K43" i="15"/>
  <c r="J43" i="15"/>
  <c r="I43" i="15"/>
  <c r="M42" i="15"/>
  <c r="L42" i="15"/>
  <c r="K42" i="15"/>
  <c r="J42" i="15"/>
  <c r="I42" i="15"/>
  <c r="M41" i="15"/>
  <c r="L41" i="15"/>
  <c r="K41" i="15"/>
  <c r="J41" i="15"/>
  <c r="I41" i="15"/>
  <c r="M40" i="15"/>
  <c r="L40" i="15"/>
  <c r="K40" i="15"/>
  <c r="J40" i="15"/>
  <c r="I40" i="15"/>
  <c r="M39" i="15"/>
  <c r="L39" i="15"/>
  <c r="K39" i="15"/>
  <c r="J39" i="15"/>
  <c r="I39" i="15"/>
  <c r="M38" i="15"/>
  <c r="L38" i="15"/>
  <c r="K38" i="15"/>
  <c r="J38" i="15"/>
  <c r="I38" i="15"/>
  <c r="M37" i="15"/>
  <c r="L37" i="15"/>
  <c r="K37" i="15"/>
  <c r="J37" i="15"/>
  <c r="I37" i="15"/>
  <c r="M36" i="15"/>
  <c r="L36" i="15"/>
  <c r="K36" i="15"/>
  <c r="J36" i="15"/>
  <c r="I36" i="15"/>
  <c r="M35" i="15"/>
  <c r="L35" i="15"/>
  <c r="K35" i="15"/>
  <c r="J35" i="15"/>
  <c r="I35" i="15"/>
  <c r="M34" i="15"/>
  <c r="L34" i="15"/>
  <c r="K34" i="15"/>
  <c r="J34" i="15"/>
  <c r="I34" i="15"/>
  <c r="M33" i="15"/>
  <c r="L33" i="15"/>
  <c r="K33" i="15"/>
  <c r="J33" i="15"/>
  <c r="I33" i="15"/>
  <c r="M32" i="15"/>
  <c r="L32" i="15"/>
  <c r="K32" i="15"/>
  <c r="J32" i="15"/>
  <c r="I32" i="15"/>
  <c r="M31" i="15"/>
  <c r="L31" i="15"/>
  <c r="K31" i="15"/>
  <c r="J31" i="15"/>
  <c r="I31" i="15"/>
  <c r="M30" i="15"/>
  <c r="L30" i="15"/>
  <c r="K30" i="15"/>
  <c r="J30" i="15"/>
  <c r="I30" i="15"/>
  <c r="M29" i="15"/>
  <c r="L29" i="15"/>
  <c r="K29" i="15"/>
  <c r="J29" i="15"/>
  <c r="I29" i="15"/>
  <c r="M28" i="15"/>
  <c r="L28" i="15"/>
  <c r="K28" i="15"/>
  <c r="J28" i="15"/>
  <c r="I28" i="15"/>
  <c r="M27" i="15"/>
  <c r="L27" i="15"/>
  <c r="K27" i="15"/>
  <c r="J27" i="15"/>
  <c r="I27" i="15"/>
  <c r="M26" i="15"/>
  <c r="L26" i="15"/>
  <c r="K26" i="15"/>
  <c r="J26" i="15"/>
  <c r="I26" i="15"/>
  <c r="M25" i="15"/>
  <c r="L25" i="15"/>
  <c r="K25" i="15"/>
  <c r="J25" i="15"/>
  <c r="I25" i="15"/>
  <c r="M24" i="15"/>
  <c r="L24" i="15"/>
  <c r="K24" i="15"/>
  <c r="J24" i="15"/>
  <c r="I24" i="15"/>
  <c r="M23" i="15"/>
  <c r="L23" i="15"/>
  <c r="K23" i="15"/>
  <c r="J23" i="15"/>
  <c r="I23" i="15"/>
  <c r="M22" i="15"/>
  <c r="L22" i="15"/>
  <c r="K22" i="15"/>
  <c r="J22" i="15"/>
  <c r="I22" i="15"/>
  <c r="M21" i="15"/>
  <c r="L21" i="15"/>
  <c r="K21" i="15"/>
  <c r="J21" i="15"/>
  <c r="I21" i="15"/>
  <c r="M20" i="15"/>
  <c r="L20" i="15"/>
  <c r="K20" i="15"/>
  <c r="J20" i="15"/>
  <c r="I20" i="15"/>
  <c r="M19" i="15"/>
  <c r="L19" i="15"/>
  <c r="K19" i="15"/>
  <c r="J19" i="15"/>
  <c r="I19" i="15"/>
  <c r="M18" i="15"/>
  <c r="L18" i="15"/>
  <c r="K18" i="15"/>
  <c r="J18" i="15"/>
  <c r="I18" i="15"/>
  <c r="M17" i="15"/>
  <c r="L17" i="15"/>
  <c r="K17" i="15"/>
  <c r="J17" i="15"/>
  <c r="I17" i="15"/>
  <c r="M16" i="15"/>
  <c r="L16" i="15"/>
  <c r="K16" i="15"/>
  <c r="J16" i="15"/>
  <c r="I16" i="15"/>
  <c r="M15" i="15"/>
  <c r="L15" i="15"/>
  <c r="K15" i="15"/>
  <c r="J15" i="15"/>
  <c r="I15" i="15"/>
  <c r="M14" i="15"/>
  <c r="L14" i="15"/>
  <c r="K14" i="15"/>
  <c r="J14" i="15"/>
  <c r="I14" i="15"/>
  <c r="M13" i="15"/>
  <c r="L13" i="15"/>
  <c r="K13" i="15"/>
  <c r="J13" i="15"/>
  <c r="I13" i="15"/>
  <c r="M12" i="15"/>
  <c r="L12" i="15"/>
  <c r="K12" i="15"/>
  <c r="J12" i="15"/>
  <c r="I12" i="15"/>
  <c r="M11" i="15"/>
  <c r="L11" i="15"/>
  <c r="K11" i="15"/>
  <c r="J11" i="15"/>
  <c r="I11" i="15"/>
  <c r="M10" i="15"/>
  <c r="L10" i="15"/>
  <c r="K10" i="15"/>
  <c r="J10" i="15"/>
  <c r="I10" i="15"/>
  <c r="M9" i="15"/>
  <c r="L9" i="15"/>
  <c r="K9" i="15"/>
  <c r="J9" i="15"/>
  <c r="I9" i="15"/>
  <c r="M8" i="15"/>
  <c r="L8" i="15"/>
  <c r="K8" i="15"/>
  <c r="J8" i="15"/>
  <c r="I8" i="15"/>
  <c r="M7" i="15"/>
  <c r="L7" i="15"/>
  <c r="K7" i="15"/>
  <c r="J7" i="15"/>
  <c r="I7" i="15"/>
  <c r="M6" i="15"/>
  <c r="L6" i="15"/>
  <c r="K6" i="15"/>
  <c r="J6" i="15"/>
  <c r="I6" i="15"/>
  <c r="M5" i="15"/>
  <c r="L5" i="15"/>
  <c r="K5" i="15"/>
  <c r="J5" i="15"/>
  <c r="I5" i="15"/>
  <c r="M4" i="15"/>
  <c r="L4" i="15"/>
  <c r="K4" i="15"/>
  <c r="J4" i="15"/>
  <c r="I4" i="15"/>
  <c r="M3" i="15"/>
  <c r="L3" i="15"/>
  <c r="K3" i="15"/>
  <c r="J3" i="15"/>
  <c r="I3" i="15"/>
  <c r="M71" i="14"/>
  <c r="L71" i="14"/>
  <c r="K71" i="14"/>
  <c r="J71" i="14"/>
  <c r="I71" i="14"/>
  <c r="M70" i="14"/>
  <c r="L70" i="14"/>
  <c r="K70" i="14"/>
  <c r="J70" i="14"/>
  <c r="I70" i="14"/>
  <c r="M69" i="14"/>
  <c r="L69" i="14"/>
  <c r="K69" i="14"/>
  <c r="J69" i="14"/>
  <c r="I69" i="14"/>
  <c r="M68" i="14"/>
  <c r="L68" i="14"/>
  <c r="K68" i="14"/>
  <c r="J68" i="14"/>
  <c r="I68" i="14"/>
  <c r="M67" i="14"/>
  <c r="L67" i="14"/>
  <c r="K67" i="14"/>
  <c r="J67" i="14"/>
  <c r="I67" i="14"/>
  <c r="M66" i="14"/>
  <c r="L66" i="14"/>
  <c r="K66" i="14"/>
  <c r="J66" i="14"/>
  <c r="I66" i="14"/>
  <c r="M65" i="14"/>
  <c r="L65" i="14"/>
  <c r="K65" i="14"/>
  <c r="J65" i="14"/>
  <c r="I65" i="14"/>
  <c r="M64" i="14"/>
  <c r="L64" i="14"/>
  <c r="K64" i="14"/>
  <c r="J64" i="14"/>
  <c r="I64" i="14"/>
  <c r="M63" i="14"/>
  <c r="L63" i="14"/>
  <c r="K63" i="14"/>
  <c r="J63" i="14"/>
  <c r="I63" i="14"/>
  <c r="M62" i="14"/>
  <c r="L62" i="14"/>
  <c r="K62" i="14"/>
  <c r="J62" i="14"/>
  <c r="I62" i="14"/>
  <c r="M61" i="14"/>
  <c r="L61" i="14"/>
  <c r="K61" i="14"/>
  <c r="J61" i="14"/>
  <c r="I61" i="14"/>
  <c r="M60" i="14"/>
  <c r="L60" i="14"/>
  <c r="K60" i="14"/>
  <c r="J60" i="14"/>
  <c r="I60" i="14"/>
  <c r="M59" i="14"/>
  <c r="L59" i="14"/>
  <c r="K59" i="14"/>
  <c r="J59" i="14"/>
  <c r="I59" i="14"/>
  <c r="M58" i="14"/>
  <c r="L58" i="14"/>
  <c r="K58" i="14"/>
  <c r="J58" i="14"/>
  <c r="I58" i="14"/>
  <c r="M57" i="14"/>
  <c r="L57" i="14"/>
  <c r="K57" i="14"/>
  <c r="J57" i="14"/>
  <c r="I57" i="14"/>
  <c r="M56" i="14"/>
  <c r="L56" i="14"/>
  <c r="K56" i="14"/>
  <c r="J56" i="14"/>
  <c r="I56" i="14"/>
  <c r="M55" i="14"/>
  <c r="L55" i="14"/>
  <c r="K55" i="14"/>
  <c r="J55" i="14"/>
  <c r="I55" i="14"/>
  <c r="M54" i="14"/>
  <c r="L54" i="14"/>
  <c r="K54" i="14"/>
  <c r="J54" i="14"/>
  <c r="I54" i="14"/>
  <c r="M53" i="14"/>
  <c r="L53" i="14"/>
  <c r="K53" i="14"/>
  <c r="J53" i="14"/>
  <c r="I53" i="14"/>
  <c r="M52" i="14"/>
  <c r="L52" i="14"/>
  <c r="K52" i="14"/>
  <c r="J52" i="14"/>
  <c r="I52" i="14"/>
  <c r="M51" i="14"/>
  <c r="L51" i="14"/>
  <c r="K51" i="14"/>
  <c r="J51" i="14"/>
  <c r="I51" i="14"/>
  <c r="M50" i="14"/>
  <c r="L50" i="14"/>
  <c r="K50" i="14"/>
  <c r="J50" i="14"/>
  <c r="I50" i="14"/>
  <c r="M49" i="14"/>
  <c r="L49" i="14"/>
  <c r="K49" i="14"/>
  <c r="J49" i="14"/>
  <c r="I49" i="14"/>
  <c r="M48" i="14"/>
  <c r="L48" i="14"/>
  <c r="K48" i="14"/>
  <c r="J48" i="14"/>
  <c r="I48" i="14"/>
  <c r="M47" i="14"/>
  <c r="L47" i="14"/>
  <c r="K47" i="14"/>
  <c r="J47" i="14"/>
  <c r="I47" i="14"/>
  <c r="M46" i="14"/>
  <c r="L46" i="14"/>
  <c r="K46" i="14"/>
  <c r="J46" i="14"/>
  <c r="I46" i="14"/>
  <c r="M45" i="14"/>
  <c r="L45" i="14"/>
  <c r="K45" i="14"/>
  <c r="J45" i="14"/>
  <c r="I45" i="14"/>
  <c r="M44" i="14"/>
  <c r="L44" i="14"/>
  <c r="K44" i="14"/>
  <c r="J44" i="14"/>
  <c r="I44" i="14"/>
  <c r="M43" i="14"/>
  <c r="L43" i="14"/>
  <c r="K43" i="14"/>
  <c r="J43" i="14"/>
  <c r="I43" i="14"/>
  <c r="M42" i="14"/>
  <c r="L42" i="14"/>
  <c r="K42" i="14"/>
  <c r="J42" i="14"/>
  <c r="I42" i="14"/>
  <c r="M41" i="14"/>
  <c r="L41" i="14"/>
  <c r="K41" i="14"/>
  <c r="J41" i="14"/>
  <c r="I41" i="14"/>
  <c r="M40" i="14"/>
  <c r="L40" i="14"/>
  <c r="K40" i="14"/>
  <c r="J40" i="14"/>
  <c r="I40" i="14"/>
  <c r="M39" i="14"/>
  <c r="L39" i="14"/>
  <c r="K39" i="14"/>
  <c r="J39" i="14"/>
  <c r="I39" i="14"/>
  <c r="M38" i="14"/>
  <c r="L38" i="14"/>
  <c r="K38" i="14"/>
  <c r="J38" i="14"/>
  <c r="I38" i="14"/>
  <c r="M37" i="14"/>
  <c r="L37" i="14"/>
  <c r="K37" i="14"/>
  <c r="J37" i="14"/>
  <c r="I37" i="14"/>
  <c r="M36" i="14"/>
  <c r="L36" i="14"/>
  <c r="K36" i="14"/>
  <c r="J36" i="14"/>
  <c r="I36" i="14"/>
  <c r="M35" i="14"/>
  <c r="L35" i="14"/>
  <c r="K35" i="14"/>
  <c r="J35" i="14"/>
  <c r="I35" i="14"/>
  <c r="M34" i="14"/>
  <c r="L34" i="14"/>
  <c r="K34" i="14"/>
  <c r="J34" i="14"/>
  <c r="I34" i="14"/>
  <c r="M33" i="14"/>
  <c r="L33" i="14"/>
  <c r="K33" i="14"/>
  <c r="J33" i="14"/>
  <c r="I33" i="14"/>
  <c r="M32" i="14"/>
  <c r="L32" i="14"/>
  <c r="K32" i="14"/>
  <c r="J32" i="14"/>
  <c r="I32" i="14"/>
  <c r="M31" i="14"/>
  <c r="L31" i="14"/>
  <c r="K31" i="14"/>
  <c r="J31" i="14"/>
  <c r="I31" i="14"/>
  <c r="M30" i="14"/>
  <c r="L30" i="14"/>
  <c r="K30" i="14"/>
  <c r="J30" i="14"/>
  <c r="I30" i="14"/>
  <c r="M29" i="14"/>
  <c r="L29" i="14"/>
  <c r="K29" i="14"/>
  <c r="J29" i="14"/>
  <c r="I29" i="14"/>
  <c r="M28" i="14"/>
  <c r="L28" i="14"/>
  <c r="K28" i="14"/>
  <c r="J28" i="14"/>
  <c r="I28" i="14"/>
  <c r="M27" i="14"/>
  <c r="L27" i="14"/>
  <c r="K27" i="14"/>
  <c r="J27" i="14"/>
  <c r="I27" i="14"/>
  <c r="M26" i="14"/>
  <c r="L26" i="14"/>
  <c r="K26" i="14"/>
  <c r="J26" i="14"/>
  <c r="I26" i="14"/>
  <c r="M25" i="14"/>
  <c r="L25" i="14"/>
  <c r="K25" i="14"/>
  <c r="J25" i="14"/>
  <c r="I25" i="14"/>
  <c r="M24" i="14"/>
  <c r="L24" i="14"/>
  <c r="K24" i="14"/>
  <c r="J24" i="14"/>
  <c r="I24" i="14"/>
  <c r="M23" i="14"/>
  <c r="L23" i="14"/>
  <c r="K23" i="14"/>
  <c r="J23" i="14"/>
  <c r="I23" i="14"/>
  <c r="M22" i="14"/>
  <c r="L22" i="14"/>
  <c r="K22" i="14"/>
  <c r="J22" i="14"/>
  <c r="I22" i="14"/>
  <c r="M21" i="14"/>
  <c r="L21" i="14"/>
  <c r="K21" i="14"/>
  <c r="J21" i="14"/>
  <c r="I21" i="14"/>
  <c r="M20" i="14"/>
  <c r="L20" i="14"/>
  <c r="K20" i="14"/>
  <c r="J20" i="14"/>
  <c r="I20" i="14"/>
  <c r="M19" i="14"/>
  <c r="L19" i="14"/>
  <c r="K19" i="14"/>
  <c r="J19" i="14"/>
  <c r="I19" i="14"/>
  <c r="M18" i="14"/>
  <c r="L18" i="14"/>
  <c r="K18" i="14"/>
  <c r="J18" i="14"/>
  <c r="I18" i="14"/>
  <c r="M17" i="14"/>
  <c r="L17" i="14"/>
  <c r="K17" i="14"/>
  <c r="J17" i="14"/>
  <c r="I17" i="14"/>
  <c r="M16" i="14"/>
  <c r="L16" i="14"/>
  <c r="K16" i="14"/>
  <c r="J16" i="14"/>
  <c r="I16" i="14"/>
  <c r="M15" i="14"/>
  <c r="L15" i="14"/>
  <c r="K15" i="14"/>
  <c r="J15" i="14"/>
  <c r="I15" i="14"/>
  <c r="M14" i="14"/>
  <c r="L14" i="14"/>
  <c r="K14" i="14"/>
  <c r="J14" i="14"/>
  <c r="I14" i="14"/>
  <c r="M13" i="14"/>
  <c r="L13" i="14"/>
  <c r="K13" i="14"/>
  <c r="J13" i="14"/>
  <c r="I13" i="14"/>
  <c r="M12" i="14"/>
  <c r="L12" i="14"/>
  <c r="K12" i="14"/>
  <c r="J12" i="14"/>
  <c r="I12" i="14"/>
  <c r="M11" i="14"/>
  <c r="L11" i="14"/>
  <c r="K11" i="14"/>
  <c r="J11" i="14"/>
  <c r="I11" i="14"/>
  <c r="M10" i="14"/>
  <c r="L10" i="14"/>
  <c r="K10" i="14"/>
  <c r="J10" i="14"/>
  <c r="I10" i="14"/>
  <c r="M9" i="14"/>
  <c r="L9" i="14"/>
  <c r="K9" i="14"/>
  <c r="J9" i="14"/>
  <c r="I9" i="14"/>
  <c r="M8" i="14"/>
  <c r="L8" i="14"/>
  <c r="K8" i="14"/>
  <c r="J8" i="14"/>
  <c r="I8" i="14"/>
  <c r="M7" i="14"/>
  <c r="L7" i="14"/>
  <c r="K7" i="14"/>
  <c r="J7" i="14"/>
  <c r="I7" i="14"/>
  <c r="M6" i="14"/>
  <c r="L6" i="14"/>
  <c r="K6" i="14"/>
  <c r="J6" i="14"/>
  <c r="I6" i="14"/>
  <c r="M5" i="14"/>
  <c r="L5" i="14"/>
  <c r="K5" i="14"/>
  <c r="J5" i="14"/>
  <c r="I5" i="14"/>
  <c r="M4" i="14"/>
  <c r="L4" i="14"/>
  <c r="K4" i="14"/>
  <c r="J4" i="14"/>
  <c r="I4" i="14"/>
  <c r="M3" i="14"/>
  <c r="L3" i="14"/>
  <c r="K3" i="14"/>
  <c r="J3" i="14"/>
  <c r="I3" i="14"/>
  <c r="M71" i="13"/>
  <c r="L71" i="13"/>
  <c r="K71" i="13"/>
  <c r="J71" i="13"/>
  <c r="I71" i="13"/>
  <c r="M70" i="13"/>
  <c r="L70" i="13"/>
  <c r="K70" i="13"/>
  <c r="J70" i="13"/>
  <c r="I70" i="13"/>
  <c r="M69" i="13"/>
  <c r="L69" i="13"/>
  <c r="K69" i="13"/>
  <c r="J69" i="13"/>
  <c r="I69" i="13"/>
  <c r="M68" i="13"/>
  <c r="L68" i="13"/>
  <c r="K68" i="13"/>
  <c r="J68" i="13"/>
  <c r="I68" i="13"/>
  <c r="M67" i="13"/>
  <c r="L67" i="13"/>
  <c r="K67" i="13"/>
  <c r="J67" i="13"/>
  <c r="I67" i="13"/>
  <c r="M66" i="13"/>
  <c r="L66" i="13"/>
  <c r="K66" i="13"/>
  <c r="J66" i="13"/>
  <c r="I66" i="13"/>
  <c r="M65" i="13"/>
  <c r="L65" i="13"/>
  <c r="K65" i="13"/>
  <c r="J65" i="13"/>
  <c r="I65" i="13"/>
  <c r="M64" i="13"/>
  <c r="L64" i="13"/>
  <c r="K64" i="13"/>
  <c r="J64" i="13"/>
  <c r="I64" i="13"/>
  <c r="M63" i="13"/>
  <c r="L63" i="13"/>
  <c r="K63" i="13"/>
  <c r="J63" i="13"/>
  <c r="I63" i="13"/>
  <c r="M62" i="13"/>
  <c r="L62" i="13"/>
  <c r="K62" i="13"/>
  <c r="J62" i="13"/>
  <c r="I62" i="13"/>
  <c r="M61" i="13"/>
  <c r="L61" i="13"/>
  <c r="K61" i="13"/>
  <c r="J61" i="13"/>
  <c r="I61" i="13"/>
  <c r="M60" i="13"/>
  <c r="L60" i="13"/>
  <c r="K60" i="13"/>
  <c r="J60" i="13"/>
  <c r="I60" i="13"/>
  <c r="M59" i="13"/>
  <c r="L59" i="13"/>
  <c r="K59" i="13"/>
  <c r="J59" i="13"/>
  <c r="I59" i="13"/>
  <c r="M58" i="13"/>
  <c r="L58" i="13"/>
  <c r="K58" i="13"/>
  <c r="J58" i="13"/>
  <c r="I58" i="13"/>
  <c r="M57" i="13"/>
  <c r="L57" i="13"/>
  <c r="K57" i="13"/>
  <c r="J57" i="13"/>
  <c r="I57" i="13"/>
  <c r="M56" i="13"/>
  <c r="L56" i="13"/>
  <c r="K56" i="13"/>
  <c r="J56" i="13"/>
  <c r="I56" i="13"/>
  <c r="M55" i="13"/>
  <c r="L55" i="13"/>
  <c r="K55" i="13"/>
  <c r="J55" i="13"/>
  <c r="I55" i="13"/>
  <c r="M54" i="13"/>
  <c r="L54" i="13"/>
  <c r="K54" i="13"/>
  <c r="J54" i="13"/>
  <c r="I54" i="13"/>
  <c r="M53" i="13"/>
  <c r="L53" i="13"/>
  <c r="K53" i="13"/>
  <c r="J53" i="13"/>
  <c r="I53" i="13"/>
  <c r="M52" i="13"/>
  <c r="L52" i="13"/>
  <c r="K52" i="13"/>
  <c r="J52" i="13"/>
  <c r="I52" i="13"/>
  <c r="M51" i="13"/>
  <c r="L51" i="13"/>
  <c r="K51" i="13"/>
  <c r="J51" i="13"/>
  <c r="I51" i="13"/>
  <c r="M50" i="13"/>
  <c r="L50" i="13"/>
  <c r="K50" i="13"/>
  <c r="J50" i="13"/>
  <c r="I50" i="13"/>
  <c r="M49" i="13"/>
  <c r="L49" i="13"/>
  <c r="K49" i="13"/>
  <c r="J49" i="13"/>
  <c r="I49" i="13"/>
  <c r="M48" i="13"/>
  <c r="L48" i="13"/>
  <c r="K48" i="13"/>
  <c r="J48" i="13"/>
  <c r="I48" i="13"/>
  <c r="M47" i="13"/>
  <c r="L47" i="13"/>
  <c r="K47" i="13"/>
  <c r="J47" i="13"/>
  <c r="I47" i="13"/>
  <c r="M46" i="13"/>
  <c r="L46" i="13"/>
  <c r="K46" i="13"/>
  <c r="J46" i="13"/>
  <c r="I46" i="13"/>
  <c r="M45" i="13"/>
  <c r="L45" i="13"/>
  <c r="K45" i="13"/>
  <c r="J45" i="13"/>
  <c r="I45" i="13"/>
  <c r="M44" i="13"/>
  <c r="L44" i="13"/>
  <c r="K44" i="13"/>
  <c r="J44" i="13"/>
  <c r="I44" i="13"/>
  <c r="M43" i="13"/>
  <c r="L43" i="13"/>
  <c r="K43" i="13"/>
  <c r="J43" i="13"/>
  <c r="I43" i="13"/>
  <c r="M42" i="13"/>
  <c r="L42" i="13"/>
  <c r="K42" i="13"/>
  <c r="J42" i="13"/>
  <c r="I42" i="13"/>
  <c r="M41" i="13"/>
  <c r="L41" i="13"/>
  <c r="K41" i="13"/>
  <c r="J41" i="13"/>
  <c r="I41" i="13"/>
  <c r="M40" i="13"/>
  <c r="L40" i="13"/>
  <c r="K40" i="13"/>
  <c r="J40" i="13"/>
  <c r="I40" i="13"/>
  <c r="M39" i="13"/>
  <c r="L39" i="13"/>
  <c r="K39" i="13"/>
  <c r="J39" i="13"/>
  <c r="I39" i="13"/>
  <c r="M38" i="13"/>
  <c r="L38" i="13"/>
  <c r="K38" i="13"/>
  <c r="J38" i="13"/>
  <c r="I38" i="13"/>
  <c r="M37" i="13"/>
  <c r="L37" i="13"/>
  <c r="K37" i="13"/>
  <c r="J37" i="13"/>
  <c r="I37" i="13"/>
  <c r="M36" i="13"/>
  <c r="L36" i="13"/>
  <c r="K36" i="13"/>
  <c r="J36" i="13"/>
  <c r="I36" i="13"/>
  <c r="M35" i="13"/>
  <c r="L35" i="13"/>
  <c r="K35" i="13"/>
  <c r="J35" i="13"/>
  <c r="I35" i="13"/>
  <c r="M34" i="13"/>
  <c r="L34" i="13"/>
  <c r="K34" i="13"/>
  <c r="J34" i="13"/>
  <c r="I34" i="13"/>
  <c r="M33" i="13"/>
  <c r="L33" i="13"/>
  <c r="K33" i="13"/>
  <c r="J33" i="13"/>
  <c r="I33" i="13"/>
  <c r="M32" i="13"/>
  <c r="L32" i="13"/>
  <c r="K32" i="13"/>
  <c r="J32" i="13"/>
  <c r="I32" i="13"/>
  <c r="M31" i="13"/>
  <c r="L31" i="13"/>
  <c r="K31" i="13"/>
  <c r="J31" i="13"/>
  <c r="I31" i="13"/>
  <c r="M30" i="13"/>
  <c r="L30" i="13"/>
  <c r="K30" i="13"/>
  <c r="J30" i="13"/>
  <c r="I30" i="13"/>
  <c r="M29" i="13"/>
  <c r="L29" i="13"/>
  <c r="K29" i="13"/>
  <c r="J29" i="13"/>
  <c r="I29" i="13"/>
  <c r="M28" i="13"/>
  <c r="L28" i="13"/>
  <c r="K28" i="13"/>
  <c r="J28" i="13"/>
  <c r="I28" i="13"/>
  <c r="M27" i="13"/>
  <c r="L27" i="13"/>
  <c r="K27" i="13"/>
  <c r="J27" i="13"/>
  <c r="I27" i="13"/>
  <c r="M26" i="13"/>
  <c r="L26" i="13"/>
  <c r="K26" i="13"/>
  <c r="J26" i="13"/>
  <c r="I26" i="13"/>
  <c r="M25" i="13"/>
  <c r="L25" i="13"/>
  <c r="K25" i="13"/>
  <c r="J25" i="13"/>
  <c r="I25" i="13"/>
  <c r="M24" i="13"/>
  <c r="L24" i="13"/>
  <c r="K24" i="13"/>
  <c r="J24" i="13"/>
  <c r="I24" i="13"/>
  <c r="M23" i="13"/>
  <c r="L23" i="13"/>
  <c r="K23" i="13"/>
  <c r="J23" i="13"/>
  <c r="I23" i="13"/>
  <c r="M22" i="13"/>
  <c r="L22" i="13"/>
  <c r="K22" i="13"/>
  <c r="J22" i="13"/>
  <c r="I22" i="13"/>
  <c r="M21" i="13"/>
  <c r="L21" i="13"/>
  <c r="K21" i="13"/>
  <c r="J21" i="13"/>
  <c r="I21" i="13"/>
  <c r="M20" i="13"/>
  <c r="L20" i="13"/>
  <c r="K20" i="13"/>
  <c r="J20" i="13"/>
  <c r="I20" i="13"/>
  <c r="M19" i="13"/>
  <c r="L19" i="13"/>
  <c r="K19" i="13"/>
  <c r="J19" i="13"/>
  <c r="I19" i="13"/>
  <c r="M18" i="13"/>
  <c r="L18" i="13"/>
  <c r="K18" i="13"/>
  <c r="J18" i="13"/>
  <c r="I18" i="13"/>
  <c r="M17" i="13"/>
  <c r="L17" i="13"/>
  <c r="K17" i="13"/>
  <c r="J17" i="13"/>
  <c r="I17" i="13"/>
  <c r="M16" i="13"/>
  <c r="L16" i="13"/>
  <c r="K16" i="13"/>
  <c r="J16" i="13"/>
  <c r="I16" i="13"/>
  <c r="M15" i="13"/>
  <c r="L15" i="13"/>
  <c r="K15" i="13"/>
  <c r="J15" i="13"/>
  <c r="I15" i="13"/>
  <c r="M14" i="13"/>
  <c r="L14" i="13"/>
  <c r="K14" i="13"/>
  <c r="J14" i="13"/>
  <c r="I14" i="13"/>
  <c r="M13" i="13"/>
  <c r="L13" i="13"/>
  <c r="K13" i="13"/>
  <c r="J13" i="13"/>
  <c r="I13" i="13"/>
  <c r="M12" i="13"/>
  <c r="L12" i="13"/>
  <c r="K12" i="13"/>
  <c r="J12" i="13"/>
  <c r="I12" i="13"/>
  <c r="M11" i="13"/>
  <c r="L11" i="13"/>
  <c r="K11" i="13"/>
  <c r="J11" i="13"/>
  <c r="I11" i="13"/>
  <c r="M10" i="13"/>
  <c r="L10" i="13"/>
  <c r="K10" i="13"/>
  <c r="J10" i="13"/>
  <c r="I10" i="13"/>
  <c r="M9" i="13"/>
  <c r="L9" i="13"/>
  <c r="K9" i="13"/>
  <c r="J9" i="13"/>
  <c r="I9" i="13"/>
  <c r="M8" i="13"/>
  <c r="L8" i="13"/>
  <c r="K8" i="13"/>
  <c r="J8" i="13"/>
  <c r="I8" i="13"/>
  <c r="M7" i="13"/>
  <c r="L7" i="13"/>
  <c r="K7" i="13"/>
  <c r="J7" i="13"/>
  <c r="I7" i="13"/>
  <c r="M6" i="13"/>
  <c r="L6" i="13"/>
  <c r="K6" i="13"/>
  <c r="J6" i="13"/>
  <c r="I6" i="13"/>
  <c r="M5" i="13"/>
  <c r="L5" i="13"/>
  <c r="K5" i="13"/>
  <c r="J5" i="13"/>
  <c r="I5" i="13"/>
  <c r="M4" i="13"/>
  <c r="L4" i="13"/>
  <c r="K4" i="13"/>
  <c r="J4" i="13"/>
  <c r="I4" i="13"/>
  <c r="M3" i="13"/>
  <c r="L3" i="13"/>
  <c r="K3" i="13"/>
  <c r="J3" i="13"/>
  <c r="I3" i="13"/>
  <c r="M71" i="12"/>
  <c r="L71" i="12"/>
  <c r="K71" i="12"/>
  <c r="J71" i="12"/>
  <c r="I71" i="12"/>
  <c r="M70" i="12"/>
  <c r="L70" i="12"/>
  <c r="K70" i="12"/>
  <c r="J70" i="12"/>
  <c r="I70" i="12"/>
  <c r="M69" i="12"/>
  <c r="L69" i="12"/>
  <c r="K69" i="12"/>
  <c r="J69" i="12"/>
  <c r="I69" i="12"/>
  <c r="M68" i="12"/>
  <c r="L68" i="12"/>
  <c r="K68" i="12"/>
  <c r="J68" i="12"/>
  <c r="I68" i="12"/>
  <c r="M67" i="12"/>
  <c r="L67" i="12"/>
  <c r="K67" i="12"/>
  <c r="J67" i="12"/>
  <c r="I67" i="12"/>
  <c r="M66" i="12"/>
  <c r="L66" i="12"/>
  <c r="K66" i="12"/>
  <c r="J66" i="12"/>
  <c r="I66" i="12"/>
  <c r="M65" i="12"/>
  <c r="L65" i="12"/>
  <c r="K65" i="12"/>
  <c r="J65" i="12"/>
  <c r="I65" i="12"/>
  <c r="M64" i="12"/>
  <c r="L64" i="12"/>
  <c r="K64" i="12"/>
  <c r="J64" i="12"/>
  <c r="I64" i="12"/>
  <c r="M63" i="12"/>
  <c r="L63" i="12"/>
  <c r="K63" i="12"/>
  <c r="J63" i="12"/>
  <c r="I63" i="12"/>
  <c r="M62" i="12"/>
  <c r="L62" i="12"/>
  <c r="K62" i="12"/>
  <c r="J62" i="12"/>
  <c r="I62" i="12"/>
  <c r="M61" i="12"/>
  <c r="L61" i="12"/>
  <c r="K61" i="12"/>
  <c r="J61" i="12"/>
  <c r="I61" i="12"/>
  <c r="M60" i="12"/>
  <c r="L60" i="12"/>
  <c r="K60" i="12"/>
  <c r="J60" i="12"/>
  <c r="I60" i="12"/>
  <c r="M59" i="12"/>
  <c r="L59" i="12"/>
  <c r="K59" i="12"/>
  <c r="J59" i="12"/>
  <c r="I59" i="12"/>
  <c r="M58" i="12"/>
  <c r="L58" i="12"/>
  <c r="K58" i="12"/>
  <c r="J58" i="12"/>
  <c r="I58" i="12"/>
  <c r="M57" i="12"/>
  <c r="L57" i="12"/>
  <c r="K57" i="12"/>
  <c r="J57" i="12"/>
  <c r="I57" i="12"/>
  <c r="M56" i="12"/>
  <c r="L56" i="12"/>
  <c r="K56" i="12"/>
  <c r="J56" i="12"/>
  <c r="I56" i="12"/>
  <c r="M55" i="12"/>
  <c r="L55" i="12"/>
  <c r="K55" i="12"/>
  <c r="J55" i="12"/>
  <c r="I55" i="12"/>
  <c r="M54" i="12"/>
  <c r="L54" i="12"/>
  <c r="K54" i="12"/>
  <c r="J54" i="12"/>
  <c r="I54" i="12"/>
  <c r="M53" i="12"/>
  <c r="L53" i="12"/>
  <c r="K53" i="12"/>
  <c r="J53" i="12"/>
  <c r="I53" i="12"/>
  <c r="M52" i="12"/>
  <c r="L52" i="12"/>
  <c r="K52" i="12"/>
  <c r="J52" i="12"/>
  <c r="I52" i="12"/>
  <c r="M51" i="12"/>
  <c r="L51" i="12"/>
  <c r="K51" i="12"/>
  <c r="J51" i="12"/>
  <c r="I51" i="12"/>
  <c r="M50" i="12"/>
  <c r="L50" i="12"/>
  <c r="K50" i="12"/>
  <c r="J50" i="12"/>
  <c r="I50" i="12"/>
  <c r="M49" i="12"/>
  <c r="L49" i="12"/>
  <c r="K49" i="12"/>
  <c r="J49" i="12"/>
  <c r="I49" i="12"/>
  <c r="M48" i="12"/>
  <c r="L48" i="12"/>
  <c r="K48" i="12"/>
  <c r="J48" i="12"/>
  <c r="I48" i="12"/>
  <c r="M47" i="12"/>
  <c r="L47" i="12"/>
  <c r="K47" i="12"/>
  <c r="J47" i="12"/>
  <c r="I47" i="12"/>
  <c r="M46" i="12"/>
  <c r="L46" i="12"/>
  <c r="K46" i="12"/>
  <c r="J46" i="12"/>
  <c r="I46" i="12"/>
  <c r="M45" i="12"/>
  <c r="L45" i="12"/>
  <c r="K45" i="12"/>
  <c r="J45" i="12"/>
  <c r="I45" i="12"/>
  <c r="M44" i="12"/>
  <c r="L44" i="12"/>
  <c r="K44" i="12"/>
  <c r="J44" i="12"/>
  <c r="I44" i="12"/>
  <c r="M43" i="12"/>
  <c r="L43" i="12"/>
  <c r="K43" i="12"/>
  <c r="J43" i="12"/>
  <c r="I43" i="12"/>
  <c r="M42" i="12"/>
  <c r="L42" i="12"/>
  <c r="K42" i="12"/>
  <c r="J42" i="12"/>
  <c r="I42" i="12"/>
  <c r="M41" i="12"/>
  <c r="L41" i="12"/>
  <c r="K41" i="12"/>
  <c r="J41" i="12"/>
  <c r="I41" i="12"/>
  <c r="M40" i="12"/>
  <c r="L40" i="12"/>
  <c r="K40" i="12"/>
  <c r="J40" i="12"/>
  <c r="I40" i="12"/>
  <c r="M39" i="12"/>
  <c r="L39" i="12"/>
  <c r="K39" i="12"/>
  <c r="J39" i="12"/>
  <c r="I39" i="12"/>
  <c r="M38" i="12"/>
  <c r="L38" i="12"/>
  <c r="K38" i="12"/>
  <c r="J38" i="12"/>
  <c r="I38" i="12"/>
  <c r="M37" i="12"/>
  <c r="L37" i="12"/>
  <c r="K37" i="12"/>
  <c r="J37" i="12"/>
  <c r="I37" i="12"/>
  <c r="M36" i="12"/>
  <c r="L36" i="12"/>
  <c r="K36" i="12"/>
  <c r="J36" i="12"/>
  <c r="I36" i="12"/>
  <c r="M35" i="12"/>
  <c r="L35" i="12"/>
  <c r="K35" i="12"/>
  <c r="J35" i="12"/>
  <c r="I35" i="12"/>
  <c r="M34" i="12"/>
  <c r="L34" i="12"/>
  <c r="K34" i="12"/>
  <c r="J34" i="12"/>
  <c r="I34" i="12"/>
  <c r="M33" i="12"/>
  <c r="L33" i="12"/>
  <c r="K33" i="12"/>
  <c r="J33" i="12"/>
  <c r="I33" i="12"/>
  <c r="M32" i="12"/>
  <c r="L32" i="12"/>
  <c r="K32" i="12"/>
  <c r="J32" i="12"/>
  <c r="I32" i="12"/>
  <c r="M31" i="12"/>
  <c r="L31" i="12"/>
  <c r="K31" i="12"/>
  <c r="J31" i="12"/>
  <c r="I31" i="12"/>
  <c r="M30" i="12"/>
  <c r="L30" i="12"/>
  <c r="K30" i="12"/>
  <c r="J30" i="12"/>
  <c r="I30" i="12"/>
  <c r="M29" i="12"/>
  <c r="L29" i="12"/>
  <c r="K29" i="12"/>
  <c r="J29" i="12"/>
  <c r="I29" i="12"/>
  <c r="M28" i="12"/>
  <c r="L28" i="12"/>
  <c r="K28" i="12"/>
  <c r="J28" i="12"/>
  <c r="I28" i="12"/>
  <c r="M27" i="12"/>
  <c r="L27" i="12"/>
  <c r="K27" i="12"/>
  <c r="J27" i="12"/>
  <c r="I27" i="12"/>
  <c r="M26" i="12"/>
  <c r="L26" i="12"/>
  <c r="K26" i="12"/>
  <c r="J26" i="12"/>
  <c r="I26" i="12"/>
  <c r="M25" i="12"/>
  <c r="L25" i="12"/>
  <c r="K25" i="12"/>
  <c r="J25" i="12"/>
  <c r="I25" i="12"/>
  <c r="M24" i="12"/>
  <c r="L24" i="12"/>
  <c r="K24" i="12"/>
  <c r="J24" i="12"/>
  <c r="I24" i="12"/>
  <c r="M23" i="12"/>
  <c r="L23" i="12"/>
  <c r="K23" i="12"/>
  <c r="J23" i="12"/>
  <c r="I23" i="12"/>
  <c r="M22" i="12"/>
  <c r="L22" i="12"/>
  <c r="K22" i="12"/>
  <c r="J22" i="12"/>
  <c r="I22" i="12"/>
  <c r="M21" i="12"/>
  <c r="L21" i="12"/>
  <c r="K21" i="12"/>
  <c r="J21" i="12"/>
  <c r="I21" i="12"/>
  <c r="M20" i="12"/>
  <c r="L20" i="12"/>
  <c r="K20" i="12"/>
  <c r="J20" i="12"/>
  <c r="I20" i="12"/>
  <c r="M19" i="12"/>
  <c r="L19" i="12"/>
  <c r="K19" i="12"/>
  <c r="J19" i="12"/>
  <c r="I19" i="12"/>
  <c r="M18" i="12"/>
  <c r="L18" i="12"/>
  <c r="K18" i="12"/>
  <c r="J18" i="12"/>
  <c r="I18" i="12"/>
  <c r="M17" i="12"/>
  <c r="L17" i="12"/>
  <c r="K17" i="12"/>
  <c r="J17" i="12"/>
  <c r="I17" i="12"/>
  <c r="M16" i="12"/>
  <c r="L16" i="12"/>
  <c r="K16" i="12"/>
  <c r="J16" i="12"/>
  <c r="I16" i="12"/>
  <c r="M15" i="12"/>
  <c r="L15" i="12"/>
  <c r="K15" i="12"/>
  <c r="J15" i="12"/>
  <c r="I15" i="12"/>
  <c r="M14" i="12"/>
  <c r="L14" i="12"/>
  <c r="K14" i="12"/>
  <c r="J14" i="12"/>
  <c r="I14" i="12"/>
  <c r="M13" i="12"/>
  <c r="L13" i="12"/>
  <c r="K13" i="12"/>
  <c r="J13" i="12"/>
  <c r="I13" i="12"/>
  <c r="M12" i="12"/>
  <c r="L12" i="12"/>
  <c r="K12" i="12"/>
  <c r="J12" i="12"/>
  <c r="I12" i="12"/>
  <c r="M11" i="12"/>
  <c r="L11" i="12"/>
  <c r="K11" i="12"/>
  <c r="J11" i="12"/>
  <c r="I11" i="12"/>
  <c r="M10" i="12"/>
  <c r="L10" i="12"/>
  <c r="K10" i="12"/>
  <c r="J10" i="12"/>
  <c r="I10" i="12"/>
  <c r="M9" i="12"/>
  <c r="L9" i="12"/>
  <c r="K9" i="12"/>
  <c r="J9" i="12"/>
  <c r="I9" i="12"/>
  <c r="M8" i="12"/>
  <c r="L8" i="12"/>
  <c r="K8" i="12"/>
  <c r="J8" i="12"/>
  <c r="I8" i="12"/>
  <c r="M7" i="12"/>
  <c r="L7" i="12"/>
  <c r="K7" i="12"/>
  <c r="J7" i="12"/>
  <c r="I7" i="12"/>
  <c r="M6" i="12"/>
  <c r="L6" i="12"/>
  <c r="K6" i="12"/>
  <c r="J6" i="12"/>
  <c r="I6" i="12"/>
  <c r="M5" i="12"/>
  <c r="L5" i="12"/>
  <c r="K5" i="12"/>
  <c r="J5" i="12"/>
  <c r="I5" i="12"/>
  <c r="M4" i="12"/>
  <c r="L4" i="12"/>
  <c r="K4" i="12"/>
  <c r="J4" i="12"/>
  <c r="I4" i="12"/>
  <c r="M3" i="12"/>
  <c r="L3" i="12"/>
  <c r="K3" i="12"/>
  <c r="J3" i="12"/>
  <c r="I3" i="12"/>
  <c r="M71" i="22"/>
  <c r="L71" i="22"/>
  <c r="K71" i="22"/>
  <c r="J71" i="22"/>
  <c r="I71" i="22"/>
  <c r="M70" i="22"/>
  <c r="L70" i="22"/>
  <c r="K70" i="22"/>
  <c r="J70" i="22"/>
  <c r="I70" i="22"/>
  <c r="M69" i="22"/>
  <c r="L69" i="22"/>
  <c r="K69" i="22"/>
  <c r="J69" i="22"/>
  <c r="I69" i="22"/>
  <c r="M68" i="22"/>
  <c r="L68" i="22"/>
  <c r="K68" i="22"/>
  <c r="J68" i="22"/>
  <c r="I68" i="22"/>
  <c r="M67" i="22"/>
  <c r="L67" i="22"/>
  <c r="K67" i="22"/>
  <c r="J67" i="22"/>
  <c r="I67" i="22"/>
  <c r="M66" i="22"/>
  <c r="L66" i="22"/>
  <c r="K66" i="22"/>
  <c r="J66" i="22"/>
  <c r="I66" i="22"/>
  <c r="M65" i="22"/>
  <c r="L65" i="22"/>
  <c r="K65" i="22"/>
  <c r="J65" i="22"/>
  <c r="I65" i="22"/>
  <c r="M64" i="22"/>
  <c r="L64" i="22"/>
  <c r="K64" i="22"/>
  <c r="J64" i="22"/>
  <c r="I64" i="22"/>
  <c r="M63" i="22"/>
  <c r="L63" i="22"/>
  <c r="K63" i="22"/>
  <c r="J63" i="22"/>
  <c r="I63" i="22"/>
  <c r="M62" i="22"/>
  <c r="L62" i="22"/>
  <c r="K62" i="22"/>
  <c r="J62" i="22"/>
  <c r="I62" i="22"/>
  <c r="M61" i="22"/>
  <c r="L61" i="22"/>
  <c r="K61" i="22"/>
  <c r="J61" i="22"/>
  <c r="I61" i="22"/>
  <c r="M60" i="22"/>
  <c r="L60" i="22"/>
  <c r="K60" i="22"/>
  <c r="J60" i="22"/>
  <c r="I60" i="22"/>
  <c r="M59" i="22"/>
  <c r="L59" i="22"/>
  <c r="K59" i="22"/>
  <c r="J59" i="22"/>
  <c r="I59" i="22"/>
  <c r="M58" i="22"/>
  <c r="L58" i="22"/>
  <c r="K58" i="22"/>
  <c r="J58" i="22"/>
  <c r="I58" i="22"/>
  <c r="M57" i="22"/>
  <c r="L57" i="22"/>
  <c r="K57" i="22"/>
  <c r="J57" i="22"/>
  <c r="I57" i="22"/>
  <c r="M56" i="22"/>
  <c r="L56" i="22"/>
  <c r="K56" i="22"/>
  <c r="J56" i="22"/>
  <c r="I56" i="22"/>
  <c r="M55" i="22"/>
  <c r="L55" i="22"/>
  <c r="K55" i="22"/>
  <c r="J55" i="22"/>
  <c r="I55" i="22"/>
  <c r="M54" i="22"/>
  <c r="L54" i="22"/>
  <c r="K54" i="22"/>
  <c r="J54" i="22"/>
  <c r="I54" i="22"/>
  <c r="M53" i="22"/>
  <c r="L53" i="22"/>
  <c r="K53" i="22"/>
  <c r="J53" i="22"/>
  <c r="I53" i="22"/>
  <c r="M52" i="22"/>
  <c r="L52" i="22"/>
  <c r="K52" i="22"/>
  <c r="J52" i="22"/>
  <c r="I52" i="22"/>
  <c r="M51" i="22"/>
  <c r="L51" i="22"/>
  <c r="K51" i="22"/>
  <c r="J51" i="22"/>
  <c r="I51" i="22"/>
  <c r="M50" i="22"/>
  <c r="L50" i="22"/>
  <c r="K50" i="22"/>
  <c r="J50" i="22"/>
  <c r="I50" i="22"/>
  <c r="M49" i="22"/>
  <c r="L49" i="22"/>
  <c r="K49" i="22"/>
  <c r="J49" i="22"/>
  <c r="I49" i="22"/>
  <c r="M48" i="22"/>
  <c r="L48" i="22"/>
  <c r="K48" i="22"/>
  <c r="J48" i="22"/>
  <c r="I48" i="22"/>
  <c r="M47" i="22"/>
  <c r="L47" i="22"/>
  <c r="K47" i="22"/>
  <c r="J47" i="22"/>
  <c r="I47" i="22"/>
  <c r="M46" i="22"/>
  <c r="L46" i="22"/>
  <c r="K46" i="22"/>
  <c r="J46" i="22"/>
  <c r="I46" i="22"/>
  <c r="M45" i="22"/>
  <c r="L45" i="22"/>
  <c r="K45" i="22"/>
  <c r="J45" i="22"/>
  <c r="I45" i="22"/>
  <c r="M44" i="22"/>
  <c r="L44" i="22"/>
  <c r="K44" i="22"/>
  <c r="J44" i="22"/>
  <c r="I44" i="22"/>
  <c r="M43" i="22"/>
  <c r="L43" i="22"/>
  <c r="K43" i="22"/>
  <c r="J43" i="22"/>
  <c r="I43" i="22"/>
  <c r="M42" i="22"/>
  <c r="L42" i="22"/>
  <c r="K42" i="22"/>
  <c r="J42" i="22"/>
  <c r="I42" i="22"/>
  <c r="M41" i="22"/>
  <c r="L41" i="22"/>
  <c r="K41" i="22"/>
  <c r="J41" i="22"/>
  <c r="I41" i="22"/>
  <c r="M40" i="22"/>
  <c r="L40" i="22"/>
  <c r="K40" i="22"/>
  <c r="J40" i="22"/>
  <c r="I40" i="22"/>
  <c r="M39" i="22"/>
  <c r="L39" i="22"/>
  <c r="K39" i="22"/>
  <c r="J39" i="22"/>
  <c r="I39" i="22"/>
  <c r="M38" i="22"/>
  <c r="L38" i="22"/>
  <c r="K38" i="22"/>
  <c r="J38" i="22"/>
  <c r="I38" i="22"/>
  <c r="M37" i="22"/>
  <c r="L37" i="22"/>
  <c r="K37" i="22"/>
  <c r="J37" i="22"/>
  <c r="I37" i="22"/>
  <c r="M36" i="22"/>
  <c r="L36" i="22"/>
  <c r="K36" i="22"/>
  <c r="J36" i="22"/>
  <c r="I36" i="22"/>
  <c r="M35" i="22"/>
  <c r="L35" i="22"/>
  <c r="K35" i="22"/>
  <c r="J35" i="22"/>
  <c r="I35" i="22"/>
  <c r="M34" i="22"/>
  <c r="L34" i="22"/>
  <c r="K34" i="22"/>
  <c r="J34" i="22"/>
  <c r="I34" i="22"/>
  <c r="M33" i="22"/>
  <c r="L33" i="22"/>
  <c r="K33" i="22"/>
  <c r="J33" i="22"/>
  <c r="I33" i="22"/>
  <c r="M32" i="22"/>
  <c r="L32" i="22"/>
  <c r="K32" i="22"/>
  <c r="J32" i="22"/>
  <c r="I32" i="22"/>
  <c r="M31" i="22"/>
  <c r="L31" i="22"/>
  <c r="K31" i="22"/>
  <c r="J31" i="22"/>
  <c r="I31" i="22"/>
  <c r="M30" i="22"/>
  <c r="L30" i="22"/>
  <c r="K30" i="22"/>
  <c r="J30" i="22"/>
  <c r="I30" i="22"/>
  <c r="M29" i="22"/>
  <c r="L29" i="22"/>
  <c r="K29" i="22"/>
  <c r="J29" i="22"/>
  <c r="I29" i="22"/>
  <c r="M28" i="22"/>
  <c r="L28" i="22"/>
  <c r="K28" i="22"/>
  <c r="J28" i="22"/>
  <c r="I28" i="22"/>
  <c r="M27" i="22"/>
  <c r="L27" i="22"/>
  <c r="K27" i="22"/>
  <c r="J27" i="22"/>
  <c r="I27" i="22"/>
  <c r="M26" i="22"/>
  <c r="L26" i="22"/>
  <c r="K26" i="22"/>
  <c r="J26" i="22"/>
  <c r="I26" i="22"/>
  <c r="M25" i="22"/>
  <c r="L25" i="22"/>
  <c r="K25" i="22"/>
  <c r="J25" i="22"/>
  <c r="I25" i="22"/>
  <c r="M24" i="22"/>
  <c r="L24" i="22"/>
  <c r="K24" i="22"/>
  <c r="J24" i="22"/>
  <c r="I24" i="22"/>
  <c r="M23" i="22"/>
  <c r="L23" i="22"/>
  <c r="K23" i="22"/>
  <c r="J23" i="22"/>
  <c r="I23" i="22"/>
  <c r="M22" i="22"/>
  <c r="L22" i="22"/>
  <c r="K22" i="22"/>
  <c r="J22" i="22"/>
  <c r="I22" i="22"/>
  <c r="M21" i="22"/>
  <c r="L21" i="22"/>
  <c r="K21" i="22"/>
  <c r="J21" i="22"/>
  <c r="I21" i="22"/>
  <c r="M20" i="22"/>
  <c r="L20" i="22"/>
  <c r="K20" i="22"/>
  <c r="J20" i="22"/>
  <c r="I20" i="22"/>
  <c r="M19" i="22"/>
  <c r="L19" i="22"/>
  <c r="K19" i="22"/>
  <c r="J19" i="22"/>
  <c r="I19" i="22"/>
  <c r="M18" i="22"/>
  <c r="L18" i="22"/>
  <c r="K18" i="22"/>
  <c r="J18" i="22"/>
  <c r="I18" i="22"/>
  <c r="M17" i="22"/>
  <c r="L17" i="22"/>
  <c r="K17" i="22"/>
  <c r="J17" i="22"/>
  <c r="I17" i="22"/>
  <c r="M16" i="22"/>
  <c r="L16" i="22"/>
  <c r="K16" i="22"/>
  <c r="J16" i="22"/>
  <c r="I16" i="22"/>
  <c r="M15" i="22"/>
  <c r="L15" i="22"/>
  <c r="K15" i="22"/>
  <c r="J15" i="22"/>
  <c r="I15" i="22"/>
  <c r="M14" i="22"/>
  <c r="L14" i="22"/>
  <c r="K14" i="22"/>
  <c r="J14" i="22"/>
  <c r="I14" i="22"/>
  <c r="M13" i="22"/>
  <c r="L13" i="22"/>
  <c r="K13" i="22"/>
  <c r="J13" i="22"/>
  <c r="I13" i="22"/>
  <c r="M12" i="22"/>
  <c r="L12" i="22"/>
  <c r="K12" i="22"/>
  <c r="J12" i="22"/>
  <c r="I12" i="22"/>
  <c r="M11" i="22"/>
  <c r="L11" i="22"/>
  <c r="K11" i="22"/>
  <c r="J11" i="22"/>
  <c r="I11" i="22"/>
  <c r="M10" i="22"/>
  <c r="L10" i="22"/>
  <c r="K10" i="22"/>
  <c r="J10" i="22"/>
  <c r="I10" i="22"/>
  <c r="M9" i="22"/>
  <c r="L9" i="22"/>
  <c r="K9" i="22"/>
  <c r="J9" i="22"/>
  <c r="I9" i="22"/>
  <c r="M8" i="22"/>
  <c r="L8" i="22"/>
  <c r="K8" i="22"/>
  <c r="J8" i="22"/>
  <c r="I8" i="22"/>
  <c r="M7" i="22"/>
  <c r="L7" i="22"/>
  <c r="K7" i="22"/>
  <c r="J7" i="22"/>
  <c r="I7" i="22"/>
  <c r="M6" i="22"/>
  <c r="L6" i="22"/>
  <c r="K6" i="22"/>
  <c r="J6" i="22"/>
  <c r="I6" i="22"/>
  <c r="M5" i="22"/>
  <c r="L5" i="22"/>
  <c r="K5" i="22"/>
  <c r="J5" i="22"/>
  <c r="I5" i="22"/>
  <c r="M4" i="22"/>
  <c r="L4" i="22"/>
  <c r="K4" i="22"/>
  <c r="J4" i="22"/>
  <c r="I4" i="22"/>
  <c r="M3" i="22"/>
  <c r="L3" i="22"/>
  <c r="K3" i="22"/>
  <c r="J3" i="22"/>
  <c r="I3" i="22"/>
  <c r="M71" i="21"/>
  <c r="L71" i="21"/>
  <c r="K71" i="21"/>
  <c r="J71" i="21"/>
  <c r="I71" i="21"/>
  <c r="M70" i="21"/>
  <c r="L70" i="21"/>
  <c r="K70" i="21"/>
  <c r="J70" i="21"/>
  <c r="I70" i="21"/>
  <c r="M69" i="21"/>
  <c r="L69" i="21"/>
  <c r="K69" i="21"/>
  <c r="J69" i="21"/>
  <c r="I69" i="21"/>
  <c r="M68" i="21"/>
  <c r="L68" i="21"/>
  <c r="K68" i="21"/>
  <c r="J68" i="21"/>
  <c r="I68" i="21"/>
  <c r="M67" i="21"/>
  <c r="L67" i="21"/>
  <c r="K67" i="21"/>
  <c r="J67" i="21"/>
  <c r="I67" i="21"/>
  <c r="M66" i="21"/>
  <c r="L66" i="21"/>
  <c r="K66" i="21"/>
  <c r="J66" i="21"/>
  <c r="I66" i="21"/>
  <c r="M65" i="21"/>
  <c r="L65" i="21"/>
  <c r="K65" i="21"/>
  <c r="J65" i="21"/>
  <c r="I65" i="21"/>
  <c r="M64" i="21"/>
  <c r="L64" i="21"/>
  <c r="K64" i="21"/>
  <c r="J64" i="21"/>
  <c r="I64" i="21"/>
  <c r="M63" i="21"/>
  <c r="L63" i="21"/>
  <c r="K63" i="21"/>
  <c r="J63" i="21"/>
  <c r="I63" i="21"/>
  <c r="M62" i="21"/>
  <c r="L62" i="21"/>
  <c r="K62" i="21"/>
  <c r="J62" i="21"/>
  <c r="I62" i="21"/>
  <c r="M61" i="21"/>
  <c r="L61" i="21"/>
  <c r="K61" i="21"/>
  <c r="J61" i="21"/>
  <c r="I61" i="21"/>
  <c r="M60" i="21"/>
  <c r="L60" i="21"/>
  <c r="K60" i="21"/>
  <c r="J60" i="21"/>
  <c r="I60" i="21"/>
  <c r="M59" i="21"/>
  <c r="L59" i="21"/>
  <c r="K59" i="21"/>
  <c r="J59" i="21"/>
  <c r="I59" i="21"/>
  <c r="M58" i="21"/>
  <c r="L58" i="21"/>
  <c r="K58" i="21"/>
  <c r="J58" i="21"/>
  <c r="I58" i="21"/>
  <c r="M57" i="21"/>
  <c r="L57" i="21"/>
  <c r="K57" i="21"/>
  <c r="J57" i="21"/>
  <c r="I57" i="21"/>
  <c r="M56" i="21"/>
  <c r="L56" i="21"/>
  <c r="K56" i="21"/>
  <c r="J56" i="21"/>
  <c r="I56" i="21"/>
  <c r="M55" i="21"/>
  <c r="L55" i="21"/>
  <c r="K55" i="21"/>
  <c r="J55" i="21"/>
  <c r="I55" i="21"/>
  <c r="M54" i="21"/>
  <c r="L54" i="21"/>
  <c r="K54" i="21"/>
  <c r="J54" i="21"/>
  <c r="I54" i="21"/>
  <c r="M53" i="21"/>
  <c r="L53" i="21"/>
  <c r="K53" i="21"/>
  <c r="J53" i="21"/>
  <c r="I53" i="21"/>
  <c r="M52" i="21"/>
  <c r="L52" i="21"/>
  <c r="K52" i="21"/>
  <c r="J52" i="21"/>
  <c r="I52" i="21"/>
  <c r="M51" i="21"/>
  <c r="L51" i="21"/>
  <c r="K51" i="21"/>
  <c r="J51" i="21"/>
  <c r="I51" i="21"/>
  <c r="M50" i="21"/>
  <c r="L50" i="21"/>
  <c r="K50" i="21"/>
  <c r="J50" i="21"/>
  <c r="I50" i="21"/>
  <c r="M49" i="21"/>
  <c r="L49" i="21"/>
  <c r="K49" i="21"/>
  <c r="J49" i="21"/>
  <c r="I49" i="21"/>
  <c r="M48" i="21"/>
  <c r="L48" i="21"/>
  <c r="K48" i="21"/>
  <c r="J48" i="21"/>
  <c r="I48" i="21"/>
  <c r="M47" i="21"/>
  <c r="L47" i="21"/>
  <c r="K47" i="21"/>
  <c r="J47" i="21"/>
  <c r="I47" i="21"/>
  <c r="M46" i="21"/>
  <c r="L46" i="21"/>
  <c r="K46" i="21"/>
  <c r="J46" i="21"/>
  <c r="I46" i="21"/>
  <c r="M45" i="21"/>
  <c r="L45" i="21"/>
  <c r="K45" i="21"/>
  <c r="J45" i="21"/>
  <c r="I45" i="21"/>
  <c r="M44" i="21"/>
  <c r="L44" i="21"/>
  <c r="K44" i="21"/>
  <c r="J44" i="21"/>
  <c r="I44" i="21"/>
  <c r="M43" i="21"/>
  <c r="L43" i="21"/>
  <c r="K43" i="21"/>
  <c r="J43" i="21"/>
  <c r="I43" i="21"/>
  <c r="M42" i="21"/>
  <c r="L42" i="21"/>
  <c r="K42" i="21"/>
  <c r="J42" i="21"/>
  <c r="I42" i="21"/>
  <c r="M41" i="21"/>
  <c r="L41" i="21"/>
  <c r="K41" i="21"/>
  <c r="J41" i="21"/>
  <c r="I41" i="21"/>
  <c r="M40" i="21"/>
  <c r="L40" i="21"/>
  <c r="K40" i="21"/>
  <c r="J40" i="21"/>
  <c r="I40" i="21"/>
  <c r="M39" i="21"/>
  <c r="L39" i="21"/>
  <c r="K39" i="21"/>
  <c r="J39" i="21"/>
  <c r="I39" i="21"/>
  <c r="M38" i="21"/>
  <c r="L38" i="21"/>
  <c r="K38" i="21"/>
  <c r="J38" i="21"/>
  <c r="I38" i="21"/>
  <c r="M37" i="21"/>
  <c r="L37" i="21"/>
  <c r="K37" i="21"/>
  <c r="J37" i="21"/>
  <c r="I37" i="21"/>
  <c r="M36" i="21"/>
  <c r="L36" i="21"/>
  <c r="K36" i="21"/>
  <c r="J36" i="21"/>
  <c r="I36" i="21"/>
  <c r="M35" i="21"/>
  <c r="L35" i="21"/>
  <c r="K35" i="21"/>
  <c r="J35" i="21"/>
  <c r="I35" i="21"/>
  <c r="M34" i="21"/>
  <c r="L34" i="21"/>
  <c r="K34" i="21"/>
  <c r="J34" i="21"/>
  <c r="I34" i="21"/>
  <c r="M33" i="21"/>
  <c r="L33" i="21"/>
  <c r="K33" i="21"/>
  <c r="J33" i="21"/>
  <c r="I33" i="21"/>
  <c r="M32" i="21"/>
  <c r="L32" i="21"/>
  <c r="K32" i="21"/>
  <c r="J32" i="21"/>
  <c r="I32" i="21"/>
  <c r="M31" i="21"/>
  <c r="L31" i="21"/>
  <c r="K31" i="21"/>
  <c r="J31" i="21"/>
  <c r="I31" i="21"/>
  <c r="M30" i="21"/>
  <c r="L30" i="21"/>
  <c r="K30" i="21"/>
  <c r="J30" i="21"/>
  <c r="I30" i="21"/>
  <c r="M29" i="21"/>
  <c r="L29" i="21"/>
  <c r="K29" i="21"/>
  <c r="J29" i="21"/>
  <c r="I29" i="21"/>
  <c r="M28" i="21"/>
  <c r="L28" i="21"/>
  <c r="K28" i="21"/>
  <c r="J28" i="21"/>
  <c r="I28" i="21"/>
  <c r="M27" i="21"/>
  <c r="L27" i="21"/>
  <c r="K27" i="21"/>
  <c r="J27" i="21"/>
  <c r="I27" i="21"/>
  <c r="M26" i="21"/>
  <c r="L26" i="21"/>
  <c r="K26" i="21"/>
  <c r="J26" i="21"/>
  <c r="I26" i="21"/>
  <c r="M25" i="21"/>
  <c r="L25" i="21"/>
  <c r="K25" i="21"/>
  <c r="J25" i="21"/>
  <c r="I25" i="21"/>
  <c r="M24" i="21"/>
  <c r="L24" i="21"/>
  <c r="K24" i="21"/>
  <c r="J24" i="21"/>
  <c r="I24" i="21"/>
  <c r="M23" i="21"/>
  <c r="L23" i="21"/>
  <c r="K23" i="21"/>
  <c r="J23" i="21"/>
  <c r="I23" i="21"/>
  <c r="M22" i="21"/>
  <c r="L22" i="21"/>
  <c r="K22" i="21"/>
  <c r="J22" i="21"/>
  <c r="I22" i="21"/>
  <c r="M21" i="21"/>
  <c r="L21" i="21"/>
  <c r="K21" i="21"/>
  <c r="J21" i="21"/>
  <c r="I21" i="21"/>
  <c r="M20" i="21"/>
  <c r="L20" i="21"/>
  <c r="K20" i="21"/>
  <c r="J20" i="21"/>
  <c r="I20" i="21"/>
  <c r="M19" i="21"/>
  <c r="L19" i="21"/>
  <c r="K19" i="21"/>
  <c r="J19" i="21"/>
  <c r="I19" i="21"/>
  <c r="M18" i="21"/>
  <c r="L18" i="21"/>
  <c r="K18" i="21"/>
  <c r="J18" i="21"/>
  <c r="I18" i="21"/>
  <c r="M17" i="21"/>
  <c r="L17" i="21"/>
  <c r="K17" i="21"/>
  <c r="J17" i="21"/>
  <c r="I17" i="21"/>
  <c r="M16" i="21"/>
  <c r="L16" i="21"/>
  <c r="K16" i="21"/>
  <c r="J16" i="21"/>
  <c r="I16" i="21"/>
  <c r="M15" i="21"/>
  <c r="L15" i="21"/>
  <c r="K15" i="21"/>
  <c r="J15" i="21"/>
  <c r="I15" i="21"/>
  <c r="M14" i="21"/>
  <c r="L14" i="21"/>
  <c r="K14" i="21"/>
  <c r="J14" i="21"/>
  <c r="I14" i="21"/>
  <c r="M13" i="21"/>
  <c r="L13" i="21"/>
  <c r="K13" i="21"/>
  <c r="J13" i="21"/>
  <c r="I13" i="21"/>
  <c r="M12" i="21"/>
  <c r="L12" i="21"/>
  <c r="K12" i="21"/>
  <c r="J12" i="21"/>
  <c r="I12" i="21"/>
  <c r="M11" i="21"/>
  <c r="L11" i="21"/>
  <c r="K11" i="21"/>
  <c r="J11" i="21"/>
  <c r="I11" i="21"/>
  <c r="M10" i="21"/>
  <c r="L10" i="21"/>
  <c r="K10" i="21"/>
  <c r="J10" i="21"/>
  <c r="I10" i="21"/>
  <c r="M9" i="21"/>
  <c r="L9" i="21"/>
  <c r="K9" i="21"/>
  <c r="J9" i="21"/>
  <c r="I9" i="21"/>
  <c r="M8" i="21"/>
  <c r="L8" i="21"/>
  <c r="K8" i="21"/>
  <c r="J8" i="21"/>
  <c r="I8" i="21"/>
  <c r="M7" i="21"/>
  <c r="L7" i="21"/>
  <c r="K7" i="21"/>
  <c r="J7" i="21"/>
  <c r="I7" i="21"/>
  <c r="M6" i="21"/>
  <c r="L6" i="21"/>
  <c r="K6" i="21"/>
  <c r="J6" i="21"/>
  <c r="I6" i="21"/>
  <c r="M5" i="21"/>
  <c r="L5" i="21"/>
  <c r="K5" i="21"/>
  <c r="J5" i="21"/>
  <c r="I5" i="21"/>
  <c r="M4" i="21"/>
  <c r="L4" i="21"/>
  <c r="K4" i="21"/>
  <c r="J4" i="21"/>
  <c r="I4" i="21"/>
  <c r="M3" i="21"/>
  <c r="L3" i="21"/>
  <c r="K3" i="21"/>
  <c r="J3" i="21"/>
  <c r="I3" i="21"/>
  <c r="M71" i="11"/>
  <c r="L71" i="11"/>
  <c r="K71" i="11"/>
  <c r="J71" i="11"/>
  <c r="I71" i="11"/>
  <c r="M70" i="11"/>
  <c r="L70" i="11"/>
  <c r="K70" i="11"/>
  <c r="J70" i="11"/>
  <c r="I70" i="11"/>
  <c r="M69" i="11"/>
  <c r="L69" i="11"/>
  <c r="K69" i="11"/>
  <c r="J69" i="11"/>
  <c r="I69" i="11"/>
  <c r="M68" i="11"/>
  <c r="L68" i="11"/>
  <c r="K68" i="11"/>
  <c r="J68" i="11"/>
  <c r="I68" i="11"/>
  <c r="M67" i="11"/>
  <c r="L67" i="11"/>
  <c r="K67" i="11"/>
  <c r="J67" i="11"/>
  <c r="I67" i="11"/>
  <c r="M66" i="11"/>
  <c r="L66" i="11"/>
  <c r="K66" i="11"/>
  <c r="J66" i="11"/>
  <c r="I66" i="11"/>
  <c r="M65" i="11"/>
  <c r="L65" i="11"/>
  <c r="K65" i="11"/>
  <c r="J65" i="11"/>
  <c r="I65" i="11"/>
  <c r="M64" i="11"/>
  <c r="L64" i="11"/>
  <c r="K64" i="11"/>
  <c r="J64" i="11"/>
  <c r="I64" i="11"/>
  <c r="M63" i="11"/>
  <c r="L63" i="11"/>
  <c r="K63" i="11"/>
  <c r="J63" i="11"/>
  <c r="I63" i="11"/>
  <c r="M62" i="11"/>
  <c r="L62" i="11"/>
  <c r="K62" i="11"/>
  <c r="J62" i="11"/>
  <c r="I62" i="11"/>
  <c r="M61" i="11"/>
  <c r="L61" i="11"/>
  <c r="K61" i="11"/>
  <c r="J61" i="11"/>
  <c r="I61" i="11"/>
  <c r="M60" i="11"/>
  <c r="L60" i="11"/>
  <c r="K60" i="11"/>
  <c r="J60" i="11"/>
  <c r="I60" i="11"/>
  <c r="M59" i="11"/>
  <c r="L59" i="11"/>
  <c r="K59" i="11"/>
  <c r="J59" i="11"/>
  <c r="I59" i="11"/>
  <c r="M58" i="11"/>
  <c r="L58" i="11"/>
  <c r="K58" i="11"/>
  <c r="J58" i="11"/>
  <c r="I58" i="11"/>
  <c r="M57" i="11"/>
  <c r="L57" i="11"/>
  <c r="K57" i="11"/>
  <c r="J57" i="11"/>
  <c r="I57" i="11"/>
  <c r="M56" i="11"/>
  <c r="L56" i="11"/>
  <c r="K56" i="11"/>
  <c r="J56" i="11"/>
  <c r="I56" i="11"/>
  <c r="M55" i="11"/>
  <c r="L55" i="11"/>
  <c r="K55" i="11"/>
  <c r="J55" i="11"/>
  <c r="I55" i="11"/>
  <c r="M54" i="11"/>
  <c r="L54" i="11"/>
  <c r="K54" i="11"/>
  <c r="J54" i="11"/>
  <c r="I54" i="11"/>
  <c r="M53" i="11"/>
  <c r="L53" i="11"/>
  <c r="K53" i="11"/>
  <c r="J53" i="11"/>
  <c r="I53" i="11"/>
  <c r="M52" i="11"/>
  <c r="L52" i="11"/>
  <c r="K52" i="11"/>
  <c r="J52" i="11"/>
  <c r="I52" i="11"/>
  <c r="M51" i="11"/>
  <c r="L51" i="11"/>
  <c r="K51" i="11"/>
  <c r="J51" i="11"/>
  <c r="I51" i="11"/>
  <c r="M50" i="11"/>
  <c r="L50" i="11"/>
  <c r="K50" i="11"/>
  <c r="J50" i="11"/>
  <c r="I50" i="11"/>
  <c r="M49" i="11"/>
  <c r="L49" i="11"/>
  <c r="K49" i="11"/>
  <c r="J49" i="11"/>
  <c r="I49" i="11"/>
  <c r="M48" i="11"/>
  <c r="L48" i="11"/>
  <c r="K48" i="11"/>
  <c r="J48" i="11"/>
  <c r="I48" i="11"/>
  <c r="M47" i="11"/>
  <c r="L47" i="11"/>
  <c r="K47" i="11"/>
  <c r="J47" i="11"/>
  <c r="I47" i="11"/>
  <c r="M46" i="11"/>
  <c r="L46" i="11"/>
  <c r="K46" i="11"/>
  <c r="J46" i="11"/>
  <c r="I46" i="11"/>
  <c r="M45" i="11"/>
  <c r="L45" i="11"/>
  <c r="K45" i="11"/>
  <c r="J45" i="11"/>
  <c r="I45" i="11"/>
  <c r="M44" i="11"/>
  <c r="L44" i="11"/>
  <c r="K44" i="11"/>
  <c r="J44" i="11"/>
  <c r="I44" i="11"/>
  <c r="M43" i="11"/>
  <c r="L43" i="11"/>
  <c r="K43" i="11"/>
  <c r="J43" i="11"/>
  <c r="I43" i="11"/>
  <c r="M42" i="11"/>
  <c r="L42" i="11"/>
  <c r="K42" i="11"/>
  <c r="J42" i="11"/>
  <c r="I42" i="11"/>
  <c r="M41" i="11"/>
  <c r="L41" i="11"/>
  <c r="K41" i="11"/>
  <c r="J41" i="11"/>
  <c r="I41" i="11"/>
  <c r="M40" i="11"/>
  <c r="L40" i="11"/>
  <c r="K40" i="11"/>
  <c r="J40" i="11"/>
  <c r="I40" i="11"/>
  <c r="M39" i="11"/>
  <c r="L39" i="11"/>
  <c r="K39" i="11"/>
  <c r="J39" i="11"/>
  <c r="I39" i="11"/>
  <c r="M38" i="11"/>
  <c r="L38" i="11"/>
  <c r="K38" i="11"/>
  <c r="J38" i="11"/>
  <c r="I38" i="11"/>
  <c r="M37" i="11"/>
  <c r="L37" i="11"/>
  <c r="K37" i="11"/>
  <c r="J37" i="11"/>
  <c r="I37" i="11"/>
  <c r="M36" i="11"/>
  <c r="L36" i="11"/>
  <c r="K36" i="11"/>
  <c r="J36" i="11"/>
  <c r="I36" i="11"/>
  <c r="M35" i="11"/>
  <c r="L35" i="11"/>
  <c r="K35" i="11"/>
  <c r="J35" i="11"/>
  <c r="I35" i="11"/>
  <c r="M34" i="11"/>
  <c r="L34" i="11"/>
  <c r="K34" i="11"/>
  <c r="J34" i="11"/>
  <c r="I34" i="11"/>
  <c r="M33" i="11"/>
  <c r="L33" i="11"/>
  <c r="K33" i="11"/>
  <c r="J33" i="11"/>
  <c r="I33" i="11"/>
  <c r="M32" i="11"/>
  <c r="L32" i="11"/>
  <c r="K32" i="11"/>
  <c r="J32" i="11"/>
  <c r="I32" i="11"/>
  <c r="M31" i="11"/>
  <c r="L31" i="11"/>
  <c r="K31" i="11"/>
  <c r="J31" i="11"/>
  <c r="I31" i="11"/>
  <c r="M30" i="11"/>
  <c r="L30" i="11"/>
  <c r="K30" i="11"/>
  <c r="J30" i="11"/>
  <c r="I30" i="11"/>
  <c r="M29" i="11"/>
  <c r="L29" i="11"/>
  <c r="K29" i="11"/>
  <c r="J29" i="11"/>
  <c r="I29" i="11"/>
  <c r="M28" i="11"/>
  <c r="L28" i="11"/>
  <c r="K28" i="11"/>
  <c r="J28" i="11"/>
  <c r="I28" i="11"/>
  <c r="M27" i="11"/>
  <c r="L27" i="11"/>
  <c r="K27" i="11"/>
  <c r="J27" i="11"/>
  <c r="I27" i="11"/>
  <c r="M26" i="11"/>
  <c r="L26" i="11"/>
  <c r="K26" i="11"/>
  <c r="J26" i="11"/>
  <c r="I26" i="11"/>
  <c r="M25" i="11"/>
  <c r="L25" i="11"/>
  <c r="K25" i="11"/>
  <c r="J25" i="11"/>
  <c r="I25" i="11"/>
  <c r="M24" i="11"/>
  <c r="L24" i="11"/>
  <c r="K24" i="11"/>
  <c r="J24" i="11"/>
  <c r="I24" i="11"/>
  <c r="M23" i="11"/>
  <c r="L23" i="11"/>
  <c r="K23" i="11"/>
  <c r="J23" i="11"/>
  <c r="I23" i="11"/>
  <c r="M22" i="11"/>
  <c r="L22" i="11"/>
  <c r="K22" i="11"/>
  <c r="J22" i="11"/>
  <c r="I22" i="11"/>
  <c r="M21" i="11"/>
  <c r="L21" i="11"/>
  <c r="K21" i="11"/>
  <c r="J21" i="11"/>
  <c r="I21" i="11"/>
  <c r="M20" i="11"/>
  <c r="L20" i="11"/>
  <c r="K20" i="11"/>
  <c r="J20" i="11"/>
  <c r="I20" i="11"/>
  <c r="M19" i="11"/>
  <c r="L19" i="11"/>
  <c r="K19" i="11"/>
  <c r="J19" i="11"/>
  <c r="I19" i="11"/>
  <c r="M18" i="11"/>
  <c r="L18" i="11"/>
  <c r="K18" i="11"/>
  <c r="J18" i="11"/>
  <c r="I18" i="11"/>
  <c r="M17" i="11"/>
  <c r="L17" i="11"/>
  <c r="K17" i="11"/>
  <c r="J17" i="11"/>
  <c r="I17" i="11"/>
  <c r="M16" i="11"/>
  <c r="L16" i="11"/>
  <c r="K16" i="11"/>
  <c r="J16" i="11"/>
  <c r="I16" i="11"/>
  <c r="M15" i="11"/>
  <c r="L15" i="11"/>
  <c r="K15" i="11"/>
  <c r="J15" i="11"/>
  <c r="I15" i="11"/>
  <c r="M14" i="11"/>
  <c r="L14" i="11"/>
  <c r="K14" i="11"/>
  <c r="J14" i="11"/>
  <c r="I14" i="11"/>
  <c r="M13" i="11"/>
  <c r="L13" i="11"/>
  <c r="K13" i="11"/>
  <c r="J13" i="11"/>
  <c r="I13" i="11"/>
  <c r="M12" i="11"/>
  <c r="L12" i="11"/>
  <c r="K12" i="11"/>
  <c r="J12" i="11"/>
  <c r="I12" i="11"/>
  <c r="M11" i="11"/>
  <c r="L11" i="11"/>
  <c r="K11" i="11"/>
  <c r="J11" i="11"/>
  <c r="I11" i="11"/>
  <c r="M10" i="11"/>
  <c r="L10" i="11"/>
  <c r="K10" i="11"/>
  <c r="J10" i="11"/>
  <c r="I10" i="11"/>
  <c r="M9" i="11"/>
  <c r="L9" i="11"/>
  <c r="K9" i="11"/>
  <c r="J9" i="11"/>
  <c r="I9" i="11"/>
  <c r="M8" i="11"/>
  <c r="L8" i="11"/>
  <c r="K8" i="11"/>
  <c r="J8" i="11"/>
  <c r="I8" i="11"/>
  <c r="M7" i="11"/>
  <c r="L7" i="11"/>
  <c r="K7" i="11"/>
  <c r="J7" i="11"/>
  <c r="I7" i="11"/>
  <c r="M6" i="11"/>
  <c r="L6" i="11"/>
  <c r="K6" i="11"/>
  <c r="J6" i="11"/>
  <c r="I6" i="11"/>
  <c r="M5" i="11"/>
  <c r="L5" i="11"/>
  <c r="K5" i="11"/>
  <c r="J5" i="11"/>
  <c r="I5" i="11"/>
  <c r="M4" i="11"/>
  <c r="L4" i="11"/>
  <c r="K4" i="11"/>
  <c r="J4" i="11"/>
  <c r="I4" i="11"/>
  <c r="M3" i="11"/>
  <c r="L3" i="11"/>
  <c r="K3" i="11"/>
  <c r="J3" i="11"/>
  <c r="I3" i="11"/>
  <c r="M71" i="10"/>
  <c r="L71" i="10"/>
  <c r="K71" i="10"/>
  <c r="J71" i="10"/>
  <c r="I71" i="10"/>
  <c r="M70" i="10"/>
  <c r="L70" i="10"/>
  <c r="K70" i="10"/>
  <c r="J70" i="10"/>
  <c r="I70" i="10"/>
  <c r="M69" i="10"/>
  <c r="L69" i="10"/>
  <c r="K69" i="10"/>
  <c r="J69" i="10"/>
  <c r="I69" i="10"/>
  <c r="M68" i="10"/>
  <c r="L68" i="10"/>
  <c r="K68" i="10"/>
  <c r="J68" i="10"/>
  <c r="I68" i="10"/>
  <c r="M67" i="10"/>
  <c r="L67" i="10"/>
  <c r="K67" i="10"/>
  <c r="J67" i="10"/>
  <c r="I67" i="10"/>
  <c r="M66" i="10"/>
  <c r="L66" i="10"/>
  <c r="K66" i="10"/>
  <c r="J66" i="10"/>
  <c r="I66" i="10"/>
  <c r="M65" i="10"/>
  <c r="L65" i="10"/>
  <c r="K65" i="10"/>
  <c r="J65" i="10"/>
  <c r="I65" i="10"/>
  <c r="M64" i="10"/>
  <c r="L64" i="10"/>
  <c r="K64" i="10"/>
  <c r="J64" i="10"/>
  <c r="I64" i="10"/>
  <c r="M63" i="10"/>
  <c r="L63" i="10"/>
  <c r="K63" i="10"/>
  <c r="J63" i="10"/>
  <c r="I63" i="10"/>
  <c r="M62" i="10"/>
  <c r="L62" i="10"/>
  <c r="K62" i="10"/>
  <c r="J62" i="10"/>
  <c r="I62" i="10"/>
  <c r="M61" i="10"/>
  <c r="L61" i="10"/>
  <c r="K61" i="10"/>
  <c r="J61" i="10"/>
  <c r="I61" i="10"/>
  <c r="M60" i="10"/>
  <c r="L60" i="10"/>
  <c r="K60" i="10"/>
  <c r="J60" i="10"/>
  <c r="I60" i="10"/>
  <c r="M59" i="10"/>
  <c r="L59" i="10"/>
  <c r="K59" i="10"/>
  <c r="J59" i="10"/>
  <c r="I59" i="10"/>
  <c r="M58" i="10"/>
  <c r="L58" i="10"/>
  <c r="K58" i="10"/>
  <c r="J58" i="10"/>
  <c r="I58" i="10"/>
  <c r="M57" i="10"/>
  <c r="L57" i="10"/>
  <c r="K57" i="10"/>
  <c r="J57" i="10"/>
  <c r="I57" i="10"/>
  <c r="M56" i="10"/>
  <c r="L56" i="10"/>
  <c r="K56" i="10"/>
  <c r="J56" i="10"/>
  <c r="I56" i="10"/>
  <c r="M55" i="10"/>
  <c r="L55" i="10"/>
  <c r="K55" i="10"/>
  <c r="J55" i="10"/>
  <c r="I55" i="10"/>
  <c r="M54" i="10"/>
  <c r="L54" i="10"/>
  <c r="K54" i="10"/>
  <c r="J54" i="10"/>
  <c r="I54" i="10"/>
  <c r="M53" i="10"/>
  <c r="L53" i="10"/>
  <c r="K53" i="10"/>
  <c r="J53" i="10"/>
  <c r="I53" i="10"/>
  <c r="M52" i="10"/>
  <c r="L52" i="10"/>
  <c r="K52" i="10"/>
  <c r="J52" i="10"/>
  <c r="I52" i="10"/>
  <c r="M51" i="10"/>
  <c r="L51" i="10"/>
  <c r="K51" i="10"/>
  <c r="J51" i="10"/>
  <c r="I51" i="10"/>
  <c r="M50" i="10"/>
  <c r="L50" i="10"/>
  <c r="K50" i="10"/>
  <c r="J50" i="10"/>
  <c r="I50" i="10"/>
  <c r="M49" i="10"/>
  <c r="L49" i="10"/>
  <c r="K49" i="10"/>
  <c r="J49" i="10"/>
  <c r="I49" i="10"/>
  <c r="M48" i="10"/>
  <c r="L48" i="10"/>
  <c r="K48" i="10"/>
  <c r="J48" i="10"/>
  <c r="I48" i="10"/>
  <c r="M47" i="10"/>
  <c r="L47" i="10"/>
  <c r="K47" i="10"/>
  <c r="J47" i="10"/>
  <c r="I47" i="10"/>
  <c r="M46" i="10"/>
  <c r="L46" i="10"/>
  <c r="K46" i="10"/>
  <c r="J46" i="10"/>
  <c r="I46" i="10"/>
  <c r="M45" i="10"/>
  <c r="L45" i="10"/>
  <c r="K45" i="10"/>
  <c r="J45" i="10"/>
  <c r="I45" i="10"/>
  <c r="M44" i="10"/>
  <c r="L44" i="10"/>
  <c r="K44" i="10"/>
  <c r="J44" i="10"/>
  <c r="I44" i="10"/>
  <c r="M43" i="10"/>
  <c r="L43" i="10"/>
  <c r="K43" i="10"/>
  <c r="J43" i="10"/>
  <c r="I43" i="10"/>
  <c r="M42" i="10"/>
  <c r="L42" i="10"/>
  <c r="K42" i="10"/>
  <c r="J42" i="10"/>
  <c r="I42" i="10"/>
  <c r="M41" i="10"/>
  <c r="L41" i="10"/>
  <c r="K41" i="10"/>
  <c r="J41" i="10"/>
  <c r="I41" i="10"/>
  <c r="M40" i="10"/>
  <c r="L40" i="10"/>
  <c r="K40" i="10"/>
  <c r="J40" i="10"/>
  <c r="I40" i="10"/>
  <c r="M39" i="10"/>
  <c r="L39" i="10"/>
  <c r="K39" i="10"/>
  <c r="J39" i="10"/>
  <c r="I39" i="10"/>
  <c r="M38" i="10"/>
  <c r="L38" i="10"/>
  <c r="K38" i="10"/>
  <c r="J38" i="10"/>
  <c r="I38" i="10"/>
  <c r="M37" i="10"/>
  <c r="L37" i="10"/>
  <c r="K37" i="10"/>
  <c r="J37" i="10"/>
  <c r="I37" i="10"/>
  <c r="M36" i="10"/>
  <c r="L36" i="10"/>
  <c r="K36" i="10"/>
  <c r="J36" i="10"/>
  <c r="I36" i="10"/>
  <c r="M35" i="10"/>
  <c r="L35" i="10"/>
  <c r="K35" i="10"/>
  <c r="J35" i="10"/>
  <c r="I35" i="10"/>
  <c r="M34" i="10"/>
  <c r="L34" i="10"/>
  <c r="K34" i="10"/>
  <c r="J34" i="10"/>
  <c r="I34" i="10"/>
  <c r="M33" i="10"/>
  <c r="L33" i="10"/>
  <c r="K33" i="10"/>
  <c r="J33" i="10"/>
  <c r="I33" i="10"/>
  <c r="M32" i="10"/>
  <c r="L32" i="10"/>
  <c r="K32" i="10"/>
  <c r="J32" i="10"/>
  <c r="I32" i="10"/>
  <c r="M31" i="10"/>
  <c r="L31" i="10"/>
  <c r="K31" i="10"/>
  <c r="J31" i="10"/>
  <c r="I31" i="10"/>
  <c r="M30" i="10"/>
  <c r="L30" i="10"/>
  <c r="K30" i="10"/>
  <c r="J30" i="10"/>
  <c r="I30" i="10"/>
  <c r="M29" i="10"/>
  <c r="L29" i="10"/>
  <c r="K29" i="10"/>
  <c r="J29" i="10"/>
  <c r="I29" i="10"/>
  <c r="M28" i="10"/>
  <c r="L28" i="10"/>
  <c r="K28" i="10"/>
  <c r="J28" i="10"/>
  <c r="I28" i="10"/>
  <c r="M27" i="10"/>
  <c r="L27" i="10"/>
  <c r="K27" i="10"/>
  <c r="J27" i="10"/>
  <c r="I27" i="10"/>
  <c r="M26" i="10"/>
  <c r="L26" i="10"/>
  <c r="K26" i="10"/>
  <c r="J26" i="10"/>
  <c r="I26" i="10"/>
  <c r="M25" i="10"/>
  <c r="L25" i="10"/>
  <c r="K25" i="10"/>
  <c r="J25" i="10"/>
  <c r="I25" i="10"/>
  <c r="M24" i="10"/>
  <c r="L24" i="10"/>
  <c r="K24" i="10"/>
  <c r="J24" i="10"/>
  <c r="I24" i="10"/>
  <c r="M23" i="10"/>
  <c r="L23" i="10"/>
  <c r="K23" i="10"/>
  <c r="J23" i="10"/>
  <c r="I23" i="10"/>
  <c r="M22" i="10"/>
  <c r="L22" i="10"/>
  <c r="K22" i="10"/>
  <c r="J22" i="10"/>
  <c r="I22" i="10"/>
  <c r="M21" i="10"/>
  <c r="L21" i="10"/>
  <c r="K21" i="10"/>
  <c r="J21" i="10"/>
  <c r="I21" i="10"/>
  <c r="M20" i="10"/>
  <c r="L20" i="10"/>
  <c r="K20" i="10"/>
  <c r="J20" i="10"/>
  <c r="I20" i="10"/>
  <c r="M19" i="10"/>
  <c r="L19" i="10"/>
  <c r="K19" i="10"/>
  <c r="J19" i="10"/>
  <c r="I19" i="10"/>
  <c r="M18" i="10"/>
  <c r="L18" i="10"/>
  <c r="K18" i="10"/>
  <c r="J18" i="10"/>
  <c r="I18" i="10"/>
  <c r="M17" i="10"/>
  <c r="L17" i="10"/>
  <c r="K17" i="10"/>
  <c r="J17" i="10"/>
  <c r="I17" i="10"/>
  <c r="M16" i="10"/>
  <c r="L16" i="10"/>
  <c r="K16" i="10"/>
  <c r="J16" i="10"/>
  <c r="I16" i="10"/>
  <c r="M15" i="10"/>
  <c r="L15" i="10"/>
  <c r="K15" i="10"/>
  <c r="J15" i="10"/>
  <c r="I15" i="10"/>
  <c r="M14" i="10"/>
  <c r="L14" i="10"/>
  <c r="K14" i="10"/>
  <c r="J14" i="10"/>
  <c r="I14" i="10"/>
  <c r="M13" i="10"/>
  <c r="L13" i="10"/>
  <c r="K13" i="10"/>
  <c r="J13" i="10"/>
  <c r="I13" i="10"/>
  <c r="M12" i="10"/>
  <c r="L12" i="10"/>
  <c r="K12" i="10"/>
  <c r="J12" i="10"/>
  <c r="I12" i="10"/>
  <c r="M11" i="10"/>
  <c r="L11" i="10"/>
  <c r="K11" i="10"/>
  <c r="J11" i="10"/>
  <c r="I11" i="10"/>
  <c r="M10" i="10"/>
  <c r="L10" i="10"/>
  <c r="K10" i="10"/>
  <c r="J10" i="10"/>
  <c r="I10" i="10"/>
  <c r="M9" i="10"/>
  <c r="L9" i="10"/>
  <c r="K9" i="10"/>
  <c r="J9" i="10"/>
  <c r="I9" i="10"/>
  <c r="M8" i="10"/>
  <c r="L8" i="10"/>
  <c r="K8" i="10"/>
  <c r="J8" i="10"/>
  <c r="I8" i="10"/>
  <c r="M7" i="10"/>
  <c r="L7" i="10"/>
  <c r="K7" i="10"/>
  <c r="J7" i="10"/>
  <c r="I7" i="10"/>
  <c r="M6" i="10"/>
  <c r="L6" i="10"/>
  <c r="K6" i="10"/>
  <c r="J6" i="10"/>
  <c r="I6" i="10"/>
  <c r="M5" i="10"/>
  <c r="L5" i="10"/>
  <c r="K5" i="10"/>
  <c r="J5" i="10"/>
  <c r="I5" i="10"/>
  <c r="M4" i="10"/>
  <c r="L4" i="10"/>
  <c r="K4" i="10"/>
  <c r="J4" i="10"/>
  <c r="I4" i="10"/>
  <c r="M3" i="10"/>
  <c r="L3" i="10"/>
  <c r="K3" i="10"/>
  <c r="J3" i="10"/>
  <c r="I3" i="10"/>
  <c r="M71" i="9"/>
  <c r="L71" i="9"/>
  <c r="K71" i="9"/>
  <c r="J71" i="9"/>
  <c r="I71" i="9"/>
  <c r="M70" i="9"/>
  <c r="L70" i="9"/>
  <c r="K70" i="9"/>
  <c r="J70" i="9"/>
  <c r="I70" i="9"/>
  <c r="M69" i="9"/>
  <c r="L69" i="9"/>
  <c r="K69" i="9"/>
  <c r="J69" i="9"/>
  <c r="I69" i="9"/>
  <c r="M68" i="9"/>
  <c r="L68" i="9"/>
  <c r="K68" i="9"/>
  <c r="J68" i="9"/>
  <c r="I68" i="9"/>
  <c r="M67" i="9"/>
  <c r="L67" i="9"/>
  <c r="K67" i="9"/>
  <c r="J67" i="9"/>
  <c r="I67" i="9"/>
  <c r="M66" i="9"/>
  <c r="L66" i="9"/>
  <c r="K66" i="9"/>
  <c r="J66" i="9"/>
  <c r="I66" i="9"/>
  <c r="M65" i="9"/>
  <c r="L65" i="9"/>
  <c r="K65" i="9"/>
  <c r="J65" i="9"/>
  <c r="I65" i="9"/>
  <c r="M64" i="9"/>
  <c r="L64" i="9"/>
  <c r="K64" i="9"/>
  <c r="J64" i="9"/>
  <c r="I64" i="9"/>
  <c r="M63" i="9"/>
  <c r="L63" i="9"/>
  <c r="K63" i="9"/>
  <c r="J63" i="9"/>
  <c r="I63" i="9"/>
  <c r="M62" i="9"/>
  <c r="L62" i="9"/>
  <c r="K62" i="9"/>
  <c r="J62" i="9"/>
  <c r="I62" i="9"/>
  <c r="M61" i="9"/>
  <c r="L61" i="9"/>
  <c r="K61" i="9"/>
  <c r="J61" i="9"/>
  <c r="I61" i="9"/>
  <c r="M60" i="9"/>
  <c r="L60" i="9"/>
  <c r="K60" i="9"/>
  <c r="J60" i="9"/>
  <c r="I60" i="9"/>
  <c r="M59" i="9"/>
  <c r="L59" i="9"/>
  <c r="K59" i="9"/>
  <c r="J59" i="9"/>
  <c r="I59" i="9"/>
  <c r="M58" i="9"/>
  <c r="L58" i="9"/>
  <c r="K58" i="9"/>
  <c r="J58" i="9"/>
  <c r="I58" i="9"/>
  <c r="M57" i="9"/>
  <c r="L57" i="9"/>
  <c r="K57" i="9"/>
  <c r="J57" i="9"/>
  <c r="I57" i="9"/>
  <c r="M56" i="9"/>
  <c r="L56" i="9"/>
  <c r="K56" i="9"/>
  <c r="J56" i="9"/>
  <c r="I56" i="9"/>
  <c r="M55" i="9"/>
  <c r="L55" i="9"/>
  <c r="K55" i="9"/>
  <c r="J55" i="9"/>
  <c r="I55" i="9"/>
  <c r="M54" i="9"/>
  <c r="L54" i="9"/>
  <c r="K54" i="9"/>
  <c r="J54" i="9"/>
  <c r="I54" i="9"/>
  <c r="M53" i="9"/>
  <c r="L53" i="9"/>
  <c r="K53" i="9"/>
  <c r="J53" i="9"/>
  <c r="I53" i="9"/>
  <c r="M52" i="9"/>
  <c r="L52" i="9"/>
  <c r="K52" i="9"/>
  <c r="J52" i="9"/>
  <c r="I52" i="9"/>
  <c r="M51" i="9"/>
  <c r="L51" i="9"/>
  <c r="K51" i="9"/>
  <c r="J51" i="9"/>
  <c r="I51" i="9"/>
  <c r="M50" i="9"/>
  <c r="L50" i="9"/>
  <c r="K50" i="9"/>
  <c r="J50" i="9"/>
  <c r="I50" i="9"/>
  <c r="M49" i="9"/>
  <c r="L49" i="9"/>
  <c r="K49" i="9"/>
  <c r="J49" i="9"/>
  <c r="I49" i="9"/>
  <c r="M48" i="9"/>
  <c r="L48" i="9"/>
  <c r="K48" i="9"/>
  <c r="J48" i="9"/>
  <c r="I48" i="9"/>
  <c r="M47" i="9"/>
  <c r="L47" i="9"/>
  <c r="K47" i="9"/>
  <c r="J47" i="9"/>
  <c r="I47" i="9"/>
  <c r="M46" i="9"/>
  <c r="L46" i="9"/>
  <c r="K46" i="9"/>
  <c r="J46" i="9"/>
  <c r="I46" i="9"/>
  <c r="M45" i="9"/>
  <c r="L45" i="9"/>
  <c r="K45" i="9"/>
  <c r="J45" i="9"/>
  <c r="I45" i="9"/>
  <c r="M44" i="9"/>
  <c r="L44" i="9"/>
  <c r="K44" i="9"/>
  <c r="J44" i="9"/>
  <c r="I44" i="9"/>
  <c r="M43" i="9"/>
  <c r="L43" i="9"/>
  <c r="K43" i="9"/>
  <c r="J43" i="9"/>
  <c r="I43" i="9"/>
  <c r="M42" i="9"/>
  <c r="L42" i="9"/>
  <c r="K42" i="9"/>
  <c r="J42" i="9"/>
  <c r="I42" i="9"/>
  <c r="M41" i="9"/>
  <c r="L41" i="9"/>
  <c r="K41" i="9"/>
  <c r="J41" i="9"/>
  <c r="I41" i="9"/>
  <c r="M40" i="9"/>
  <c r="L40" i="9"/>
  <c r="K40" i="9"/>
  <c r="J40" i="9"/>
  <c r="I40" i="9"/>
  <c r="M39" i="9"/>
  <c r="L39" i="9"/>
  <c r="K39" i="9"/>
  <c r="J39" i="9"/>
  <c r="I39" i="9"/>
  <c r="M38" i="9"/>
  <c r="L38" i="9"/>
  <c r="K38" i="9"/>
  <c r="J38" i="9"/>
  <c r="I38" i="9"/>
  <c r="M37" i="9"/>
  <c r="L37" i="9"/>
  <c r="K37" i="9"/>
  <c r="J37" i="9"/>
  <c r="I37" i="9"/>
  <c r="M36" i="9"/>
  <c r="L36" i="9"/>
  <c r="K36" i="9"/>
  <c r="J36" i="9"/>
  <c r="I36" i="9"/>
  <c r="M35" i="9"/>
  <c r="L35" i="9"/>
  <c r="K35" i="9"/>
  <c r="J35" i="9"/>
  <c r="I35" i="9"/>
  <c r="M34" i="9"/>
  <c r="L34" i="9"/>
  <c r="K34" i="9"/>
  <c r="J34" i="9"/>
  <c r="I34" i="9"/>
  <c r="M33" i="9"/>
  <c r="L33" i="9"/>
  <c r="K33" i="9"/>
  <c r="J33" i="9"/>
  <c r="I33" i="9"/>
  <c r="M32" i="9"/>
  <c r="L32" i="9"/>
  <c r="K32" i="9"/>
  <c r="J32" i="9"/>
  <c r="I32" i="9"/>
  <c r="M31" i="9"/>
  <c r="L31" i="9"/>
  <c r="K31" i="9"/>
  <c r="J31" i="9"/>
  <c r="I31" i="9"/>
  <c r="M30" i="9"/>
  <c r="L30" i="9"/>
  <c r="K30" i="9"/>
  <c r="J30" i="9"/>
  <c r="I30" i="9"/>
  <c r="M29" i="9"/>
  <c r="L29" i="9"/>
  <c r="K29" i="9"/>
  <c r="J29" i="9"/>
  <c r="I29" i="9"/>
  <c r="M28" i="9"/>
  <c r="L28" i="9"/>
  <c r="K28" i="9"/>
  <c r="J28" i="9"/>
  <c r="I28" i="9"/>
  <c r="M27" i="9"/>
  <c r="L27" i="9"/>
  <c r="K27" i="9"/>
  <c r="J27" i="9"/>
  <c r="I27" i="9"/>
  <c r="M26" i="9"/>
  <c r="L26" i="9"/>
  <c r="K26" i="9"/>
  <c r="J26" i="9"/>
  <c r="I26" i="9"/>
  <c r="M25" i="9"/>
  <c r="L25" i="9"/>
  <c r="K25" i="9"/>
  <c r="J25" i="9"/>
  <c r="I25" i="9"/>
  <c r="M24" i="9"/>
  <c r="L24" i="9"/>
  <c r="K24" i="9"/>
  <c r="J24" i="9"/>
  <c r="I24" i="9"/>
  <c r="M23" i="9"/>
  <c r="L23" i="9"/>
  <c r="K23" i="9"/>
  <c r="J23" i="9"/>
  <c r="I23" i="9"/>
  <c r="M22" i="9"/>
  <c r="L22" i="9"/>
  <c r="K22" i="9"/>
  <c r="J22" i="9"/>
  <c r="I22" i="9"/>
  <c r="M21" i="9"/>
  <c r="L21" i="9"/>
  <c r="K21" i="9"/>
  <c r="J21" i="9"/>
  <c r="I21" i="9"/>
  <c r="M20" i="9"/>
  <c r="L20" i="9"/>
  <c r="K20" i="9"/>
  <c r="J20" i="9"/>
  <c r="I20" i="9"/>
  <c r="M19" i="9"/>
  <c r="L19" i="9"/>
  <c r="K19" i="9"/>
  <c r="J19" i="9"/>
  <c r="I19" i="9"/>
  <c r="M18" i="9"/>
  <c r="L18" i="9"/>
  <c r="K18" i="9"/>
  <c r="J18" i="9"/>
  <c r="I18" i="9"/>
  <c r="M17" i="9"/>
  <c r="L17" i="9"/>
  <c r="K17" i="9"/>
  <c r="J17" i="9"/>
  <c r="I17" i="9"/>
  <c r="M16" i="9"/>
  <c r="L16" i="9"/>
  <c r="K16" i="9"/>
  <c r="J16" i="9"/>
  <c r="I16" i="9"/>
  <c r="M15" i="9"/>
  <c r="L15" i="9"/>
  <c r="K15" i="9"/>
  <c r="J15" i="9"/>
  <c r="I15" i="9"/>
  <c r="M14" i="9"/>
  <c r="L14" i="9"/>
  <c r="K14" i="9"/>
  <c r="J14" i="9"/>
  <c r="I14" i="9"/>
  <c r="M13" i="9"/>
  <c r="L13" i="9"/>
  <c r="K13" i="9"/>
  <c r="J13" i="9"/>
  <c r="I13" i="9"/>
  <c r="M12" i="9"/>
  <c r="L12" i="9"/>
  <c r="K12" i="9"/>
  <c r="J12" i="9"/>
  <c r="I12" i="9"/>
  <c r="M11" i="9"/>
  <c r="L11" i="9"/>
  <c r="K11" i="9"/>
  <c r="J11" i="9"/>
  <c r="I11" i="9"/>
  <c r="M10" i="9"/>
  <c r="L10" i="9"/>
  <c r="K10" i="9"/>
  <c r="J10" i="9"/>
  <c r="I10" i="9"/>
  <c r="M9" i="9"/>
  <c r="L9" i="9"/>
  <c r="K9" i="9"/>
  <c r="J9" i="9"/>
  <c r="I9" i="9"/>
  <c r="M8" i="9"/>
  <c r="L8" i="9"/>
  <c r="K8" i="9"/>
  <c r="J8" i="9"/>
  <c r="I8" i="9"/>
  <c r="M7" i="9"/>
  <c r="L7" i="9"/>
  <c r="K7" i="9"/>
  <c r="J7" i="9"/>
  <c r="I7" i="9"/>
  <c r="M6" i="9"/>
  <c r="L6" i="9"/>
  <c r="K6" i="9"/>
  <c r="J6" i="9"/>
  <c r="I6" i="9"/>
  <c r="M5" i="9"/>
  <c r="L5" i="9"/>
  <c r="K5" i="9"/>
  <c r="J5" i="9"/>
  <c r="I5" i="9"/>
  <c r="M4" i="9"/>
  <c r="L4" i="9"/>
  <c r="K4" i="9"/>
  <c r="J4" i="9"/>
  <c r="I4" i="9"/>
  <c r="M3" i="9"/>
  <c r="L3" i="9"/>
  <c r="K3" i="9"/>
  <c r="J3" i="9"/>
  <c r="I3" i="9"/>
  <c r="M71" i="8"/>
  <c r="L71" i="8"/>
  <c r="K71" i="8"/>
  <c r="J71" i="8"/>
  <c r="I71" i="8"/>
  <c r="M70" i="8"/>
  <c r="L70" i="8"/>
  <c r="K70" i="8"/>
  <c r="J70" i="8"/>
  <c r="I70" i="8"/>
  <c r="M69" i="8"/>
  <c r="L69" i="8"/>
  <c r="K69" i="8"/>
  <c r="J69" i="8"/>
  <c r="I69" i="8"/>
  <c r="M68" i="8"/>
  <c r="L68" i="8"/>
  <c r="K68" i="8"/>
  <c r="J68" i="8"/>
  <c r="I68" i="8"/>
  <c r="M67" i="8"/>
  <c r="L67" i="8"/>
  <c r="K67" i="8"/>
  <c r="J67" i="8"/>
  <c r="I67" i="8"/>
  <c r="M66" i="8"/>
  <c r="L66" i="8"/>
  <c r="K66" i="8"/>
  <c r="J66" i="8"/>
  <c r="I66" i="8"/>
  <c r="M65" i="8"/>
  <c r="L65" i="8"/>
  <c r="K65" i="8"/>
  <c r="J65" i="8"/>
  <c r="I65" i="8"/>
  <c r="M64" i="8"/>
  <c r="L64" i="8"/>
  <c r="K64" i="8"/>
  <c r="J64" i="8"/>
  <c r="I64" i="8"/>
  <c r="M63" i="8"/>
  <c r="L63" i="8"/>
  <c r="K63" i="8"/>
  <c r="J63" i="8"/>
  <c r="I63" i="8"/>
  <c r="M62" i="8"/>
  <c r="L62" i="8"/>
  <c r="K62" i="8"/>
  <c r="J62" i="8"/>
  <c r="I62" i="8"/>
  <c r="M61" i="8"/>
  <c r="L61" i="8"/>
  <c r="K61" i="8"/>
  <c r="J61" i="8"/>
  <c r="I61" i="8"/>
  <c r="M60" i="8"/>
  <c r="L60" i="8"/>
  <c r="K60" i="8"/>
  <c r="J60" i="8"/>
  <c r="I60" i="8"/>
  <c r="M59" i="8"/>
  <c r="L59" i="8"/>
  <c r="K59" i="8"/>
  <c r="J59" i="8"/>
  <c r="I59" i="8"/>
  <c r="M58" i="8"/>
  <c r="L58" i="8"/>
  <c r="K58" i="8"/>
  <c r="J58" i="8"/>
  <c r="I58" i="8"/>
  <c r="M57" i="8"/>
  <c r="L57" i="8"/>
  <c r="K57" i="8"/>
  <c r="J57" i="8"/>
  <c r="I57" i="8"/>
  <c r="M56" i="8"/>
  <c r="L56" i="8"/>
  <c r="K56" i="8"/>
  <c r="J56" i="8"/>
  <c r="I56" i="8"/>
  <c r="M55" i="8"/>
  <c r="L55" i="8"/>
  <c r="K55" i="8"/>
  <c r="J55" i="8"/>
  <c r="I55" i="8"/>
  <c r="M54" i="8"/>
  <c r="L54" i="8"/>
  <c r="K54" i="8"/>
  <c r="J54" i="8"/>
  <c r="I54" i="8"/>
  <c r="M53" i="8"/>
  <c r="L53" i="8"/>
  <c r="K53" i="8"/>
  <c r="J53" i="8"/>
  <c r="I53" i="8"/>
  <c r="M52" i="8"/>
  <c r="L52" i="8"/>
  <c r="K52" i="8"/>
  <c r="J52" i="8"/>
  <c r="I52" i="8"/>
  <c r="M51" i="8"/>
  <c r="L51" i="8"/>
  <c r="K51" i="8"/>
  <c r="J51" i="8"/>
  <c r="I51" i="8"/>
  <c r="M50" i="8"/>
  <c r="L50" i="8"/>
  <c r="K50" i="8"/>
  <c r="J50" i="8"/>
  <c r="I50" i="8"/>
  <c r="M49" i="8"/>
  <c r="L49" i="8"/>
  <c r="K49" i="8"/>
  <c r="J49" i="8"/>
  <c r="I49" i="8"/>
  <c r="M48" i="8"/>
  <c r="L48" i="8"/>
  <c r="K48" i="8"/>
  <c r="J48" i="8"/>
  <c r="I48" i="8"/>
  <c r="M47" i="8"/>
  <c r="L47" i="8"/>
  <c r="K47" i="8"/>
  <c r="J47" i="8"/>
  <c r="I47" i="8"/>
  <c r="M46" i="8"/>
  <c r="L46" i="8"/>
  <c r="K46" i="8"/>
  <c r="J46" i="8"/>
  <c r="I46" i="8"/>
  <c r="M45" i="8"/>
  <c r="L45" i="8"/>
  <c r="K45" i="8"/>
  <c r="J45" i="8"/>
  <c r="I45" i="8"/>
  <c r="M44" i="8"/>
  <c r="L44" i="8"/>
  <c r="K44" i="8"/>
  <c r="J44" i="8"/>
  <c r="I44" i="8"/>
  <c r="M43" i="8"/>
  <c r="L43" i="8"/>
  <c r="K43" i="8"/>
  <c r="J43" i="8"/>
  <c r="I43" i="8"/>
  <c r="M42" i="8"/>
  <c r="L42" i="8"/>
  <c r="K42" i="8"/>
  <c r="J42" i="8"/>
  <c r="I42" i="8"/>
  <c r="M41" i="8"/>
  <c r="L41" i="8"/>
  <c r="K41" i="8"/>
  <c r="J41" i="8"/>
  <c r="I41" i="8"/>
  <c r="M40" i="8"/>
  <c r="L40" i="8"/>
  <c r="K40" i="8"/>
  <c r="J40" i="8"/>
  <c r="I40" i="8"/>
  <c r="M39" i="8"/>
  <c r="L39" i="8"/>
  <c r="K39" i="8"/>
  <c r="J39" i="8"/>
  <c r="I39" i="8"/>
  <c r="M38" i="8"/>
  <c r="L38" i="8"/>
  <c r="K38" i="8"/>
  <c r="J38" i="8"/>
  <c r="I38" i="8"/>
  <c r="M37" i="8"/>
  <c r="L37" i="8"/>
  <c r="K37" i="8"/>
  <c r="J37" i="8"/>
  <c r="I37" i="8"/>
  <c r="M36" i="8"/>
  <c r="L36" i="8"/>
  <c r="K36" i="8"/>
  <c r="J36" i="8"/>
  <c r="I36" i="8"/>
  <c r="M35" i="8"/>
  <c r="L35" i="8"/>
  <c r="K35" i="8"/>
  <c r="J35" i="8"/>
  <c r="I35" i="8"/>
  <c r="M34" i="8"/>
  <c r="L34" i="8"/>
  <c r="K34" i="8"/>
  <c r="J34" i="8"/>
  <c r="I34" i="8"/>
  <c r="M33" i="8"/>
  <c r="L33" i="8"/>
  <c r="K33" i="8"/>
  <c r="J33" i="8"/>
  <c r="I33" i="8"/>
  <c r="M32" i="8"/>
  <c r="L32" i="8"/>
  <c r="K32" i="8"/>
  <c r="J32" i="8"/>
  <c r="I32" i="8"/>
  <c r="M31" i="8"/>
  <c r="L31" i="8"/>
  <c r="K31" i="8"/>
  <c r="J31" i="8"/>
  <c r="I31" i="8"/>
  <c r="M30" i="8"/>
  <c r="L30" i="8"/>
  <c r="K30" i="8"/>
  <c r="J30" i="8"/>
  <c r="I30" i="8"/>
  <c r="M29" i="8"/>
  <c r="L29" i="8"/>
  <c r="K29" i="8"/>
  <c r="J29" i="8"/>
  <c r="I29" i="8"/>
  <c r="M28" i="8"/>
  <c r="L28" i="8"/>
  <c r="K28" i="8"/>
  <c r="J28" i="8"/>
  <c r="I28" i="8"/>
  <c r="M27" i="8"/>
  <c r="L27" i="8"/>
  <c r="K27" i="8"/>
  <c r="J27" i="8"/>
  <c r="I27" i="8"/>
  <c r="M26" i="8"/>
  <c r="L26" i="8"/>
  <c r="K26" i="8"/>
  <c r="J26" i="8"/>
  <c r="I26" i="8"/>
  <c r="M25" i="8"/>
  <c r="L25" i="8"/>
  <c r="K25" i="8"/>
  <c r="J25" i="8"/>
  <c r="I25" i="8"/>
  <c r="M24" i="8"/>
  <c r="L24" i="8"/>
  <c r="K24" i="8"/>
  <c r="J24" i="8"/>
  <c r="I24" i="8"/>
  <c r="M23" i="8"/>
  <c r="L23" i="8"/>
  <c r="K23" i="8"/>
  <c r="J23" i="8"/>
  <c r="I23" i="8"/>
  <c r="M22" i="8"/>
  <c r="L22" i="8"/>
  <c r="K22" i="8"/>
  <c r="J22" i="8"/>
  <c r="I22" i="8"/>
  <c r="M21" i="8"/>
  <c r="L21" i="8"/>
  <c r="K21" i="8"/>
  <c r="J21" i="8"/>
  <c r="I21" i="8"/>
  <c r="M20" i="8"/>
  <c r="L20" i="8"/>
  <c r="K20" i="8"/>
  <c r="J20" i="8"/>
  <c r="I20" i="8"/>
  <c r="M19" i="8"/>
  <c r="L19" i="8"/>
  <c r="K19" i="8"/>
  <c r="J19" i="8"/>
  <c r="I19" i="8"/>
  <c r="M18" i="8"/>
  <c r="L18" i="8"/>
  <c r="K18" i="8"/>
  <c r="J18" i="8"/>
  <c r="I18" i="8"/>
  <c r="M17" i="8"/>
  <c r="L17" i="8"/>
  <c r="K17" i="8"/>
  <c r="J17" i="8"/>
  <c r="I17" i="8"/>
  <c r="M16" i="8"/>
  <c r="L16" i="8"/>
  <c r="K16" i="8"/>
  <c r="J16" i="8"/>
  <c r="I16" i="8"/>
  <c r="M15" i="8"/>
  <c r="L15" i="8"/>
  <c r="K15" i="8"/>
  <c r="J15" i="8"/>
  <c r="I15" i="8"/>
  <c r="M14" i="8"/>
  <c r="L14" i="8"/>
  <c r="K14" i="8"/>
  <c r="J14" i="8"/>
  <c r="I14" i="8"/>
  <c r="M13" i="8"/>
  <c r="L13" i="8"/>
  <c r="K13" i="8"/>
  <c r="J13" i="8"/>
  <c r="I13" i="8"/>
  <c r="M12" i="8"/>
  <c r="L12" i="8"/>
  <c r="K12" i="8"/>
  <c r="J12" i="8"/>
  <c r="I12" i="8"/>
  <c r="M11" i="8"/>
  <c r="L11" i="8"/>
  <c r="K11" i="8"/>
  <c r="J11" i="8"/>
  <c r="I11" i="8"/>
  <c r="M10" i="8"/>
  <c r="L10" i="8"/>
  <c r="K10" i="8"/>
  <c r="J10" i="8"/>
  <c r="I10" i="8"/>
  <c r="M9" i="8"/>
  <c r="L9" i="8"/>
  <c r="K9" i="8"/>
  <c r="J9" i="8"/>
  <c r="I9" i="8"/>
  <c r="M8" i="8"/>
  <c r="L8" i="8"/>
  <c r="K8" i="8"/>
  <c r="J8" i="8"/>
  <c r="I8" i="8"/>
  <c r="M7" i="8"/>
  <c r="L7" i="8"/>
  <c r="K7" i="8"/>
  <c r="J7" i="8"/>
  <c r="I7" i="8"/>
  <c r="M6" i="8"/>
  <c r="L6" i="8"/>
  <c r="K6" i="8"/>
  <c r="J6" i="8"/>
  <c r="I6" i="8"/>
  <c r="M5" i="8"/>
  <c r="L5" i="8"/>
  <c r="K5" i="8"/>
  <c r="J5" i="8"/>
  <c r="I5" i="8"/>
  <c r="M4" i="8"/>
  <c r="L4" i="8"/>
  <c r="K4" i="8"/>
  <c r="J4" i="8"/>
  <c r="I4" i="8"/>
  <c r="M3" i="8"/>
  <c r="L3" i="8"/>
  <c r="K3" i="8"/>
  <c r="J3" i="8"/>
  <c r="I3" i="8"/>
  <c r="M71" i="7"/>
  <c r="L71" i="7"/>
  <c r="K71" i="7"/>
  <c r="J71" i="7"/>
  <c r="I71" i="7"/>
  <c r="M70" i="7"/>
  <c r="L70" i="7"/>
  <c r="K70" i="7"/>
  <c r="J70" i="7"/>
  <c r="I70" i="7"/>
  <c r="M69" i="7"/>
  <c r="L69" i="7"/>
  <c r="K69" i="7"/>
  <c r="J69" i="7"/>
  <c r="I69" i="7"/>
  <c r="M68" i="7"/>
  <c r="L68" i="7"/>
  <c r="K68" i="7"/>
  <c r="J68" i="7"/>
  <c r="I68" i="7"/>
  <c r="M67" i="7"/>
  <c r="L67" i="7"/>
  <c r="K67" i="7"/>
  <c r="J67" i="7"/>
  <c r="I67" i="7"/>
  <c r="M66" i="7"/>
  <c r="L66" i="7"/>
  <c r="K66" i="7"/>
  <c r="J66" i="7"/>
  <c r="I66" i="7"/>
  <c r="M65" i="7"/>
  <c r="L65" i="7"/>
  <c r="K65" i="7"/>
  <c r="J65" i="7"/>
  <c r="I65" i="7"/>
  <c r="M64" i="7"/>
  <c r="L64" i="7"/>
  <c r="K64" i="7"/>
  <c r="J64" i="7"/>
  <c r="I64" i="7"/>
  <c r="M63" i="7"/>
  <c r="L63" i="7"/>
  <c r="K63" i="7"/>
  <c r="J63" i="7"/>
  <c r="I63" i="7"/>
  <c r="M62" i="7"/>
  <c r="L62" i="7"/>
  <c r="K62" i="7"/>
  <c r="J62" i="7"/>
  <c r="I62" i="7"/>
  <c r="M61" i="7"/>
  <c r="L61" i="7"/>
  <c r="K61" i="7"/>
  <c r="J61" i="7"/>
  <c r="I61" i="7"/>
  <c r="M60" i="7"/>
  <c r="L60" i="7"/>
  <c r="K60" i="7"/>
  <c r="J60" i="7"/>
  <c r="I60" i="7"/>
  <c r="M59" i="7"/>
  <c r="L59" i="7"/>
  <c r="K59" i="7"/>
  <c r="J59" i="7"/>
  <c r="I59" i="7"/>
  <c r="M58" i="7"/>
  <c r="L58" i="7"/>
  <c r="K58" i="7"/>
  <c r="J58" i="7"/>
  <c r="I58" i="7"/>
  <c r="M57" i="7"/>
  <c r="L57" i="7"/>
  <c r="K57" i="7"/>
  <c r="J57" i="7"/>
  <c r="I57" i="7"/>
  <c r="M56" i="7"/>
  <c r="L56" i="7"/>
  <c r="K56" i="7"/>
  <c r="J56" i="7"/>
  <c r="I56" i="7"/>
  <c r="M55" i="7"/>
  <c r="L55" i="7"/>
  <c r="K55" i="7"/>
  <c r="J55" i="7"/>
  <c r="I55" i="7"/>
  <c r="M54" i="7"/>
  <c r="L54" i="7"/>
  <c r="K54" i="7"/>
  <c r="J54" i="7"/>
  <c r="I54" i="7"/>
  <c r="M53" i="7"/>
  <c r="L53" i="7"/>
  <c r="K53" i="7"/>
  <c r="J53" i="7"/>
  <c r="I53" i="7"/>
  <c r="M52" i="7"/>
  <c r="L52" i="7"/>
  <c r="K52" i="7"/>
  <c r="J52" i="7"/>
  <c r="I52" i="7"/>
  <c r="M51" i="7"/>
  <c r="L51" i="7"/>
  <c r="K51" i="7"/>
  <c r="J51" i="7"/>
  <c r="I51" i="7"/>
  <c r="M50" i="7"/>
  <c r="L50" i="7"/>
  <c r="K50" i="7"/>
  <c r="J50" i="7"/>
  <c r="I50" i="7"/>
  <c r="M49" i="7"/>
  <c r="L49" i="7"/>
  <c r="K49" i="7"/>
  <c r="J49" i="7"/>
  <c r="I49" i="7"/>
  <c r="M48" i="7"/>
  <c r="L48" i="7"/>
  <c r="K48" i="7"/>
  <c r="J48" i="7"/>
  <c r="I48" i="7"/>
  <c r="M47" i="7"/>
  <c r="L47" i="7"/>
  <c r="K47" i="7"/>
  <c r="J47" i="7"/>
  <c r="I47" i="7"/>
  <c r="M46" i="7"/>
  <c r="L46" i="7"/>
  <c r="K46" i="7"/>
  <c r="J46" i="7"/>
  <c r="I46" i="7"/>
  <c r="M45" i="7"/>
  <c r="L45" i="7"/>
  <c r="K45" i="7"/>
  <c r="J45" i="7"/>
  <c r="I45" i="7"/>
  <c r="M44" i="7"/>
  <c r="L44" i="7"/>
  <c r="K44" i="7"/>
  <c r="J44" i="7"/>
  <c r="I44" i="7"/>
  <c r="M43" i="7"/>
  <c r="L43" i="7"/>
  <c r="K43" i="7"/>
  <c r="J43" i="7"/>
  <c r="I43" i="7"/>
  <c r="M42" i="7"/>
  <c r="L42" i="7"/>
  <c r="K42" i="7"/>
  <c r="J42" i="7"/>
  <c r="I42" i="7"/>
  <c r="M41" i="7"/>
  <c r="L41" i="7"/>
  <c r="K41" i="7"/>
  <c r="J41" i="7"/>
  <c r="I41" i="7"/>
  <c r="M40" i="7"/>
  <c r="L40" i="7"/>
  <c r="K40" i="7"/>
  <c r="J40" i="7"/>
  <c r="I40" i="7"/>
  <c r="M39" i="7"/>
  <c r="L39" i="7"/>
  <c r="K39" i="7"/>
  <c r="J39" i="7"/>
  <c r="I39" i="7"/>
  <c r="M38" i="7"/>
  <c r="L38" i="7"/>
  <c r="K38" i="7"/>
  <c r="J38" i="7"/>
  <c r="I38" i="7"/>
  <c r="M37" i="7"/>
  <c r="L37" i="7"/>
  <c r="K37" i="7"/>
  <c r="J37" i="7"/>
  <c r="I37" i="7"/>
  <c r="M36" i="7"/>
  <c r="L36" i="7"/>
  <c r="K36" i="7"/>
  <c r="J36" i="7"/>
  <c r="I36" i="7"/>
  <c r="M35" i="7"/>
  <c r="L35" i="7"/>
  <c r="K35" i="7"/>
  <c r="J35" i="7"/>
  <c r="I35" i="7"/>
  <c r="M34" i="7"/>
  <c r="L34" i="7"/>
  <c r="K34" i="7"/>
  <c r="J34" i="7"/>
  <c r="I34" i="7"/>
  <c r="M33" i="7"/>
  <c r="L33" i="7"/>
  <c r="K33" i="7"/>
  <c r="J33" i="7"/>
  <c r="I33" i="7"/>
  <c r="M32" i="7"/>
  <c r="L32" i="7"/>
  <c r="K32" i="7"/>
  <c r="J32" i="7"/>
  <c r="I32" i="7"/>
  <c r="M31" i="7"/>
  <c r="L31" i="7"/>
  <c r="K31" i="7"/>
  <c r="J31" i="7"/>
  <c r="I31" i="7"/>
  <c r="M30" i="7"/>
  <c r="L30" i="7"/>
  <c r="K30" i="7"/>
  <c r="J30" i="7"/>
  <c r="I30" i="7"/>
  <c r="M29" i="7"/>
  <c r="L29" i="7"/>
  <c r="K29" i="7"/>
  <c r="J29" i="7"/>
  <c r="I29" i="7"/>
  <c r="M28" i="7"/>
  <c r="L28" i="7"/>
  <c r="K28" i="7"/>
  <c r="J28" i="7"/>
  <c r="I28" i="7"/>
  <c r="M27" i="7"/>
  <c r="L27" i="7"/>
  <c r="K27" i="7"/>
  <c r="J27" i="7"/>
  <c r="I27" i="7"/>
  <c r="M26" i="7"/>
  <c r="L26" i="7"/>
  <c r="K26" i="7"/>
  <c r="J26" i="7"/>
  <c r="I26" i="7"/>
  <c r="M25" i="7"/>
  <c r="L25" i="7"/>
  <c r="K25" i="7"/>
  <c r="J25" i="7"/>
  <c r="I25" i="7"/>
  <c r="M24" i="7"/>
  <c r="L24" i="7"/>
  <c r="K24" i="7"/>
  <c r="J24" i="7"/>
  <c r="I24" i="7"/>
  <c r="M23" i="7"/>
  <c r="L23" i="7"/>
  <c r="K23" i="7"/>
  <c r="J23" i="7"/>
  <c r="I23" i="7"/>
  <c r="M22" i="7"/>
  <c r="L22" i="7"/>
  <c r="K22" i="7"/>
  <c r="J22" i="7"/>
  <c r="I22" i="7"/>
  <c r="M21" i="7"/>
  <c r="L21" i="7"/>
  <c r="K21" i="7"/>
  <c r="J21" i="7"/>
  <c r="I21" i="7"/>
  <c r="M20" i="7"/>
  <c r="L20" i="7"/>
  <c r="K20" i="7"/>
  <c r="J20" i="7"/>
  <c r="I20" i="7"/>
  <c r="M19" i="7"/>
  <c r="L19" i="7"/>
  <c r="K19" i="7"/>
  <c r="J19" i="7"/>
  <c r="I19" i="7"/>
  <c r="M18" i="7"/>
  <c r="L18" i="7"/>
  <c r="K18" i="7"/>
  <c r="J18" i="7"/>
  <c r="I18" i="7"/>
  <c r="M17" i="7"/>
  <c r="L17" i="7"/>
  <c r="K17" i="7"/>
  <c r="J17" i="7"/>
  <c r="I17" i="7"/>
  <c r="M16" i="7"/>
  <c r="L16" i="7"/>
  <c r="K16" i="7"/>
  <c r="J16" i="7"/>
  <c r="I16" i="7"/>
  <c r="M15" i="7"/>
  <c r="L15" i="7"/>
  <c r="K15" i="7"/>
  <c r="J15" i="7"/>
  <c r="I15" i="7"/>
  <c r="M14" i="7"/>
  <c r="L14" i="7"/>
  <c r="K14" i="7"/>
  <c r="J14" i="7"/>
  <c r="I14" i="7"/>
  <c r="M13" i="7"/>
  <c r="L13" i="7"/>
  <c r="K13" i="7"/>
  <c r="J13" i="7"/>
  <c r="I13" i="7"/>
  <c r="M12" i="7"/>
  <c r="L12" i="7"/>
  <c r="K12" i="7"/>
  <c r="J12" i="7"/>
  <c r="I12" i="7"/>
  <c r="M11" i="7"/>
  <c r="L11" i="7"/>
  <c r="K11" i="7"/>
  <c r="J11" i="7"/>
  <c r="I11" i="7"/>
  <c r="M10" i="7"/>
  <c r="L10" i="7"/>
  <c r="K10" i="7"/>
  <c r="J10" i="7"/>
  <c r="I10" i="7"/>
  <c r="M9" i="7"/>
  <c r="L9" i="7"/>
  <c r="K9" i="7"/>
  <c r="J9" i="7"/>
  <c r="I9" i="7"/>
  <c r="M8" i="7"/>
  <c r="L8" i="7"/>
  <c r="K8" i="7"/>
  <c r="J8" i="7"/>
  <c r="I8" i="7"/>
  <c r="M7" i="7"/>
  <c r="L7" i="7"/>
  <c r="K7" i="7"/>
  <c r="J7" i="7"/>
  <c r="I7" i="7"/>
  <c r="M6" i="7"/>
  <c r="L6" i="7"/>
  <c r="K6" i="7"/>
  <c r="J6" i="7"/>
  <c r="I6" i="7"/>
  <c r="M5" i="7"/>
  <c r="L5" i="7"/>
  <c r="K5" i="7"/>
  <c r="J5" i="7"/>
  <c r="I5" i="7"/>
  <c r="M4" i="7"/>
  <c r="L4" i="7"/>
  <c r="K4" i="7"/>
  <c r="J4" i="7"/>
  <c r="I4" i="7"/>
  <c r="M3" i="7"/>
  <c r="L3" i="7"/>
  <c r="K3" i="7"/>
  <c r="J3" i="7"/>
  <c r="I3" i="7"/>
  <c r="M71" i="6"/>
  <c r="L71" i="6"/>
  <c r="K71" i="6"/>
  <c r="J71" i="6"/>
  <c r="I71" i="6"/>
  <c r="M70" i="6"/>
  <c r="L70" i="6"/>
  <c r="K70" i="6"/>
  <c r="J70" i="6"/>
  <c r="I70" i="6"/>
  <c r="M69" i="6"/>
  <c r="L69" i="6"/>
  <c r="K69" i="6"/>
  <c r="J69" i="6"/>
  <c r="I69" i="6"/>
  <c r="M68" i="6"/>
  <c r="L68" i="6"/>
  <c r="K68" i="6"/>
  <c r="J68" i="6"/>
  <c r="I68" i="6"/>
  <c r="M67" i="6"/>
  <c r="L67" i="6"/>
  <c r="K67" i="6"/>
  <c r="J67" i="6"/>
  <c r="I67" i="6"/>
  <c r="M66" i="6"/>
  <c r="L66" i="6"/>
  <c r="K66" i="6"/>
  <c r="J66" i="6"/>
  <c r="I66" i="6"/>
  <c r="M65" i="6"/>
  <c r="L65" i="6"/>
  <c r="K65" i="6"/>
  <c r="J65" i="6"/>
  <c r="I65" i="6"/>
  <c r="M64" i="6"/>
  <c r="L64" i="6"/>
  <c r="K64" i="6"/>
  <c r="J64" i="6"/>
  <c r="I64" i="6"/>
  <c r="M63" i="6"/>
  <c r="L63" i="6"/>
  <c r="K63" i="6"/>
  <c r="J63" i="6"/>
  <c r="I63" i="6"/>
  <c r="M62" i="6"/>
  <c r="L62" i="6"/>
  <c r="K62" i="6"/>
  <c r="J62" i="6"/>
  <c r="I62" i="6"/>
  <c r="M61" i="6"/>
  <c r="L61" i="6"/>
  <c r="K61" i="6"/>
  <c r="J61" i="6"/>
  <c r="I61" i="6"/>
  <c r="M60" i="6"/>
  <c r="L60" i="6"/>
  <c r="K60" i="6"/>
  <c r="J60" i="6"/>
  <c r="I60" i="6"/>
  <c r="M59" i="6"/>
  <c r="L59" i="6"/>
  <c r="K59" i="6"/>
  <c r="J59" i="6"/>
  <c r="I59" i="6"/>
  <c r="M58" i="6"/>
  <c r="L58" i="6"/>
  <c r="K58" i="6"/>
  <c r="J58" i="6"/>
  <c r="I58" i="6"/>
  <c r="M57" i="6"/>
  <c r="L57" i="6"/>
  <c r="K57" i="6"/>
  <c r="J57" i="6"/>
  <c r="I57" i="6"/>
  <c r="M56" i="6"/>
  <c r="L56" i="6"/>
  <c r="K56" i="6"/>
  <c r="J56" i="6"/>
  <c r="I56" i="6"/>
  <c r="M55" i="6"/>
  <c r="L55" i="6"/>
  <c r="K55" i="6"/>
  <c r="J55" i="6"/>
  <c r="I55" i="6"/>
  <c r="M54" i="6"/>
  <c r="L54" i="6"/>
  <c r="K54" i="6"/>
  <c r="J54" i="6"/>
  <c r="I54" i="6"/>
  <c r="M53" i="6"/>
  <c r="L53" i="6"/>
  <c r="K53" i="6"/>
  <c r="J53" i="6"/>
  <c r="I53" i="6"/>
  <c r="M52" i="6"/>
  <c r="L52" i="6"/>
  <c r="K52" i="6"/>
  <c r="J52" i="6"/>
  <c r="I52" i="6"/>
  <c r="M51" i="6"/>
  <c r="L51" i="6"/>
  <c r="K51" i="6"/>
  <c r="J51" i="6"/>
  <c r="I51" i="6"/>
  <c r="M50" i="6"/>
  <c r="L50" i="6"/>
  <c r="K50" i="6"/>
  <c r="J50" i="6"/>
  <c r="I50" i="6"/>
  <c r="M49" i="6"/>
  <c r="L49" i="6"/>
  <c r="K49" i="6"/>
  <c r="J49" i="6"/>
  <c r="I49" i="6"/>
  <c r="M48" i="6"/>
  <c r="L48" i="6"/>
  <c r="K48" i="6"/>
  <c r="J48" i="6"/>
  <c r="I48" i="6"/>
  <c r="M47" i="6"/>
  <c r="L47" i="6"/>
  <c r="K47" i="6"/>
  <c r="J47" i="6"/>
  <c r="I47" i="6"/>
  <c r="M46" i="6"/>
  <c r="L46" i="6"/>
  <c r="K46" i="6"/>
  <c r="J46" i="6"/>
  <c r="I46" i="6"/>
  <c r="M45" i="6"/>
  <c r="L45" i="6"/>
  <c r="K45" i="6"/>
  <c r="J45" i="6"/>
  <c r="I45" i="6"/>
  <c r="M44" i="6"/>
  <c r="L44" i="6"/>
  <c r="K44" i="6"/>
  <c r="J44" i="6"/>
  <c r="I44" i="6"/>
  <c r="M43" i="6"/>
  <c r="L43" i="6"/>
  <c r="K43" i="6"/>
  <c r="J43" i="6"/>
  <c r="I43" i="6"/>
  <c r="M42" i="6"/>
  <c r="L42" i="6"/>
  <c r="K42" i="6"/>
  <c r="J42" i="6"/>
  <c r="I42" i="6"/>
  <c r="M41" i="6"/>
  <c r="L41" i="6"/>
  <c r="K41" i="6"/>
  <c r="J41" i="6"/>
  <c r="I41" i="6"/>
  <c r="M40" i="6"/>
  <c r="L40" i="6"/>
  <c r="K40" i="6"/>
  <c r="J40" i="6"/>
  <c r="I40" i="6"/>
  <c r="M39" i="6"/>
  <c r="L39" i="6"/>
  <c r="K39" i="6"/>
  <c r="J39" i="6"/>
  <c r="I39" i="6"/>
  <c r="M38" i="6"/>
  <c r="L38" i="6"/>
  <c r="K38" i="6"/>
  <c r="J38" i="6"/>
  <c r="I38" i="6"/>
  <c r="M37" i="6"/>
  <c r="L37" i="6"/>
  <c r="K37" i="6"/>
  <c r="J37" i="6"/>
  <c r="I37" i="6"/>
  <c r="M36" i="6"/>
  <c r="L36" i="6"/>
  <c r="K36" i="6"/>
  <c r="J36" i="6"/>
  <c r="I36" i="6"/>
  <c r="M35" i="6"/>
  <c r="L35" i="6"/>
  <c r="K35" i="6"/>
  <c r="J35" i="6"/>
  <c r="I35" i="6"/>
  <c r="M34" i="6"/>
  <c r="L34" i="6"/>
  <c r="K34" i="6"/>
  <c r="J34" i="6"/>
  <c r="I34" i="6"/>
  <c r="M33" i="6"/>
  <c r="L33" i="6"/>
  <c r="K33" i="6"/>
  <c r="J33" i="6"/>
  <c r="I33" i="6"/>
  <c r="M32" i="6"/>
  <c r="L32" i="6"/>
  <c r="K32" i="6"/>
  <c r="J32" i="6"/>
  <c r="I32" i="6"/>
  <c r="M31" i="6"/>
  <c r="L31" i="6"/>
  <c r="K31" i="6"/>
  <c r="J31" i="6"/>
  <c r="I31" i="6"/>
  <c r="M30" i="6"/>
  <c r="L30" i="6"/>
  <c r="K30" i="6"/>
  <c r="J30" i="6"/>
  <c r="I30" i="6"/>
  <c r="M29" i="6"/>
  <c r="L29" i="6"/>
  <c r="K29" i="6"/>
  <c r="J29" i="6"/>
  <c r="I29" i="6"/>
  <c r="M28" i="6"/>
  <c r="L28" i="6"/>
  <c r="K28" i="6"/>
  <c r="J28" i="6"/>
  <c r="I28" i="6"/>
  <c r="M27" i="6"/>
  <c r="L27" i="6"/>
  <c r="K27" i="6"/>
  <c r="J27" i="6"/>
  <c r="I27" i="6"/>
  <c r="M26" i="6"/>
  <c r="L26" i="6"/>
  <c r="K26" i="6"/>
  <c r="J26" i="6"/>
  <c r="I26" i="6"/>
  <c r="M25" i="6"/>
  <c r="L25" i="6"/>
  <c r="K25" i="6"/>
  <c r="J25" i="6"/>
  <c r="I25" i="6"/>
  <c r="M24" i="6"/>
  <c r="L24" i="6"/>
  <c r="K24" i="6"/>
  <c r="J24" i="6"/>
  <c r="I24" i="6"/>
  <c r="M23" i="6"/>
  <c r="L23" i="6"/>
  <c r="K23" i="6"/>
  <c r="J23" i="6"/>
  <c r="I23" i="6"/>
  <c r="M22" i="6"/>
  <c r="L22" i="6"/>
  <c r="K22" i="6"/>
  <c r="J22" i="6"/>
  <c r="I22" i="6"/>
  <c r="M21" i="6"/>
  <c r="L21" i="6"/>
  <c r="K21" i="6"/>
  <c r="J21" i="6"/>
  <c r="I21" i="6"/>
  <c r="M20" i="6"/>
  <c r="L20" i="6"/>
  <c r="K20" i="6"/>
  <c r="J20" i="6"/>
  <c r="I20" i="6"/>
  <c r="M19" i="6"/>
  <c r="L19" i="6"/>
  <c r="K19" i="6"/>
  <c r="J19" i="6"/>
  <c r="I19" i="6"/>
  <c r="M18" i="6"/>
  <c r="L18" i="6"/>
  <c r="K18" i="6"/>
  <c r="J18" i="6"/>
  <c r="I18" i="6"/>
  <c r="M17" i="6"/>
  <c r="L17" i="6"/>
  <c r="K17" i="6"/>
  <c r="J17" i="6"/>
  <c r="I17" i="6"/>
  <c r="M16" i="6"/>
  <c r="L16" i="6"/>
  <c r="K16" i="6"/>
  <c r="J16" i="6"/>
  <c r="I16" i="6"/>
  <c r="M15" i="6"/>
  <c r="L15" i="6"/>
  <c r="K15" i="6"/>
  <c r="J15" i="6"/>
  <c r="I15" i="6"/>
  <c r="M14" i="6"/>
  <c r="L14" i="6"/>
  <c r="K14" i="6"/>
  <c r="J14" i="6"/>
  <c r="I14" i="6"/>
  <c r="M13" i="6"/>
  <c r="L13" i="6"/>
  <c r="K13" i="6"/>
  <c r="J13" i="6"/>
  <c r="I13" i="6"/>
  <c r="M12" i="6"/>
  <c r="L12" i="6"/>
  <c r="K12" i="6"/>
  <c r="J12" i="6"/>
  <c r="I12" i="6"/>
  <c r="M11" i="6"/>
  <c r="L11" i="6"/>
  <c r="K11" i="6"/>
  <c r="J11" i="6"/>
  <c r="I11" i="6"/>
  <c r="M10" i="6"/>
  <c r="L10" i="6"/>
  <c r="K10" i="6"/>
  <c r="J10" i="6"/>
  <c r="I10" i="6"/>
  <c r="M9" i="6"/>
  <c r="L9" i="6"/>
  <c r="K9" i="6"/>
  <c r="J9" i="6"/>
  <c r="I9" i="6"/>
  <c r="M8" i="6"/>
  <c r="L8" i="6"/>
  <c r="K8" i="6"/>
  <c r="J8" i="6"/>
  <c r="I8" i="6"/>
  <c r="M7" i="6"/>
  <c r="L7" i="6"/>
  <c r="K7" i="6"/>
  <c r="J7" i="6"/>
  <c r="I7" i="6"/>
  <c r="M6" i="6"/>
  <c r="L6" i="6"/>
  <c r="K6" i="6"/>
  <c r="J6" i="6"/>
  <c r="I6" i="6"/>
  <c r="M5" i="6"/>
  <c r="L5" i="6"/>
  <c r="K5" i="6"/>
  <c r="J5" i="6"/>
  <c r="I5" i="6"/>
  <c r="M4" i="6"/>
  <c r="L4" i="6"/>
  <c r="K4" i="6"/>
  <c r="J4" i="6"/>
  <c r="I4" i="6"/>
  <c r="M3" i="6"/>
  <c r="L3" i="6"/>
  <c r="K3" i="6"/>
  <c r="J3" i="6"/>
  <c r="I3" i="6"/>
  <c r="M71" i="5"/>
  <c r="L71" i="5"/>
  <c r="K71" i="5"/>
  <c r="J71" i="5"/>
  <c r="I71" i="5"/>
  <c r="M70" i="5"/>
  <c r="L70" i="5"/>
  <c r="K70" i="5"/>
  <c r="J70" i="5"/>
  <c r="I70" i="5"/>
  <c r="M69" i="5"/>
  <c r="L69" i="5"/>
  <c r="K69" i="5"/>
  <c r="J69" i="5"/>
  <c r="I69" i="5"/>
  <c r="M68" i="5"/>
  <c r="L68" i="5"/>
  <c r="K68" i="5"/>
  <c r="J68" i="5"/>
  <c r="I68" i="5"/>
  <c r="M67" i="5"/>
  <c r="L67" i="5"/>
  <c r="K67" i="5"/>
  <c r="J67" i="5"/>
  <c r="I67" i="5"/>
  <c r="M66" i="5"/>
  <c r="L66" i="5"/>
  <c r="K66" i="5"/>
  <c r="J66" i="5"/>
  <c r="I66" i="5"/>
  <c r="M65" i="5"/>
  <c r="L65" i="5"/>
  <c r="K65" i="5"/>
  <c r="J65" i="5"/>
  <c r="I65" i="5"/>
  <c r="M64" i="5"/>
  <c r="L64" i="5"/>
  <c r="K64" i="5"/>
  <c r="J64" i="5"/>
  <c r="I64" i="5"/>
  <c r="M63" i="5"/>
  <c r="L63" i="5"/>
  <c r="K63" i="5"/>
  <c r="J63" i="5"/>
  <c r="I63" i="5"/>
  <c r="M62" i="5"/>
  <c r="L62" i="5"/>
  <c r="K62" i="5"/>
  <c r="J62" i="5"/>
  <c r="I62" i="5"/>
  <c r="M61" i="5"/>
  <c r="L61" i="5"/>
  <c r="K61" i="5"/>
  <c r="J61" i="5"/>
  <c r="I61" i="5"/>
  <c r="M60" i="5"/>
  <c r="L60" i="5"/>
  <c r="K60" i="5"/>
  <c r="J60" i="5"/>
  <c r="I60" i="5"/>
  <c r="M59" i="5"/>
  <c r="L59" i="5"/>
  <c r="K59" i="5"/>
  <c r="J59" i="5"/>
  <c r="I59" i="5"/>
  <c r="M58" i="5"/>
  <c r="L58" i="5"/>
  <c r="K58" i="5"/>
  <c r="J58" i="5"/>
  <c r="I58" i="5"/>
  <c r="M57" i="5"/>
  <c r="L57" i="5"/>
  <c r="K57" i="5"/>
  <c r="J57" i="5"/>
  <c r="I57" i="5"/>
  <c r="M56" i="5"/>
  <c r="L56" i="5"/>
  <c r="K56" i="5"/>
  <c r="J56" i="5"/>
  <c r="I56" i="5"/>
  <c r="M55" i="5"/>
  <c r="L55" i="5"/>
  <c r="K55" i="5"/>
  <c r="J55" i="5"/>
  <c r="I55" i="5"/>
  <c r="M54" i="5"/>
  <c r="L54" i="5"/>
  <c r="K54" i="5"/>
  <c r="J54" i="5"/>
  <c r="I54" i="5"/>
  <c r="M53" i="5"/>
  <c r="L53" i="5"/>
  <c r="K53" i="5"/>
  <c r="J53" i="5"/>
  <c r="I53" i="5"/>
  <c r="M52" i="5"/>
  <c r="L52" i="5"/>
  <c r="K52" i="5"/>
  <c r="J52" i="5"/>
  <c r="I52" i="5"/>
  <c r="M51" i="5"/>
  <c r="L51" i="5"/>
  <c r="K51" i="5"/>
  <c r="J51" i="5"/>
  <c r="I51" i="5"/>
  <c r="M50" i="5"/>
  <c r="L50" i="5"/>
  <c r="K50" i="5"/>
  <c r="J50" i="5"/>
  <c r="I50" i="5"/>
  <c r="M49" i="5"/>
  <c r="L49" i="5"/>
  <c r="K49" i="5"/>
  <c r="J49" i="5"/>
  <c r="I49" i="5"/>
  <c r="M48" i="5"/>
  <c r="L48" i="5"/>
  <c r="K48" i="5"/>
  <c r="J48" i="5"/>
  <c r="I48" i="5"/>
  <c r="M47" i="5"/>
  <c r="L47" i="5"/>
  <c r="K47" i="5"/>
  <c r="J47" i="5"/>
  <c r="I47" i="5"/>
  <c r="M46" i="5"/>
  <c r="L46" i="5"/>
  <c r="K46" i="5"/>
  <c r="J46" i="5"/>
  <c r="I46" i="5"/>
  <c r="M45" i="5"/>
  <c r="L45" i="5"/>
  <c r="K45" i="5"/>
  <c r="J45" i="5"/>
  <c r="I45" i="5"/>
  <c r="M44" i="5"/>
  <c r="L44" i="5"/>
  <c r="K44" i="5"/>
  <c r="J44" i="5"/>
  <c r="I44" i="5"/>
  <c r="M43" i="5"/>
  <c r="L43" i="5"/>
  <c r="K43" i="5"/>
  <c r="J43" i="5"/>
  <c r="I43" i="5"/>
  <c r="M42" i="5"/>
  <c r="L42" i="5"/>
  <c r="K42" i="5"/>
  <c r="J42" i="5"/>
  <c r="I42" i="5"/>
  <c r="M41" i="5"/>
  <c r="L41" i="5"/>
  <c r="K41" i="5"/>
  <c r="J41" i="5"/>
  <c r="I41" i="5"/>
  <c r="M40" i="5"/>
  <c r="L40" i="5"/>
  <c r="K40" i="5"/>
  <c r="J40" i="5"/>
  <c r="I40" i="5"/>
  <c r="M39" i="5"/>
  <c r="L39" i="5"/>
  <c r="K39" i="5"/>
  <c r="J39" i="5"/>
  <c r="I39" i="5"/>
  <c r="M38" i="5"/>
  <c r="L38" i="5"/>
  <c r="K38" i="5"/>
  <c r="J38" i="5"/>
  <c r="I38" i="5"/>
  <c r="M37" i="5"/>
  <c r="L37" i="5"/>
  <c r="K37" i="5"/>
  <c r="J37" i="5"/>
  <c r="I37" i="5"/>
  <c r="M36" i="5"/>
  <c r="L36" i="5"/>
  <c r="K36" i="5"/>
  <c r="J36" i="5"/>
  <c r="I36" i="5"/>
  <c r="M35" i="5"/>
  <c r="L35" i="5"/>
  <c r="K35" i="5"/>
  <c r="J35" i="5"/>
  <c r="I35" i="5"/>
  <c r="M34" i="5"/>
  <c r="L34" i="5"/>
  <c r="K34" i="5"/>
  <c r="J34" i="5"/>
  <c r="I34" i="5"/>
  <c r="M33" i="5"/>
  <c r="L33" i="5"/>
  <c r="K33" i="5"/>
  <c r="J33" i="5"/>
  <c r="I33" i="5"/>
  <c r="M32" i="5"/>
  <c r="L32" i="5"/>
  <c r="K32" i="5"/>
  <c r="J32" i="5"/>
  <c r="I32" i="5"/>
  <c r="M31" i="5"/>
  <c r="L31" i="5"/>
  <c r="K31" i="5"/>
  <c r="J31" i="5"/>
  <c r="I31" i="5"/>
  <c r="M30" i="5"/>
  <c r="L30" i="5"/>
  <c r="K30" i="5"/>
  <c r="J30" i="5"/>
  <c r="I30" i="5"/>
  <c r="M29" i="5"/>
  <c r="L29" i="5"/>
  <c r="K29" i="5"/>
  <c r="J29" i="5"/>
  <c r="I29" i="5"/>
  <c r="M28" i="5"/>
  <c r="L28" i="5"/>
  <c r="K28" i="5"/>
  <c r="J28" i="5"/>
  <c r="I28" i="5"/>
  <c r="M27" i="5"/>
  <c r="L27" i="5"/>
  <c r="K27" i="5"/>
  <c r="J27" i="5"/>
  <c r="I27" i="5"/>
  <c r="M26" i="5"/>
  <c r="L26" i="5"/>
  <c r="K26" i="5"/>
  <c r="J26" i="5"/>
  <c r="I26" i="5"/>
  <c r="M25" i="5"/>
  <c r="L25" i="5"/>
  <c r="K25" i="5"/>
  <c r="J25" i="5"/>
  <c r="I25" i="5"/>
  <c r="M24" i="5"/>
  <c r="L24" i="5"/>
  <c r="K24" i="5"/>
  <c r="J24" i="5"/>
  <c r="I24" i="5"/>
  <c r="M23" i="5"/>
  <c r="L23" i="5"/>
  <c r="K23" i="5"/>
  <c r="J23" i="5"/>
  <c r="I23" i="5"/>
  <c r="M22" i="5"/>
  <c r="L22" i="5"/>
  <c r="K22" i="5"/>
  <c r="J22" i="5"/>
  <c r="I22" i="5"/>
  <c r="M21" i="5"/>
  <c r="L21" i="5"/>
  <c r="K21" i="5"/>
  <c r="J21" i="5"/>
  <c r="I21" i="5"/>
  <c r="M20" i="5"/>
  <c r="L20" i="5"/>
  <c r="K20" i="5"/>
  <c r="J20" i="5"/>
  <c r="I20" i="5"/>
  <c r="M19" i="5"/>
  <c r="L19" i="5"/>
  <c r="K19" i="5"/>
  <c r="J19" i="5"/>
  <c r="I19" i="5"/>
  <c r="M18" i="5"/>
  <c r="L18" i="5"/>
  <c r="K18" i="5"/>
  <c r="J18" i="5"/>
  <c r="I18" i="5"/>
  <c r="M17" i="5"/>
  <c r="L17" i="5"/>
  <c r="K17" i="5"/>
  <c r="J17" i="5"/>
  <c r="I17" i="5"/>
  <c r="M16" i="5"/>
  <c r="L16" i="5"/>
  <c r="K16" i="5"/>
  <c r="J16" i="5"/>
  <c r="I16" i="5"/>
  <c r="M15" i="5"/>
  <c r="L15" i="5"/>
  <c r="K15" i="5"/>
  <c r="J15" i="5"/>
  <c r="I15" i="5"/>
  <c r="M14" i="5"/>
  <c r="L14" i="5"/>
  <c r="K14" i="5"/>
  <c r="J14" i="5"/>
  <c r="I14" i="5"/>
  <c r="M13" i="5"/>
  <c r="L13" i="5"/>
  <c r="K13" i="5"/>
  <c r="J13" i="5"/>
  <c r="I13" i="5"/>
  <c r="M12" i="5"/>
  <c r="L12" i="5"/>
  <c r="K12" i="5"/>
  <c r="J12" i="5"/>
  <c r="I12" i="5"/>
  <c r="M11" i="5"/>
  <c r="L11" i="5"/>
  <c r="K11" i="5"/>
  <c r="J11" i="5"/>
  <c r="I11" i="5"/>
  <c r="M10" i="5"/>
  <c r="L10" i="5"/>
  <c r="K10" i="5"/>
  <c r="J10" i="5"/>
  <c r="I10" i="5"/>
  <c r="M9" i="5"/>
  <c r="L9" i="5"/>
  <c r="K9" i="5"/>
  <c r="J9" i="5"/>
  <c r="I9" i="5"/>
  <c r="M8" i="5"/>
  <c r="L8" i="5"/>
  <c r="K8" i="5"/>
  <c r="J8" i="5"/>
  <c r="I8" i="5"/>
  <c r="M7" i="5"/>
  <c r="L7" i="5"/>
  <c r="K7" i="5"/>
  <c r="J7" i="5"/>
  <c r="I7" i="5"/>
  <c r="M6" i="5"/>
  <c r="L6" i="5"/>
  <c r="K6" i="5"/>
  <c r="J6" i="5"/>
  <c r="I6" i="5"/>
  <c r="M5" i="5"/>
  <c r="L5" i="5"/>
  <c r="K5" i="5"/>
  <c r="J5" i="5"/>
  <c r="I5" i="5"/>
  <c r="M4" i="5"/>
  <c r="L4" i="5"/>
  <c r="K4" i="5"/>
  <c r="J4" i="5"/>
  <c r="I4" i="5"/>
  <c r="M3" i="5"/>
  <c r="L3" i="5"/>
  <c r="K3" i="5"/>
  <c r="J3" i="5"/>
  <c r="I3" i="5"/>
  <c r="M71" i="4"/>
  <c r="L71" i="4"/>
  <c r="K71" i="4"/>
  <c r="J71" i="4"/>
  <c r="I71" i="4"/>
  <c r="M70" i="4"/>
  <c r="L70" i="4"/>
  <c r="K70" i="4"/>
  <c r="J70" i="4"/>
  <c r="I70" i="4"/>
  <c r="M69" i="4"/>
  <c r="L69" i="4"/>
  <c r="K69" i="4"/>
  <c r="J69" i="4"/>
  <c r="I69" i="4"/>
  <c r="M68" i="4"/>
  <c r="L68" i="4"/>
  <c r="K68" i="4"/>
  <c r="J68" i="4"/>
  <c r="I68" i="4"/>
  <c r="M67" i="4"/>
  <c r="L67" i="4"/>
  <c r="K67" i="4"/>
  <c r="J67" i="4"/>
  <c r="I67" i="4"/>
  <c r="M66" i="4"/>
  <c r="L66" i="4"/>
  <c r="K66" i="4"/>
  <c r="J66" i="4"/>
  <c r="I66" i="4"/>
  <c r="M65" i="4"/>
  <c r="L65" i="4"/>
  <c r="K65" i="4"/>
  <c r="J65" i="4"/>
  <c r="I65" i="4"/>
  <c r="M64" i="4"/>
  <c r="L64" i="4"/>
  <c r="K64" i="4"/>
  <c r="J64" i="4"/>
  <c r="I64" i="4"/>
  <c r="M63" i="4"/>
  <c r="L63" i="4"/>
  <c r="K63" i="4"/>
  <c r="J63" i="4"/>
  <c r="I63" i="4"/>
  <c r="M62" i="4"/>
  <c r="L62" i="4"/>
  <c r="K62" i="4"/>
  <c r="J62" i="4"/>
  <c r="I62" i="4"/>
  <c r="M61" i="4"/>
  <c r="L61" i="4"/>
  <c r="K61" i="4"/>
  <c r="J61" i="4"/>
  <c r="I61" i="4"/>
  <c r="M60" i="4"/>
  <c r="L60" i="4"/>
  <c r="K60" i="4"/>
  <c r="J60" i="4"/>
  <c r="I60" i="4"/>
  <c r="M59" i="4"/>
  <c r="L59" i="4"/>
  <c r="K59" i="4"/>
  <c r="J59" i="4"/>
  <c r="I59" i="4"/>
  <c r="M58" i="4"/>
  <c r="L58" i="4"/>
  <c r="K58" i="4"/>
  <c r="J58" i="4"/>
  <c r="I58" i="4"/>
  <c r="M57" i="4"/>
  <c r="L57" i="4"/>
  <c r="K57" i="4"/>
  <c r="J57" i="4"/>
  <c r="I57" i="4"/>
  <c r="M56" i="4"/>
  <c r="L56" i="4"/>
  <c r="K56" i="4"/>
  <c r="J56" i="4"/>
  <c r="I56" i="4"/>
  <c r="M55" i="4"/>
  <c r="L55" i="4"/>
  <c r="K55" i="4"/>
  <c r="J55" i="4"/>
  <c r="I55" i="4"/>
  <c r="M54" i="4"/>
  <c r="L54" i="4"/>
  <c r="K54" i="4"/>
  <c r="J54" i="4"/>
  <c r="I54" i="4"/>
  <c r="M53" i="4"/>
  <c r="L53" i="4"/>
  <c r="K53" i="4"/>
  <c r="J53" i="4"/>
  <c r="I53" i="4"/>
  <c r="M52" i="4"/>
  <c r="L52" i="4"/>
  <c r="K52" i="4"/>
  <c r="J52" i="4"/>
  <c r="I52" i="4"/>
  <c r="M51" i="4"/>
  <c r="L51" i="4"/>
  <c r="K51" i="4"/>
  <c r="J51" i="4"/>
  <c r="I51" i="4"/>
  <c r="M50" i="4"/>
  <c r="L50" i="4"/>
  <c r="K50" i="4"/>
  <c r="J50" i="4"/>
  <c r="I50" i="4"/>
  <c r="M49" i="4"/>
  <c r="L49" i="4"/>
  <c r="K49" i="4"/>
  <c r="J49" i="4"/>
  <c r="I49" i="4"/>
  <c r="M48" i="4"/>
  <c r="L48" i="4"/>
  <c r="K48" i="4"/>
  <c r="J48" i="4"/>
  <c r="I48" i="4"/>
  <c r="M47" i="4"/>
  <c r="L47" i="4"/>
  <c r="K47" i="4"/>
  <c r="J47" i="4"/>
  <c r="I47" i="4"/>
  <c r="M46" i="4"/>
  <c r="L46" i="4"/>
  <c r="K46" i="4"/>
  <c r="J46" i="4"/>
  <c r="I46" i="4"/>
  <c r="M45" i="4"/>
  <c r="L45" i="4"/>
  <c r="K45" i="4"/>
  <c r="J45" i="4"/>
  <c r="I45" i="4"/>
  <c r="M44" i="4"/>
  <c r="L44" i="4"/>
  <c r="K44" i="4"/>
  <c r="J44" i="4"/>
  <c r="I44" i="4"/>
  <c r="M43" i="4"/>
  <c r="L43" i="4"/>
  <c r="K43" i="4"/>
  <c r="J43" i="4"/>
  <c r="I43" i="4"/>
  <c r="M42" i="4"/>
  <c r="L42" i="4"/>
  <c r="K42" i="4"/>
  <c r="J42" i="4"/>
  <c r="I42" i="4"/>
  <c r="M41" i="4"/>
  <c r="L41" i="4"/>
  <c r="K41" i="4"/>
  <c r="J41" i="4"/>
  <c r="I41" i="4"/>
  <c r="M40" i="4"/>
  <c r="L40" i="4"/>
  <c r="K40" i="4"/>
  <c r="J40" i="4"/>
  <c r="I40" i="4"/>
  <c r="M39" i="4"/>
  <c r="L39" i="4"/>
  <c r="K39" i="4"/>
  <c r="J39" i="4"/>
  <c r="I39" i="4"/>
  <c r="M38" i="4"/>
  <c r="L38" i="4"/>
  <c r="K38" i="4"/>
  <c r="J38" i="4"/>
  <c r="I38" i="4"/>
  <c r="M37" i="4"/>
  <c r="L37" i="4"/>
  <c r="K37" i="4"/>
  <c r="J37" i="4"/>
  <c r="I37" i="4"/>
  <c r="M36" i="4"/>
  <c r="L36" i="4"/>
  <c r="K36" i="4"/>
  <c r="J36" i="4"/>
  <c r="I36" i="4"/>
  <c r="M35" i="4"/>
  <c r="L35" i="4"/>
  <c r="K35" i="4"/>
  <c r="J35" i="4"/>
  <c r="I35" i="4"/>
  <c r="M34" i="4"/>
  <c r="L34" i="4"/>
  <c r="K34" i="4"/>
  <c r="J34" i="4"/>
  <c r="I34" i="4"/>
  <c r="M33" i="4"/>
  <c r="L33" i="4"/>
  <c r="K33" i="4"/>
  <c r="J33" i="4"/>
  <c r="I33" i="4"/>
  <c r="M32" i="4"/>
  <c r="L32" i="4"/>
  <c r="K32" i="4"/>
  <c r="J32" i="4"/>
  <c r="I32" i="4"/>
  <c r="M31" i="4"/>
  <c r="L31" i="4"/>
  <c r="K31" i="4"/>
  <c r="J31" i="4"/>
  <c r="I31" i="4"/>
  <c r="M30" i="4"/>
  <c r="L30" i="4"/>
  <c r="K30" i="4"/>
  <c r="J30" i="4"/>
  <c r="I30" i="4"/>
  <c r="M29" i="4"/>
  <c r="L29" i="4"/>
  <c r="K29" i="4"/>
  <c r="J29" i="4"/>
  <c r="I29" i="4"/>
  <c r="M28" i="4"/>
  <c r="L28" i="4"/>
  <c r="K28" i="4"/>
  <c r="J28" i="4"/>
  <c r="I28" i="4"/>
  <c r="M27" i="4"/>
  <c r="L27" i="4"/>
  <c r="K27" i="4"/>
  <c r="J27" i="4"/>
  <c r="I27" i="4"/>
  <c r="M26" i="4"/>
  <c r="L26" i="4"/>
  <c r="K26" i="4"/>
  <c r="J26" i="4"/>
  <c r="I26" i="4"/>
  <c r="M25" i="4"/>
  <c r="L25" i="4"/>
  <c r="K25" i="4"/>
  <c r="J25" i="4"/>
  <c r="I25" i="4"/>
  <c r="M24" i="4"/>
  <c r="L24" i="4"/>
  <c r="K24" i="4"/>
  <c r="J24" i="4"/>
  <c r="I24" i="4"/>
  <c r="M23" i="4"/>
  <c r="L23" i="4"/>
  <c r="K23" i="4"/>
  <c r="J23" i="4"/>
  <c r="I23" i="4"/>
  <c r="M22" i="4"/>
  <c r="L22" i="4"/>
  <c r="K22" i="4"/>
  <c r="J22" i="4"/>
  <c r="I22" i="4"/>
  <c r="M21" i="4"/>
  <c r="L21" i="4"/>
  <c r="K21" i="4"/>
  <c r="J21" i="4"/>
  <c r="I21" i="4"/>
  <c r="M20" i="4"/>
  <c r="L20" i="4"/>
  <c r="K20" i="4"/>
  <c r="J20" i="4"/>
  <c r="I20" i="4"/>
  <c r="M19" i="4"/>
  <c r="L19" i="4"/>
  <c r="K19" i="4"/>
  <c r="J19" i="4"/>
  <c r="I19" i="4"/>
  <c r="M18" i="4"/>
  <c r="L18" i="4"/>
  <c r="K18" i="4"/>
  <c r="J18" i="4"/>
  <c r="I18" i="4"/>
  <c r="M17" i="4"/>
  <c r="L17" i="4"/>
  <c r="K17" i="4"/>
  <c r="J17" i="4"/>
  <c r="I17" i="4"/>
  <c r="M16" i="4"/>
  <c r="L16" i="4"/>
  <c r="K16" i="4"/>
  <c r="J16" i="4"/>
  <c r="I16" i="4"/>
  <c r="M15" i="4"/>
  <c r="L15" i="4"/>
  <c r="K15" i="4"/>
  <c r="J15" i="4"/>
  <c r="I15" i="4"/>
  <c r="M14" i="4"/>
  <c r="L14" i="4"/>
  <c r="K14" i="4"/>
  <c r="J14" i="4"/>
  <c r="I14" i="4"/>
  <c r="M13" i="4"/>
  <c r="L13" i="4"/>
  <c r="K13" i="4"/>
  <c r="J13" i="4"/>
  <c r="I13" i="4"/>
  <c r="M12" i="4"/>
  <c r="L12" i="4"/>
  <c r="K12" i="4"/>
  <c r="J12" i="4"/>
  <c r="I12" i="4"/>
  <c r="M11" i="4"/>
  <c r="L11" i="4"/>
  <c r="K11" i="4"/>
  <c r="J11" i="4"/>
  <c r="I11" i="4"/>
  <c r="M10" i="4"/>
  <c r="L10" i="4"/>
  <c r="K10" i="4"/>
  <c r="J10" i="4"/>
  <c r="I10" i="4"/>
  <c r="M9" i="4"/>
  <c r="L9" i="4"/>
  <c r="K9" i="4"/>
  <c r="J9" i="4"/>
  <c r="I9" i="4"/>
  <c r="M8" i="4"/>
  <c r="L8" i="4"/>
  <c r="K8" i="4"/>
  <c r="J8" i="4"/>
  <c r="I8" i="4"/>
  <c r="M7" i="4"/>
  <c r="L7" i="4"/>
  <c r="K7" i="4"/>
  <c r="J7" i="4"/>
  <c r="I7" i="4"/>
  <c r="M6" i="4"/>
  <c r="L6" i="4"/>
  <c r="K6" i="4"/>
  <c r="J6" i="4"/>
  <c r="I6" i="4"/>
  <c r="M5" i="4"/>
  <c r="L5" i="4"/>
  <c r="K5" i="4"/>
  <c r="J5" i="4"/>
  <c r="I5" i="4"/>
  <c r="M4" i="4"/>
  <c r="L4" i="4"/>
  <c r="K4" i="4"/>
  <c r="J4" i="4"/>
  <c r="I4" i="4"/>
  <c r="M3" i="4"/>
  <c r="L3" i="4"/>
  <c r="K3" i="4"/>
  <c r="J3" i="4"/>
  <c r="I3" i="4"/>
  <c r="M71" i="3"/>
  <c r="L71" i="3"/>
  <c r="K71" i="3"/>
  <c r="J71" i="3"/>
  <c r="I71" i="3"/>
  <c r="M70" i="3"/>
  <c r="L70" i="3"/>
  <c r="K70" i="3"/>
  <c r="J70" i="3"/>
  <c r="I70" i="3"/>
  <c r="M69" i="3"/>
  <c r="L69" i="3"/>
  <c r="K69" i="3"/>
  <c r="J69" i="3"/>
  <c r="I69" i="3"/>
  <c r="M68" i="3"/>
  <c r="L68" i="3"/>
  <c r="K68" i="3"/>
  <c r="J68" i="3"/>
  <c r="I68" i="3"/>
  <c r="M67" i="3"/>
  <c r="L67" i="3"/>
  <c r="K67" i="3"/>
  <c r="J67" i="3"/>
  <c r="I67" i="3"/>
  <c r="M66" i="3"/>
  <c r="L66" i="3"/>
  <c r="K66" i="3"/>
  <c r="J66" i="3"/>
  <c r="I66" i="3"/>
  <c r="M65" i="3"/>
  <c r="L65" i="3"/>
  <c r="K65" i="3"/>
  <c r="J65" i="3"/>
  <c r="I65" i="3"/>
  <c r="M64" i="3"/>
  <c r="L64" i="3"/>
  <c r="K64" i="3"/>
  <c r="J64" i="3"/>
  <c r="I64" i="3"/>
  <c r="M63" i="3"/>
  <c r="L63" i="3"/>
  <c r="K63" i="3"/>
  <c r="J63" i="3"/>
  <c r="I63" i="3"/>
  <c r="M62" i="3"/>
  <c r="L62" i="3"/>
  <c r="K62" i="3"/>
  <c r="J62" i="3"/>
  <c r="I62" i="3"/>
  <c r="M61" i="3"/>
  <c r="L61" i="3"/>
  <c r="K61" i="3"/>
  <c r="J61" i="3"/>
  <c r="I61" i="3"/>
  <c r="M60" i="3"/>
  <c r="L60" i="3"/>
  <c r="K60" i="3"/>
  <c r="J60" i="3"/>
  <c r="I60" i="3"/>
  <c r="M59" i="3"/>
  <c r="L59" i="3"/>
  <c r="K59" i="3"/>
  <c r="J59" i="3"/>
  <c r="I59" i="3"/>
  <c r="M58" i="3"/>
  <c r="L58" i="3"/>
  <c r="K58" i="3"/>
  <c r="J58" i="3"/>
  <c r="I58" i="3"/>
  <c r="M57" i="3"/>
  <c r="L57" i="3"/>
  <c r="K57" i="3"/>
  <c r="J57" i="3"/>
  <c r="I57" i="3"/>
  <c r="M56" i="3"/>
  <c r="L56" i="3"/>
  <c r="K56" i="3"/>
  <c r="J56" i="3"/>
  <c r="I56" i="3"/>
  <c r="M55" i="3"/>
  <c r="L55" i="3"/>
  <c r="K55" i="3"/>
  <c r="J55" i="3"/>
  <c r="I55" i="3"/>
  <c r="M54" i="3"/>
  <c r="L54" i="3"/>
  <c r="K54" i="3"/>
  <c r="J54" i="3"/>
  <c r="I54" i="3"/>
  <c r="M53" i="3"/>
  <c r="L53" i="3"/>
  <c r="K53" i="3"/>
  <c r="J53" i="3"/>
  <c r="I53" i="3"/>
  <c r="M52" i="3"/>
  <c r="L52" i="3"/>
  <c r="K52" i="3"/>
  <c r="J52" i="3"/>
  <c r="I52" i="3"/>
  <c r="M51" i="3"/>
  <c r="L51" i="3"/>
  <c r="K51" i="3"/>
  <c r="J51" i="3"/>
  <c r="I51" i="3"/>
  <c r="M50" i="3"/>
  <c r="L50" i="3"/>
  <c r="K50" i="3"/>
  <c r="J50" i="3"/>
  <c r="I50" i="3"/>
  <c r="M49" i="3"/>
  <c r="L49" i="3"/>
  <c r="K49" i="3"/>
  <c r="J49" i="3"/>
  <c r="I49" i="3"/>
  <c r="M48" i="3"/>
  <c r="L48" i="3"/>
  <c r="K48" i="3"/>
  <c r="J48" i="3"/>
  <c r="I48" i="3"/>
  <c r="M47" i="3"/>
  <c r="L47" i="3"/>
  <c r="K47" i="3"/>
  <c r="J47" i="3"/>
  <c r="I47" i="3"/>
  <c r="M46" i="3"/>
  <c r="L46" i="3"/>
  <c r="K46" i="3"/>
  <c r="J46" i="3"/>
  <c r="I46" i="3"/>
  <c r="M45" i="3"/>
  <c r="L45" i="3"/>
  <c r="K45" i="3"/>
  <c r="J45" i="3"/>
  <c r="I45" i="3"/>
  <c r="M44" i="3"/>
  <c r="L44" i="3"/>
  <c r="K44" i="3"/>
  <c r="J44" i="3"/>
  <c r="I44" i="3"/>
  <c r="M43" i="3"/>
  <c r="L43" i="3"/>
  <c r="K43" i="3"/>
  <c r="J43" i="3"/>
  <c r="I43" i="3"/>
  <c r="M42" i="3"/>
  <c r="L42" i="3"/>
  <c r="K42" i="3"/>
  <c r="J42" i="3"/>
  <c r="I42" i="3"/>
  <c r="M41" i="3"/>
  <c r="L41" i="3"/>
  <c r="K41" i="3"/>
  <c r="J41" i="3"/>
  <c r="I41" i="3"/>
  <c r="M40" i="3"/>
  <c r="L40" i="3"/>
  <c r="K40" i="3"/>
  <c r="J40" i="3"/>
  <c r="I40" i="3"/>
  <c r="M39" i="3"/>
  <c r="L39" i="3"/>
  <c r="K39" i="3"/>
  <c r="J39" i="3"/>
  <c r="I39" i="3"/>
  <c r="M38" i="3"/>
  <c r="L38" i="3"/>
  <c r="K38" i="3"/>
  <c r="J38" i="3"/>
  <c r="I38" i="3"/>
  <c r="M37" i="3"/>
  <c r="L37" i="3"/>
  <c r="K37" i="3"/>
  <c r="J37" i="3"/>
  <c r="I37" i="3"/>
  <c r="M36" i="3"/>
  <c r="L36" i="3"/>
  <c r="K36" i="3"/>
  <c r="J36" i="3"/>
  <c r="I36" i="3"/>
  <c r="M35" i="3"/>
  <c r="L35" i="3"/>
  <c r="K35" i="3"/>
  <c r="J35" i="3"/>
  <c r="I35" i="3"/>
  <c r="M34" i="3"/>
  <c r="L34" i="3"/>
  <c r="K34" i="3"/>
  <c r="J34" i="3"/>
  <c r="I34" i="3"/>
  <c r="M33" i="3"/>
  <c r="L33" i="3"/>
  <c r="K33" i="3"/>
  <c r="J33" i="3"/>
  <c r="I33" i="3"/>
  <c r="M32" i="3"/>
  <c r="L32" i="3"/>
  <c r="K32" i="3"/>
  <c r="J32" i="3"/>
  <c r="I32" i="3"/>
  <c r="M31" i="3"/>
  <c r="L31" i="3"/>
  <c r="K31" i="3"/>
  <c r="J31" i="3"/>
  <c r="I31" i="3"/>
  <c r="M30" i="3"/>
  <c r="L30" i="3"/>
  <c r="K30" i="3"/>
  <c r="J30" i="3"/>
  <c r="I30" i="3"/>
  <c r="M29" i="3"/>
  <c r="L29" i="3"/>
  <c r="K29" i="3"/>
  <c r="J29" i="3"/>
  <c r="I29" i="3"/>
  <c r="M28" i="3"/>
  <c r="L28" i="3"/>
  <c r="K28" i="3"/>
  <c r="J28" i="3"/>
  <c r="I28" i="3"/>
  <c r="M27" i="3"/>
  <c r="L27" i="3"/>
  <c r="K27" i="3"/>
  <c r="J27" i="3"/>
  <c r="I27" i="3"/>
  <c r="M26" i="3"/>
  <c r="L26" i="3"/>
  <c r="K26" i="3"/>
  <c r="J26" i="3"/>
  <c r="I26" i="3"/>
  <c r="M25" i="3"/>
  <c r="L25" i="3"/>
  <c r="K25" i="3"/>
  <c r="J25" i="3"/>
  <c r="I25" i="3"/>
  <c r="M24" i="3"/>
  <c r="L24" i="3"/>
  <c r="K24" i="3"/>
  <c r="J24" i="3"/>
  <c r="I24" i="3"/>
  <c r="M23" i="3"/>
  <c r="L23" i="3"/>
  <c r="K23" i="3"/>
  <c r="J23" i="3"/>
  <c r="I23" i="3"/>
  <c r="M22" i="3"/>
  <c r="L22" i="3"/>
  <c r="K22" i="3"/>
  <c r="J22" i="3"/>
  <c r="I22" i="3"/>
  <c r="M21" i="3"/>
  <c r="L21" i="3"/>
  <c r="K21" i="3"/>
  <c r="J21" i="3"/>
  <c r="I21" i="3"/>
  <c r="M20" i="3"/>
  <c r="L20" i="3"/>
  <c r="K20" i="3"/>
  <c r="J20" i="3"/>
  <c r="I20" i="3"/>
  <c r="M19" i="3"/>
  <c r="L19" i="3"/>
  <c r="K19" i="3"/>
  <c r="J19" i="3"/>
  <c r="I19" i="3"/>
  <c r="M18" i="3"/>
  <c r="L18" i="3"/>
  <c r="K18" i="3"/>
  <c r="J18" i="3"/>
  <c r="I18" i="3"/>
  <c r="M17" i="3"/>
  <c r="L17" i="3"/>
  <c r="K17" i="3"/>
  <c r="J17" i="3"/>
  <c r="I17" i="3"/>
  <c r="M16" i="3"/>
  <c r="L16" i="3"/>
  <c r="K16" i="3"/>
  <c r="J16" i="3"/>
  <c r="I16" i="3"/>
  <c r="M15" i="3"/>
  <c r="L15" i="3"/>
  <c r="K15" i="3"/>
  <c r="J15" i="3"/>
  <c r="I15" i="3"/>
  <c r="M14" i="3"/>
  <c r="L14" i="3"/>
  <c r="K14" i="3"/>
  <c r="J14" i="3"/>
  <c r="I14" i="3"/>
  <c r="M13" i="3"/>
  <c r="L13" i="3"/>
  <c r="K13" i="3"/>
  <c r="J13" i="3"/>
  <c r="I13" i="3"/>
  <c r="M12" i="3"/>
  <c r="L12" i="3"/>
  <c r="K12" i="3"/>
  <c r="J12" i="3"/>
  <c r="I12" i="3"/>
  <c r="M11" i="3"/>
  <c r="L11" i="3"/>
  <c r="K11" i="3"/>
  <c r="J11" i="3"/>
  <c r="I11" i="3"/>
  <c r="M10" i="3"/>
  <c r="L10" i="3"/>
  <c r="K10" i="3"/>
  <c r="J10" i="3"/>
  <c r="I10" i="3"/>
  <c r="M9" i="3"/>
  <c r="L9" i="3"/>
  <c r="K9" i="3"/>
  <c r="J9" i="3"/>
  <c r="I9" i="3"/>
  <c r="M8" i="3"/>
  <c r="L8" i="3"/>
  <c r="K8" i="3"/>
  <c r="J8" i="3"/>
  <c r="I8" i="3"/>
  <c r="M7" i="3"/>
  <c r="L7" i="3"/>
  <c r="K7" i="3"/>
  <c r="J7" i="3"/>
  <c r="I7" i="3"/>
  <c r="M6" i="3"/>
  <c r="L6" i="3"/>
  <c r="K6" i="3"/>
  <c r="J6" i="3"/>
  <c r="I6" i="3"/>
  <c r="M5" i="3"/>
  <c r="L5" i="3"/>
  <c r="K5" i="3"/>
  <c r="J5" i="3"/>
  <c r="I5" i="3"/>
  <c r="M4" i="3"/>
  <c r="L4" i="3"/>
  <c r="K4" i="3"/>
  <c r="J4" i="3"/>
  <c r="I4" i="3"/>
  <c r="M3" i="3"/>
  <c r="L3" i="3"/>
  <c r="K3" i="3"/>
  <c r="J3" i="3"/>
  <c r="I3" i="3"/>
  <c r="M71" i="2"/>
  <c r="L71" i="2"/>
  <c r="K71" i="2"/>
  <c r="J71" i="2"/>
  <c r="I71" i="2"/>
  <c r="M70" i="2"/>
  <c r="L70" i="2"/>
  <c r="K70" i="2"/>
  <c r="J70" i="2"/>
  <c r="I70" i="2"/>
  <c r="M69" i="2"/>
  <c r="L69" i="2"/>
  <c r="K69" i="2"/>
  <c r="J69" i="2"/>
  <c r="I69" i="2"/>
  <c r="M68" i="2"/>
  <c r="L68" i="2"/>
  <c r="K68" i="2"/>
  <c r="J68" i="2"/>
  <c r="I68" i="2"/>
  <c r="M67" i="2"/>
  <c r="L67" i="2"/>
  <c r="K67" i="2"/>
  <c r="J67" i="2"/>
  <c r="I67" i="2"/>
  <c r="M66" i="2"/>
  <c r="L66" i="2"/>
  <c r="K66" i="2"/>
  <c r="J66" i="2"/>
  <c r="I66" i="2"/>
  <c r="M65" i="2"/>
  <c r="L65" i="2"/>
  <c r="K65" i="2"/>
  <c r="J65" i="2"/>
  <c r="I65" i="2"/>
  <c r="M64" i="2"/>
  <c r="L64" i="2"/>
  <c r="K64" i="2"/>
  <c r="J64" i="2"/>
  <c r="I64" i="2"/>
  <c r="M63" i="2"/>
  <c r="L63" i="2"/>
  <c r="K63" i="2"/>
  <c r="J63" i="2"/>
  <c r="I63" i="2"/>
  <c r="M62" i="2"/>
  <c r="L62" i="2"/>
  <c r="K62" i="2"/>
  <c r="J62" i="2"/>
  <c r="I62" i="2"/>
  <c r="M61" i="2"/>
  <c r="L61" i="2"/>
  <c r="K61" i="2"/>
  <c r="J61" i="2"/>
  <c r="I61" i="2"/>
  <c r="M60" i="2"/>
  <c r="L60" i="2"/>
  <c r="K60" i="2"/>
  <c r="J60" i="2"/>
  <c r="I60" i="2"/>
  <c r="M59" i="2"/>
  <c r="L59" i="2"/>
  <c r="K59" i="2"/>
  <c r="J59" i="2"/>
  <c r="I59" i="2"/>
  <c r="M58" i="2"/>
  <c r="L58" i="2"/>
  <c r="K58" i="2"/>
  <c r="J58" i="2"/>
  <c r="I58" i="2"/>
  <c r="M57" i="2"/>
  <c r="L57" i="2"/>
  <c r="K57" i="2"/>
  <c r="J57" i="2"/>
  <c r="I57" i="2"/>
  <c r="M56" i="2"/>
  <c r="L56" i="2"/>
  <c r="K56" i="2"/>
  <c r="J56" i="2"/>
  <c r="I56" i="2"/>
  <c r="M55" i="2"/>
  <c r="L55" i="2"/>
  <c r="K55" i="2"/>
  <c r="J55" i="2"/>
  <c r="I55" i="2"/>
  <c r="M54" i="2"/>
  <c r="L54" i="2"/>
  <c r="K54" i="2"/>
  <c r="J54" i="2"/>
  <c r="I54" i="2"/>
  <c r="M53" i="2"/>
  <c r="L53" i="2"/>
  <c r="K53" i="2"/>
  <c r="J53" i="2"/>
  <c r="I53" i="2"/>
  <c r="M52" i="2"/>
  <c r="L52" i="2"/>
  <c r="K52" i="2"/>
  <c r="J52" i="2"/>
  <c r="I52" i="2"/>
  <c r="M51" i="2"/>
  <c r="L51" i="2"/>
  <c r="K51" i="2"/>
  <c r="J51" i="2"/>
  <c r="I51" i="2"/>
  <c r="M50" i="2"/>
  <c r="L50" i="2"/>
  <c r="K50" i="2"/>
  <c r="J50" i="2"/>
  <c r="I50" i="2"/>
  <c r="M49" i="2"/>
  <c r="L49" i="2"/>
  <c r="K49" i="2"/>
  <c r="J49" i="2"/>
  <c r="I49" i="2"/>
  <c r="M48" i="2"/>
  <c r="L48" i="2"/>
  <c r="K48" i="2"/>
  <c r="J48" i="2"/>
  <c r="I48" i="2"/>
  <c r="M47" i="2"/>
  <c r="L47" i="2"/>
  <c r="K47" i="2"/>
  <c r="J47" i="2"/>
  <c r="I47" i="2"/>
  <c r="M46" i="2"/>
  <c r="L46" i="2"/>
  <c r="K46" i="2"/>
  <c r="J46" i="2"/>
  <c r="I46" i="2"/>
  <c r="M45" i="2"/>
  <c r="L45" i="2"/>
  <c r="K45" i="2"/>
  <c r="J45" i="2"/>
  <c r="I45" i="2"/>
  <c r="M44" i="2"/>
  <c r="L44" i="2"/>
  <c r="K44" i="2"/>
  <c r="J44" i="2"/>
  <c r="I44" i="2"/>
  <c r="M43" i="2"/>
  <c r="L43" i="2"/>
  <c r="K43" i="2"/>
  <c r="J43" i="2"/>
  <c r="I43" i="2"/>
  <c r="M42" i="2"/>
  <c r="L42" i="2"/>
  <c r="K42" i="2"/>
  <c r="J42" i="2"/>
  <c r="I42" i="2"/>
  <c r="M41" i="2"/>
  <c r="L41" i="2"/>
  <c r="K41" i="2"/>
  <c r="J41" i="2"/>
  <c r="I41" i="2"/>
  <c r="M40" i="2"/>
  <c r="L40" i="2"/>
  <c r="K40" i="2"/>
  <c r="J40" i="2"/>
  <c r="I40" i="2"/>
  <c r="M39" i="2"/>
  <c r="L39" i="2"/>
  <c r="K39" i="2"/>
  <c r="J39" i="2"/>
  <c r="I39" i="2"/>
  <c r="M38" i="2"/>
  <c r="L38" i="2"/>
  <c r="K38" i="2"/>
  <c r="J38" i="2"/>
  <c r="I38" i="2"/>
  <c r="M37" i="2"/>
  <c r="L37" i="2"/>
  <c r="K37" i="2"/>
  <c r="J37" i="2"/>
  <c r="I37" i="2"/>
  <c r="M36" i="2"/>
  <c r="L36" i="2"/>
  <c r="K36" i="2"/>
  <c r="J36" i="2"/>
  <c r="I36" i="2"/>
  <c r="M35" i="2"/>
  <c r="L35" i="2"/>
  <c r="K35" i="2"/>
  <c r="J35" i="2"/>
  <c r="I35" i="2"/>
  <c r="M34" i="2"/>
  <c r="L34" i="2"/>
  <c r="K34" i="2"/>
  <c r="J34" i="2"/>
  <c r="I34" i="2"/>
  <c r="M33" i="2"/>
  <c r="L33" i="2"/>
  <c r="K33" i="2"/>
  <c r="J33" i="2"/>
  <c r="I33" i="2"/>
  <c r="M32" i="2"/>
  <c r="L32" i="2"/>
  <c r="K32" i="2"/>
  <c r="J32" i="2"/>
  <c r="I32" i="2"/>
  <c r="M31" i="2"/>
  <c r="L31" i="2"/>
  <c r="K31" i="2"/>
  <c r="J31" i="2"/>
  <c r="I31" i="2"/>
  <c r="M30" i="2"/>
  <c r="L30" i="2"/>
  <c r="K30" i="2"/>
  <c r="J30" i="2"/>
  <c r="I30" i="2"/>
  <c r="M29" i="2"/>
  <c r="L29" i="2"/>
  <c r="K29" i="2"/>
  <c r="J29" i="2"/>
  <c r="I29" i="2"/>
  <c r="M28" i="2"/>
  <c r="L28" i="2"/>
  <c r="K28" i="2"/>
  <c r="J28" i="2"/>
  <c r="I28" i="2"/>
  <c r="M27" i="2"/>
  <c r="L27" i="2"/>
  <c r="K27" i="2"/>
  <c r="J27" i="2"/>
  <c r="I27" i="2"/>
  <c r="M26" i="2"/>
  <c r="L26" i="2"/>
  <c r="K26" i="2"/>
  <c r="J26" i="2"/>
  <c r="I26" i="2"/>
  <c r="M25" i="2"/>
  <c r="L25" i="2"/>
  <c r="K25" i="2"/>
  <c r="J25" i="2"/>
  <c r="I25" i="2"/>
  <c r="M24" i="2"/>
  <c r="L24" i="2"/>
  <c r="K24" i="2"/>
  <c r="J24" i="2"/>
  <c r="I24" i="2"/>
  <c r="M23" i="2"/>
  <c r="L23" i="2"/>
  <c r="K23" i="2"/>
  <c r="J23" i="2"/>
  <c r="I23" i="2"/>
  <c r="M22" i="2"/>
  <c r="L22" i="2"/>
  <c r="K22" i="2"/>
  <c r="J22" i="2"/>
  <c r="I22" i="2"/>
  <c r="M21" i="2"/>
  <c r="L21" i="2"/>
  <c r="K21" i="2"/>
  <c r="J21" i="2"/>
  <c r="I21" i="2"/>
  <c r="M20" i="2"/>
  <c r="L20" i="2"/>
  <c r="K20" i="2"/>
  <c r="J20" i="2"/>
  <c r="I20" i="2"/>
  <c r="M19" i="2"/>
  <c r="L19" i="2"/>
  <c r="K19" i="2"/>
  <c r="J19" i="2"/>
  <c r="I19" i="2"/>
  <c r="M18" i="2"/>
  <c r="L18" i="2"/>
  <c r="K18" i="2"/>
  <c r="J18" i="2"/>
  <c r="I18" i="2"/>
  <c r="M17" i="2"/>
  <c r="L17" i="2"/>
  <c r="K17" i="2"/>
  <c r="J17" i="2"/>
  <c r="I17" i="2"/>
  <c r="M16" i="2"/>
  <c r="L16" i="2"/>
  <c r="K16" i="2"/>
  <c r="J16" i="2"/>
  <c r="I16" i="2"/>
  <c r="M15" i="2"/>
  <c r="L15" i="2"/>
  <c r="K15" i="2"/>
  <c r="J15" i="2"/>
  <c r="I15" i="2"/>
  <c r="M14" i="2"/>
  <c r="L14" i="2"/>
  <c r="K14" i="2"/>
  <c r="J14" i="2"/>
  <c r="I14" i="2"/>
  <c r="M13" i="2"/>
  <c r="L13" i="2"/>
  <c r="K13" i="2"/>
  <c r="J13" i="2"/>
  <c r="I13" i="2"/>
  <c r="M12" i="2"/>
  <c r="L12" i="2"/>
  <c r="K12" i="2"/>
  <c r="J12" i="2"/>
  <c r="I12" i="2"/>
  <c r="M11" i="2"/>
  <c r="L11" i="2"/>
  <c r="K11" i="2"/>
  <c r="J11" i="2"/>
  <c r="I11" i="2"/>
  <c r="M10" i="2"/>
  <c r="L10" i="2"/>
  <c r="K10" i="2"/>
  <c r="J10" i="2"/>
  <c r="I10" i="2"/>
  <c r="M9" i="2"/>
  <c r="L9" i="2"/>
  <c r="K9" i="2"/>
  <c r="J9" i="2"/>
  <c r="I9" i="2"/>
  <c r="M8" i="2"/>
  <c r="L8" i="2"/>
  <c r="K8" i="2"/>
  <c r="J8" i="2"/>
  <c r="I8" i="2"/>
  <c r="M7" i="2"/>
  <c r="L7" i="2"/>
  <c r="K7" i="2"/>
  <c r="J7" i="2"/>
  <c r="I7" i="2"/>
  <c r="M6" i="2"/>
  <c r="L6" i="2"/>
  <c r="K6" i="2"/>
  <c r="J6" i="2"/>
  <c r="I6" i="2"/>
  <c r="M5" i="2"/>
  <c r="L5" i="2"/>
  <c r="K5" i="2"/>
  <c r="J5" i="2"/>
  <c r="I5" i="2"/>
  <c r="M4" i="2"/>
  <c r="L4" i="2"/>
  <c r="K4" i="2"/>
  <c r="J4" i="2"/>
  <c r="I4" i="2"/>
  <c r="M3" i="2"/>
  <c r="L3" i="2"/>
  <c r="K3" i="2"/>
  <c r="J3" i="2"/>
  <c r="I3" i="2"/>
  <c r="M71" i="36"/>
  <c r="L71" i="36"/>
  <c r="K71" i="36"/>
  <c r="J71" i="36"/>
  <c r="I71" i="36"/>
  <c r="M70" i="36"/>
  <c r="L70" i="36"/>
  <c r="K70" i="36"/>
  <c r="J70" i="36"/>
  <c r="I70" i="36"/>
  <c r="M69" i="36"/>
  <c r="L69" i="36"/>
  <c r="K69" i="36"/>
  <c r="J69" i="36"/>
  <c r="I69" i="36"/>
  <c r="M68" i="36"/>
  <c r="L68" i="36"/>
  <c r="K68" i="36"/>
  <c r="J68" i="36"/>
  <c r="I68" i="36"/>
  <c r="M67" i="36"/>
  <c r="L67" i="36"/>
  <c r="K67" i="36"/>
  <c r="J67" i="36"/>
  <c r="I67" i="36"/>
  <c r="M66" i="36"/>
  <c r="L66" i="36"/>
  <c r="K66" i="36"/>
  <c r="J66" i="36"/>
  <c r="I66" i="36"/>
  <c r="M65" i="36"/>
  <c r="L65" i="36"/>
  <c r="K65" i="36"/>
  <c r="J65" i="36"/>
  <c r="I65" i="36"/>
  <c r="M64" i="36"/>
  <c r="L64" i="36"/>
  <c r="K64" i="36"/>
  <c r="J64" i="36"/>
  <c r="I64" i="36"/>
  <c r="M63" i="36"/>
  <c r="L63" i="36"/>
  <c r="K63" i="36"/>
  <c r="J63" i="36"/>
  <c r="I63" i="36"/>
  <c r="M62" i="36"/>
  <c r="L62" i="36"/>
  <c r="K62" i="36"/>
  <c r="J62" i="36"/>
  <c r="I62" i="36"/>
  <c r="M61" i="36"/>
  <c r="L61" i="36"/>
  <c r="K61" i="36"/>
  <c r="J61" i="36"/>
  <c r="I61" i="36"/>
  <c r="M60" i="36"/>
  <c r="L60" i="36"/>
  <c r="K60" i="36"/>
  <c r="J60" i="36"/>
  <c r="I60" i="36"/>
  <c r="M59" i="36"/>
  <c r="L59" i="36"/>
  <c r="K59" i="36"/>
  <c r="J59" i="36"/>
  <c r="I59" i="36"/>
  <c r="M58" i="36"/>
  <c r="L58" i="36"/>
  <c r="K58" i="36"/>
  <c r="J58" i="36"/>
  <c r="I58" i="36"/>
  <c r="M57" i="36"/>
  <c r="L57" i="36"/>
  <c r="K57" i="36"/>
  <c r="J57" i="36"/>
  <c r="I57" i="36"/>
  <c r="M56" i="36"/>
  <c r="L56" i="36"/>
  <c r="K56" i="36"/>
  <c r="J56" i="36"/>
  <c r="I56" i="36"/>
  <c r="M55" i="36"/>
  <c r="L55" i="36"/>
  <c r="K55" i="36"/>
  <c r="J55" i="36"/>
  <c r="I55" i="36"/>
  <c r="M54" i="36"/>
  <c r="L54" i="36"/>
  <c r="K54" i="36"/>
  <c r="J54" i="36"/>
  <c r="I54" i="36"/>
  <c r="M53" i="36"/>
  <c r="L53" i="36"/>
  <c r="K53" i="36"/>
  <c r="J53" i="36"/>
  <c r="I53" i="36"/>
  <c r="M52" i="36"/>
  <c r="L52" i="36"/>
  <c r="K52" i="36"/>
  <c r="J52" i="36"/>
  <c r="I52" i="36"/>
  <c r="M51" i="36"/>
  <c r="L51" i="36"/>
  <c r="K51" i="36"/>
  <c r="J51" i="36"/>
  <c r="I51" i="36"/>
  <c r="M50" i="36"/>
  <c r="L50" i="36"/>
  <c r="K50" i="36"/>
  <c r="J50" i="36"/>
  <c r="I50" i="36"/>
  <c r="M49" i="36"/>
  <c r="L49" i="36"/>
  <c r="K49" i="36"/>
  <c r="J49" i="36"/>
  <c r="I49" i="36"/>
  <c r="M48" i="36"/>
  <c r="L48" i="36"/>
  <c r="K48" i="36"/>
  <c r="J48" i="36"/>
  <c r="I48" i="36"/>
  <c r="M47" i="36"/>
  <c r="L47" i="36"/>
  <c r="K47" i="36"/>
  <c r="J47" i="36"/>
  <c r="I47" i="36"/>
  <c r="M46" i="36"/>
  <c r="L46" i="36"/>
  <c r="K46" i="36"/>
  <c r="J46" i="36"/>
  <c r="I46" i="36"/>
  <c r="M45" i="36"/>
  <c r="L45" i="36"/>
  <c r="K45" i="36"/>
  <c r="J45" i="36"/>
  <c r="I45" i="36"/>
  <c r="M44" i="36"/>
  <c r="L44" i="36"/>
  <c r="K44" i="36"/>
  <c r="J44" i="36"/>
  <c r="I44" i="36"/>
  <c r="M43" i="36"/>
  <c r="L43" i="36"/>
  <c r="K43" i="36"/>
  <c r="J43" i="36"/>
  <c r="I43" i="36"/>
  <c r="M42" i="36"/>
  <c r="L42" i="36"/>
  <c r="K42" i="36"/>
  <c r="J42" i="36"/>
  <c r="I42" i="36"/>
  <c r="M41" i="36"/>
  <c r="L41" i="36"/>
  <c r="K41" i="36"/>
  <c r="J41" i="36"/>
  <c r="I41" i="36"/>
  <c r="M40" i="36"/>
  <c r="L40" i="36"/>
  <c r="K40" i="36"/>
  <c r="J40" i="36"/>
  <c r="I40" i="36"/>
  <c r="M39" i="36"/>
  <c r="L39" i="36"/>
  <c r="K39" i="36"/>
  <c r="J39" i="36"/>
  <c r="I39" i="36"/>
  <c r="M38" i="36"/>
  <c r="L38" i="36"/>
  <c r="K38" i="36"/>
  <c r="J38" i="36"/>
  <c r="I38" i="36"/>
  <c r="M37" i="36"/>
  <c r="L37" i="36"/>
  <c r="K37" i="36"/>
  <c r="J37" i="36"/>
  <c r="I37" i="36"/>
  <c r="M36" i="36"/>
  <c r="L36" i="36"/>
  <c r="K36" i="36"/>
  <c r="J36" i="36"/>
  <c r="I36" i="36"/>
  <c r="M35" i="36"/>
  <c r="L35" i="36"/>
  <c r="K35" i="36"/>
  <c r="J35" i="36"/>
  <c r="I35" i="36"/>
  <c r="M34" i="36"/>
  <c r="L34" i="36"/>
  <c r="K34" i="36"/>
  <c r="J34" i="36"/>
  <c r="I34" i="36"/>
  <c r="M33" i="36"/>
  <c r="L33" i="36"/>
  <c r="K33" i="36"/>
  <c r="J33" i="36"/>
  <c r="I33" i="36"/>
  <c r="M32" i="36"/>
  <c r="L32" i="36"/>
  <c r="K32" i="36"/>
  <c r="J32" i="36"/>
  <c r="I32" i="36"/>
  <c r="M31" i="36"/>
  <c r="L31" i="36"/>
  <c r="K31" i="36"/>
  <c r="J31" i="36"/>
  <c r="I31" i="36"/>
  <c r="M30" i="36"/>
  <c r="L30" i="36"/>
  <c r="K30" i="36"/>
  <c r="J30" i="36"/>
  <c r="I30" i="36"/>
  <c r="M29" i="36"/>
  <c r="L29" i="36"/>
  <c r="K29" i="36"/>
  <c r="J29" i="36"/>
  <c r="I29" i="36"/>
  <c r="M28" i="36"/>
  <c r="L28" i="36"/>
  <c r="K28" i="36"/>
  <c r="J28" i="36"/>
  <c r="I28" i="36"/>
  <c r="M27" i="36"/>
  <c r="L27" i="36"/>
  <c r="K27" i="36"/>
  <c r="J27" i="36"/>
  <c r="I27" i="36"/>
  <c r="M26" i="36"/>
  <c r="L26" i="36"/>
  <c r="K26" i="36"/>
  <c r="J26" i="36"/>
  <c r="I26" i="36"/>
  <c r="M25" i="36"/>
  <c r="L25" i="36"/>
  <c r="K25" i="36"/>
  <c r="J25" i="36"/>
  <c r="I25" i="36"/>
  <c r="M24" i="36"/>
  <c r="L24" i="36"/>
  <c r="K24" i="36"/>
  <c r="J24" i="36"/>
  <c r="I24" i="36"/>
  <c r="M23" i="36"/>
  <c r="L23" i="36"/>
  <c r="K23" i="36"/>
  <c r="J23" i="36"/>
  <c r="I23" i="36"/>
  <c r="M22" i="36"/>
  <c r="L22" i="36"/>
  <c r="K22" i="36"/>
  <c r="J22" i="36"/>
  <c r="I22" i="36"/>
  <c r="M21" i="36"/>
  <c r="L21" i="36"/>
  <c r="K21" i="36"/>
  <c r="J21" i="36"/>
  <c r="I21" i="36"/>
  <c r="M20" i="36"/>
  <c r="L20" i="36"/>
  <c r="K20" i="36"/>
  <c r="J20" i="36"/>
  <c r="I20" i="36"/>
  <c r="M19" i="36"/>
  <c r="L19" i="36"/>
  <c r="K19" i="36"/>
  <c r="J19" i="36"/>
  <c r="I19" i="36"/>
  <c r="M18" i="36"/>
  <c r="L18" i="36"/>
  <c r="K18" i="36"/>
  <c r="J18" i="36"/>
  <c r="I18" i="36"/>
  <c r="M17" i="36"/>
  <c r="L17" i="36"/>
  <c r="K17" i="36"/>
  <c r="J17" i="36"/>
  <c r="I17" i="36"/>
  <c r="M16" i="36"/>
  <c r="L16" i="36"/>
  <c r="K16" i="36"/>
  <c r="J16" i="36"/>
  <c r="I16" i="36"/>
  <c r="M15" i="36"/>
  <c r="L15" i="36"/>
  <c r="K15" i="36"/>
  <c r="J15" i="36"/>
  <c r="I15" i="36"/>
  <c r="M14" i="36"/>
  <c r="L14" i="36"/>
  <c r="K14" i="36"/>
  <c r="J14" i="36"/>
  <c r="I14" i="36"/>
  <c r="M13" i="36"/>
  <c r="L13" i="36"/>
  <c r="K13" i="36"/>
  <c r="J13" i="36"/>
  <c r="I13" i="36"/>
  <c r="M12" i="36"/>
  <c r="L12" i="36"/>
  <c r="K12" i="36"/>
  <c r="J12" i="36"/>
  <c r="I12" i="36"/>
  <c r="M11" i="36"/>
  <c r="L11" i="36"/>
  <c r="K11" i="36"/>
  <c r="J11" i="36"/>
  <c r="I11" i="36"/>
  <c r="M10" i="36"/>
  <c r="L10" i="36"/>
  <c r="K10" i="36"/>
  <c r="J10" i="36"/>
  <c r="I10" i="36"/>
  <c r="M9" i="36"/>
  <c r="L9" i="36"/>
  <c r="K9" i="36"/>
  <c r="J9" i="36"/>
  <c r="I9" i="36"/>
  <c r="M8" i="36"/>
  <c r="L8" i="36"/>
  <c r="K8" i="36"/>
  <c r="J8" i="36"/>
  <c r="I8" i="36"/>
  <c r="M7" i="36"/>
  <c r="L7" i="36"/>
  <c r="K7" i="36"/>
  <c r="J7" i="36"/>
  <c r="I7" i="36"/>
  <c r="M6" i="36"/>
  <c r="L6" i="36"/>
  <c r="K6" i="36"/>
  <c r="J6" i="36"/>
  <c r="I6" i="36"/>
  <c r="M5" i="36"/>
  <c r="L5" i="36"/>
  <c r="K5" i="36"/>
  <c r="J5" i="36"/>
  <c r="I5" i="36"/>
  <c r="M4" i="36"/>
  <c r="L4" i="36"/>
  <c r="K4" i="36"/>
  <c r="J4" i="36"/>
  <c r="I4" i="36"/>
  <c r="M3" i="36"/>
  <c r="L3" i="36"/>
  <c r="K3" i="36"/>
  <c r="J3" i="36"/>
  <c r="I3" i="36"/>
  <c r="M71" i="1"/>
  <c r="L71" i="1"/>
  <c r="K71" i="1"/>
  <c r="J71" i="1"/>
  <c r="I71" i="1"/>
  <c r="M70" i="1"/>
  <c r="L70" i="1"/>
  <c r="K70" i="1"/>
  <c r="J70" i="1"/>
  <c r="I70" i="1"/>
  <c r="M69" i="1"/>
  <c r="L69" i="1"/>
  <c r="K69" i="1"/>
  <c r="J69" i="1"/>
  <c r="I69" i="1"/>
  <c r="M68" i="1"/>
  <c r="L68" i="1"/>
  <c r="K68" i="1"/>
  <c r="J68" i="1"/>
  <c r="I68" i="1"/>
  <c r="M67" i="1"/>
  <c r="L67" i="1"/>
  <c r="K67" i="1"/>
  <c r="J67" i="1"/>
  <c r="I67" i="1"/>
  <c r="M66" i="1"/>
  <c r="L66" i="1"/>
  <c r="K66" i="1"/>
  <c r="J66" i="1"/>
  <c r="I66" i="1"/>
  <c r="M65" i="1"/>
  <c r="L65" i="1"/>
  <c r="K65" i="1"/>
  <c r="J65" i="1"/>
  <c r="I65" i="1"/>
  <c r="M64" i="1"/>
  <c r="L64" i="1"/>
  <c r="K64" i="1"/>
  <c r="J64" i="1"/>
  <c r="I64" i="1"/>
  <c r="M63" i="1"/>
  <c r="L63" i="1"/>
  <c r="K63" i="1"/>
  <c r="J63" i="1"/>
  <c r="I63" i="1"/>
  <c r="M62" i="1"/>
  <c r="L62" i="1"/>
  <c r="K62" i="1"/>
  <c r="J62" i="1"/>
  <c r="I62" i="1"/>
  <c r="M61" i="1"/>
  <c r="L61" i="1"/>
  <c r="K61" i="1"/>
  <c r="J61" i="1"/>
  <c r="I61" i="1"/>
  <c r="M60" i="1"/>
  <c r="L60" i="1"/>
  <c r="K60" i="1"/>
  <c r="J60" i="1"/>
  <c r="I60" i="1"/>
  <c r="M59" i="1"/>
  <c r="L59" i="1"/>
  <c r="K59" i="1"/>
  <c r="J59" i="1"/>
  <c r="I59" i="1"/>
  <c r="M58" i="1"/>
  <c r="L58" i="1"/>
  <c r="K58" i="1"/>
  <c r="J58" i="1"/>
  <c r="I58" i="1"/>
  <c r="M57" i="1"/>
  <c r="L57" i="1"/>
  <c r="K57" i="1"/>
  <c r="J57" i="1"/>
  <c r="I57" i="1"/>
  <c r="M56" i="1"/>
  <c r="L56" i="1"/>
  <c r="K56" i="1"/>
  <c r="J56" i="1"/>
  <c r="I56" i="1"/>
  <c r="M55" i="1"/>
  <c r="L55" i="1"/>
  <c r="K55" i="1"/>
  <c r="J55" i="1"/>
  <c r="I55" i="1"/>
  <c r="M54" i="1"/>
  <c r="L54" i="1"/>
  <c r="K54" i="1"/>
  <c r="J54" i="1"/>
  <c r="I54" i="1"/>
  <c r="M53" i="1"/>
  <c r="L53" i="1"/>
  <c r="K53" i="1"/>
  <c r="J53" i="1"/>
  <c r="I53" i="1"/>
  <c r="M52" i="1"/>
  <c r="L52" i="1"/>
  <c r="K52" i="1"/>
  <c r="J52" i="1"/>
  <c r="I52" i="1"/>
  <c r="M51" i="1"/>
  <c r="L51" i="1"/>
  <c r="K51" i="1"/>
  <c r="J51" i="1"/>
  <c r="I51" i="1"/>
  <c r="M50" i="1"/>
  <c r="L50" i="1"/>
  <c r="K50" i="1"/>
  <c r="J50" i="1"/>
  <c r="I50" i="1"/>
  <c r="M49" i="1"/>
  <c r="L49" i="1"/>
  <c r="K49" i="1"/>
  <c r="J49" i="1"/>
  <c r="I49" i="1"/>
  <c r="M48" i="1"/>
  <c r="L48" i="1"/>
  <c r="K48" i="1"/>
  <c r="J48" i="1"/>
  <c r="I48" i="1"/>
  <c r="M47" i="1"/>
  <c r="L47" i="1"/>
  <c r="K47" i="1"/>
  <c r="J47" i="1"/>
  <c r="I47" i="1"/>
  <c r="M46" i="1"/>
  <c r="L46" i="1"/>
  <c r="K46" i="1"/>
  <c r="J46" i="1"/>
  <c r="I46" i="1"/>
  <c r="M45" i="1"/>
  <c r="L45" i="1"/>
  <c r="K45" i="1"/>
  <c r="J45" i="1"/>
  <c r="I45" i="1"/>
  <c r="M44" i="1"/>
  <c r="L44" i="1"/>
  <c r="K44" i="1"/>
  <c r="J44" i="1"/>
  <c r="I44" i="1"/>
  <c r="M43" i="1"/>
  <c r="L43" i="1"/>
  <c r="K43" i="1"/>
  <c r="J43" i="1"/>
  <c r="I43" i="1"/>
  <c r="M42" i="1"/>
  <c r="L42" i="1"/>
  <c r="K42" i="1"/>
  <c r="J42" i="1"/>
  <c r="I42" i="1"/>
  <c r="M41" i="1"/>
  <c r="L41" i="1"/>
  <c r="K41" i="1"/>
  <c r="J41" i="1"/>
  <c r="I41" i="1"/>
  <c r="M40" i="1"/>
  <c r="L40" i="1"/>
  <c r="K40" i="1"/>
  <c r="J40" i="1"/>
  <c r="I40" i="1"/>
  <c r="M39" i="1"/>
  <c r="L39" i="1"/>
  <c r="K39" i="1"/>
  <c r="J39" i="1"/>
  <c r="I39" i="1"/>
  <c r="M38" i="1"/>
  <c r="L38" i="1"/>
  <c r="K38" i="1"/>
  <c r="J38" i="1"/>
  <c r="I38" i="1"/>
  <c r="M37" i="1"/>
  <c r="L37" i="1"/>
  <c r="K37" i="1"/>
  <c r="J37" i="1"/>
  <c r="I37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L22" i="1"/>
  <c r="K22" i="1"/>
  <c r="J22" i="1"/>
  <c r="I22" i="1"/>
  <c r="M21" i="1"/>
  <c r="L21" i="1"/>
  <c r="K21" i="1"/>
  <c r="J21" i="1"/>
  <c r="I21" i="1"/>
  <c r="M20" i="1"/>
  <c r="L20" i="1"/>
  <c r="K20" i="1"/>
  <c r="J20" i="1"/>
  <c r="I20" i="1"/>
  <c r="M19" i="1"/>
  <c r="L19" i="1"/>
  <c r="K19" i="1"/>
  <c r="J19" i="1"/>
  <c r="I19" i="1"/>
  <c r="M18" i="1"/>
  <c r="L18" i="1"/>
  <c r="K18" i="1"/>
  <c r="J18" i="1"/>
  <c r="I18" i="1"/>
  <c r="M17" i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M12" i="1"/>
  <c r="L12" i="1"/>
  <c r="K12" i="1"/>
  <c r="J12" i="1"/>
  <c r="I12" i="1"/>
  <c r="M11" i="1"/>
  <c r="L11" i="1"/>
  <c r="K11" i="1"/>
  <c r="J11" i="1"/>
  <c r="I11" i="1"/>
  <c r="M10" i="1"/>
  <c r="L10" i="1"/>
  <c r="K10" i="1"/>
  <c r="J10" i="1"/>
  <c r="I10" i="1"/>
  <c r="M9" i="1"/>
  <c r="L9" i="1"/>
  <c r="K9" i="1"/>
  <c r="J9" i="1"/>
  <c r="I9" i="1"/>
  <c r="M8" i="1"/>
  <c r="L8" i="1"/>
  <c r="K8" i="1"/>
  <c r="J8" i="1"/>
  <c r="I8" i="1"/>
  <c r="M7" i="1"/>
  <c r="L7" i="1"/>
  <c r="K7" i="1"/>
  <c r="J7" i="1"/>
  <c r="I7" i="1"/>
  <c r="M6" i="1"/>
  <c r="L6" i="1"/>
  <c r="K6" i="1"/>
  <c r="J6" i="1"/>
  <c r="I6" i="1"/>
  <c r="M5" i="1"/>
  <c r="L5" i="1"/>
  <c r="K5" i="1"/>
  <c r="J5" i="1"/>
  <c r="I5" i="1"/>
  <c r="M4" i="1"/>
  <c r="L4" i="1"/>
  <c r="K4" i="1"/>
  <c r="J4" i="1"/>
  <c r="I4" i="1"/>
  <c r="M3" i="1"/>
  <c r="L3" i="1"/>
  <c r="K3" i="1"/>
  <c r="J3" i="1"/>
  <c r="I3" i="1"/>
</calcChain>
</file>

<file path=xl/sharedStrings.xml><?xml version="1.0" encoding="utf-8"?>
<sst xmlns="http://schemas.openxmlformats.org/spreadsheetml/2006/main" count="7691" uniqueCount="172">
  <si>
    <t>Nestle India</t>
  </si>
  <si>
    <t>Previous Years »</t>
  </si>
  <si>
    <t>Standalone Balance Sheet</t>
  </si>
  <si>
    <t>------------------- in Rs. Cr. -------------------</t>
  </si>
  <si>
    <t>Dec 21</t>
  </si>
  <si>
    <t>12 mths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</si>
  <si>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</si>
  <si>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</si>
  <si>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</si>
  <si>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</si>
  <si>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</si>
  <si>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</si>
  <si>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</si>
  <si>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</si>
  <si>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</si>
  <si>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</si>
  <si>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</si>
  <si>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</si>
  <si>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</si>
  <si>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</si>
  <si>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</si>
  <si>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</si>
  <si>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</si>
  <si>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</si>
  <si>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</si>
  <si>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</si>
  <si>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</si>
  <si>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</si>
  <si>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</si>
  <si>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Capital Work-In-Progress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</si>
  <si>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</si>
  <si>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</si>
  <si>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</si>
  <si>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</si>
  <si>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</si>
  <si>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</si>
  <si>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</si>
  <si>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</si>
  <si>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Inventories</t>
  </si>
  <si>
    <t>Trade Receivables</t>
  </si>
  <si>
    <t>Cash And Cash Equivalents</t>
  </si>
  <si>
    <t>Short Term Loans And Advances</t>
  </si>
  <si>
    <t>OtherCurrentAssets</t>
  </si>
  <si>
    <t>Total Current Assets</t>
  </si>
  <si>
    <t>Total Assets</t>
  </si>
  <si>
    <t>OTHER ADDITIONAL INFORMATION</t>
  </si>
  <si>
    <t>CONTINGENT LIABILITIES, COMMITMENTS</t>
  </si>
  <si>
    <t>Contingent Liabilities</t>
  </si>
  <si>
    <t>CIF VALUE OF IMPORTS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</si>
  <si>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</si>
  <si>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</si>
  <si>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</si>
  <si>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</si>
  <si>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</si>
  <si>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</si>
  <si>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</si>
  <si>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</si>
  <si>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</si>
  <si>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</si>
  <si>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</si>
  <si>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</si>
  <si>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</si>
  <si>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</si>
  <si>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</si>
  <si>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</si>
  <si>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r>
      <t>Source : </t>
    </r>
    <r>
      <rPr>
        <b/>
        <sz val="8"/>
        <color rgb="FFFB9646"/>
        <rFont val="Tahoma"/>
        <family val="2"/>
      </rPr>
      <t>Dion Global Solutions Limited</t>
    </r>
  </si>
  <si>
    <t>Standalone Profit &amp; Loss account</t>
  </si>
  <si>
    <t>INCOME</t>
  </si>
  <si>
    <t>Revenue From Operations [Gross]</t>
  </si>
  <si>
    <t>Less: Excise/Sevice Tax/Other Levies</t>
  </si>
  <si>
    <t>Revenue From Operations [Net]</t>
  </si>
  <si>
    <t>Other Operating Revenues</t>
  </si>
  <si>
    <t>Total Operating Revenues</t>
  </si>
  <si>
    <t>Other Income</t>
  </si>
  <si>
    <t>Total Revenue</t>
  </si>
  <si>
    <t>EXPENSES</t>
  </si>
  <si>
    <t>Cost Of Materials Consumed</t>
  </si>
  <si>
    <t>Purchase Of Stock-In Trade</t>
  </si>
  <si>
    <t>Changes In Inventories Of FG,WIP And Stock-In Trade</t>
  </si>
  <si>
    <t>Employee Benefit Expenses</t>
  </si>
  <si>
    <t>Finance Costs</t>
  </si>
  <si>
    <t>Provsions and Contingencies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</si>
  <si>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</si>
  <si>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</si>
  <si>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</si>
  <si>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</si>
  <si>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</si>
  <si>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</si>
  <si>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</si>
  <si>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</si>
  <si>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Deferred Tax</t>
  </si>
  <si>
    <t>Total Tax Expenses</t>
  </si>
  <si>
    <t>Profit/Loss After Tax And Before ExtraOrdinary Items</t>
  </si>
  <si>
    <t>Profit/Loss From Continuing Operations</t>
  </si>
  <si>
    <t>Profit/Loss For The Period</t>
  </si>
  <si>
    <t>EARNINGS PER SHARE</t>
  </si>
  <si>
    <t>Basic EPS (Rs.)</t>
  </si>
  <si>
    <t>Diluted EPS (Rs.)</t>
  </si>
  <si>
    <t>VALUE OF IMPORTED AND INDIGENIOUS RAW MATERIALS</t>
  </si>
  <si>
    <t>STORES, SPARES AND LOOSE TOOLS</t>
  </si>
  <si>
    <t>DIVIDEND AND DIVIDEND PERCENTAGE</t>
  </si>
  <si>
    <t>Equity Share Dividend</t>
  </si>
  <si>
    <t>Tax On Dividend</t>
  </si>
  <si>
    <t>Equity Dividend Rate (%)</t>
  </si>
  <si>
    <t>Gujarat Ambuja Exports</t>
  </si>
  <si>
    <t>Mar 22</t>
  </si>
  <si>
    <t>Intangible Assets</t>
  </si>
  <si>
    <t>Consolidated Balance Sheet</t>
  </si>
  <si>
    <t>Kohinoor Foods</t>
  </si>
  <si>
    <t>Revaluation Reserves</t>
  </si>
  <si>
    <t>Consolidated Profit &amp; Loss account</t>
  </si>
  <si>
    <t>Operating And Direct Expenses</t>
  </si>
  <si>
    <t>Tax For Earlier Years</t>
  </si>
  <si>
    <t>Consolidated Profit/Loss After MI And Associates</t>
  </si>
  <si>
    <t>GRM Overseas</t>
  </si>
  <si>
    <t>Money Received Against Share Warrants</t>
  </si>
  <si>
    <t>Minority Interest</t>
  </si>
  <si>
    <t>Preference Share Capital</t>
  </si>
  <si>
    <t>Employees Stock Options</t>
  </si>
  <si>
    <t>Equity Share Application Money</t>
  </si>
  <si>
    <t>Intangible Assets Under Development</t>
  </si>
  <si>
    <t>Other Assets</t>
  </si>
  <si>
    <t>Relaxo Footwears</t>
  </si>
  <si>
    <t>Bata India</t>
  </si>
  <si>
    <t>Mirza International</t>
  </si>
  <si>
    <t>Hindustan Unilever</t>
  </si>
  <si>
    <t>Profit Loss From Discontinuing Operations</t>
  </si>
  <si>
    <t>Total Tax Expenses Discontinuing Operations</t>
  </si>
  <si>
    <t>Net Profit Loss From Discontinuing Operations</t>
  </si>
  <si>
    <t>Dabur India</t>
  </si>
  <si>
    <t>Share Of Profit/Loss Of Associates</t>
  </si>
  <si>
    <t>Godrej Consumer Products</t>
  </si>
  <si>
    <t>Marico</t>
  </si>
  <si>
    <t>Procter and Gamble Hygiene and Health Care</t>
  </si>
  <si>
    <t>Jun 22</t>
  </si>
  <si>
    <t>Colgate Palmolive (India)</t>
  </si>
  <si>
    <t>Gillette India</t>
  </si>
  <si>
    <t>Sheela Foam</t>
  </si>
  <si>
    <t>VIP Industries</t>
  </si>
  <si>
    <t>Bajaj Consumer Care</t>
  </si>
  <si>
    <t>Patanjali Foods</t>
  </si>
  <si>
    <t>Mar 19</t>
  </si>
  <si>
    <t>Imported Raw Materials</t>
  </si>
  <si>
    <t>Indigenous Raw Materials</t>
  </si>
  <si>
    <t>Imported Stores And Spares</t>
  </si>
  <si>
    <t>Indigenous Stores And Spares</t>
  </si>
  <si>
    <t>Preference Share Dividend</t>
  </si>
  <si>
    <t>Varun Beverages</t>
  </si>
  <si>
    <t>Titan Company</t>
  </si>
  <si>
    <t>Britannia Industries</t>
  </si>
  <si>
    <t>Jubilant Foodworks</t>
  </si>
  <si>
    <t>Raw Materials</t>
  </si>
  <si>
    <t>Capital Goods</t>
  </si>
  <si>
    <t>Hatsun Agro Products</t>
  </si>
  <si>
    <t>LT Foods</t>
  </si>
  <si>
    <t>Stores, Spares And Loose Tools</t>
  </si>
  <si>
    <t>Trade/Other Goods</t>
  </si>
  <si>
    <t>Tasty Bite Eatables</t>
  </si>
  <si>
    <t>KSE</t>
  </si>
  <si>
    <t>Milkfood</t>
  </si>
  <si>
    <t>Less: MAT Credit Entitlement</t>
  </si>
  <si>
    <t>Lotus Chocolate Company</t>
  </si>
  <si>
    <t>Avanti Feeds</t>
  </si>
  <si>
    <t>Asian Paints</t>
  </si>
  <si>
    <t>Berger Paints India</t>
  </si>
  <si>
    <t>United Spirits</t>
  </si>
  <si>
    <t>TTK Prestige</t>
  </si>
  <si>
    <t>3M India</t>
  </si>
  <si>
    <t>TATA Consumer Products</t>
  </si>
  <si>
    <t>Heritage Foods</t>
  </si>
  <si>
    <t>Year</t>
  </si>
  <si>
    <t>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</si>
</sst>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rgb="FFFB9646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AF78B1-5857-C56A-35FD-7038185948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14A3B78-0FF2-B4EF-9A54-F5B5A7FF2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76200</xdr:colOff>
      <xdr:row>66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EB5BE8-4DB6-67A3-9391-A8213EB71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022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AF33E4-3883-0040-0555-2497C01B05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585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8AFB5A-2940-40A8-ECE1-16EB7D155C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966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76200</xdr:colOff>
      <xdr:row>114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51C21F-E31A-097E-88CE-63746313F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110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76200</xdr:colOff>
      <xdr:row>116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F64B18A-0F53-9BA5-1BE4-A355231B19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491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F756D80-FAFF-338D-23FA-7F92C152F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511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76200</xdr:colOff>
      <xdr:row>130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33A6474-7156-AE19-C490-A6CFB30BE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92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76200</xdr:colOff>
      <xdr:row>143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FF478CC-B41A-2E2A-6204-EFB92020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121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ED687C1-001F-4578-A0E3-4FEEDC8D9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AB98DFB-66D0-42A1-A0B9-9D9CDDCFF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4167FF3-6C3F-402C-8E53-B6E381BF4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639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76200</xdr:colOff>
      <xdr:row>78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D5DAA8C-9F8D-43BD-8412-7F2B5C4A10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354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76200</xdr:colOff>
      <xdr:row>80</xdr:row>
      <xdr:rowOff>76200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C94AA4C-8276-417B-B6CD-1AC8468A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735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76200</xdr:colOff>
      <xdr:row>99</xdr:row>
      <xdr:rowOff>76200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68AF876-962F-41D9-963E-D1910FAECB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355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7</xdr:col>
      <xdr:colOff>76200</xdr:colOff>
      <xdr:row>101</xdr:row>
      <xdr:rowOff>76200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C9508559-9906-4AE4-99F7-533A8781D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736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76200</xdr:colOff>
      <xdr:row>113</xdr:row>
      <xdr:rowOff>76200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AC80085-930E-41BD-81C2-5E0D99ABB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36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7</xdr:col>
      <xdr:colOff>76200</xdr:colOff>
      <xdr:row>115</xdr:row>
      <xdr:rowOff>76200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F5A455B-EAB8-48A7-93EE-F5262B22BA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17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A89DA6-129A-7974-D273-EFA5E9C58F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913D2A-9A44-C80C-E554-B57C2FFDF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76200</xdr:colOff>
      <xdr:row>58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A85A044-A570-C0DB-3FAA-25823DF324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55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6FECF0-C184-0E4E-1407-C5AB95328F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842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B58AA89-7FD5-38FD-2721-88B3E40C3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223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0</xdr:col>
      <xdr:colOff>76200</xdr:colOff>
      <xdr:row>138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801FAFC-E336-691A-DADD-DF1B8A516F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816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76200</xdr:colOff>
      <xdr:row>140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73030AC-BBEB-30A3-7118-71C0351591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197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32628BA-92C2-464F-A5A5-4E6456878C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68CE922-2887-4121-A8CB-0405E348A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00B3EF3-A051-4698-B81F-E66B3BF13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F5ADA7B-A7B3-A005-34C7-409DB96A8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A9AFCA-3B86-A91B-D9AA-6964B8225C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76200</xdr:colOff>
      <xdr:row>64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1500B01-4E82-4DA9-4FDD-BF5D4B58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0291AF-DC61-8818-1536-40D2EC712D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518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4EFFB3-E117-B531-62E8-76377CBD2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899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0</xdr:col>
      <xdr:colOff>76200</xdr:colOff>
      <xdr:row>146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2C1D772-93A6-69E0-3B36-CD2675FF9A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8788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04D16F6-3E7B-43FE-818B-1DADE4C32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71113B6-C919-46A0-8653-2B94898E3F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B160C3C-FC76-4AB3-BD3A-B172BE46E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DFEF9-96DD-8147-0AEF-EA71355078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FAF7ABA-13FA-B9F4-4DAA-DB4643963D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76200</xdr:colOff>
      <xdr:row>51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030C13C-8677-2B85-5852-00B53EA97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16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AFB589-B2E9-FE42-D1EA-CBC00E7B5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36EDEE-F87C-F10B-B6EB-873F3B13E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908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76200</xdr:colOff>
      <xdr:row>132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5D8AD00-15D9-5C61-D6DF-08B5029A8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777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5B2B95B-A62E-4EA9-B463-290D505C18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8BB4CC9-93B1-4C86-B37B-E92E64E44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8227526-B9D3-48A4-8023-943D532DE5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D4342A-7FE4-EEFE-9554-22D7E66C1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6F22C1-5163-AB2E-A801-085D228D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76200</xdr:colOff>
      <xdr:row>56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0195F77-607F-B0F8-2988-1C507EE860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1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536D5C-8C7D-E2EB-2699-EC95B66727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47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CCE7C65-1E7F-3653-7588-0F0831286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85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76200</xdr:colOff>
      <xdr:row>131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2FB5AF-81BB-4CA7-2B46-A17E47C58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58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E68E9A-E47F-4179-91A4-E47E95F8B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DF4C3AA-191C-411D-8323-9D6013EBC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4AFC59E-EB2E-4BA1-9A9D-BD85C7C211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A4B1A6-A02C-6FA2-A38D-2C05FEC69B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C38D0-754E-1824-69F5-3CCBB92BE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0</xdr:col>
      <xdr:colOff>76200</xdr:colOff>
      <xdr:row>85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6F9307-07B5-537D-2A2E-939E738F2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519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0</xdr:col>
      <xdr:colOff>76200</xdr:colOff>
      <xdr:row>87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FA3AFA-0EFC-50BB-5050-4F0941504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0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D6564F8-6C48-82B8-00A9-3297645C5D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DCD89E-FEFA-05EC-79EC-6290F5A63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76200</xdr:colOff>
      <xdr:row>68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C0F831E-260F-BFAC-3569-0C64EF8D7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984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40E5FA9-8435-A60C-71BF-BF9B80866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776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C7FB8F1-075B-5331-9BEF-621C319071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57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23B8CDD-F644-48C2-0602-BC982B3EA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691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D1B2997-1B6E-4325-76D0-FBBEF12D2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072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76200</xdr:colOff>
      <xdr:row>127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DB35440-58FA-3ECC-A3F8-92B24A4F2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24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76200</xdr:colOff>
      <xdr:row>129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86A050B-7287-662C-746D-BF880C8A6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626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76200</xdr:colOff>
      <xdr:row>142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7D8906D-1C49-0D35-7E10-1EF99C7AAD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855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0676937-75D1-4431-A188-CF0D1CA63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4901C6D-AEAA-47D8-AB71-2E4AA06BD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75D0E1B-AD33-4689-884A-9602CD413F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228E7D-8EE4-0183-2F82-950C64AAB3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AF3E03-68C0-5C0C-D792-F52F1280C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0</xdr:col>
      <xdr:colOff>76200</xdr:colOff>
      <xdr:row>64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19E80A-621C-B486-E8B3-54E950F114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841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F09A7B2-2060-A822-DDF3-5B20088AE5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823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0424C6-47C9-4044-F17C-B259410D6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04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D3FE0A5-131B-91A0-B637-49C6E53C7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530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63CA96C-92FB-4476-BD58-372EFB2CD0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8C42ADD-4EBA-422F-BAFC-20DA5CA33F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BA1C904-E67A-4B5B-9703-A3CCC1B24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E8408D-C5FB-8CED-5C5A-11C06842A4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9DBCDC8-9B17-B84E-ACD2-BD54E4182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B32EF3-19FF-B913-69F4-981501D241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A49A-A431-0D09-DA76-CDBE6913EB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40A140-84D6-A012-F066-B0FDC2E9B3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709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2BA0EDA-2DCB-2F76-18D9-C3EEA83EB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090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76200</xdr:colOff>
      <xdr:row>132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C68A03-0510-7082-996A-047E4FAD2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959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5058585-DF3B-4083-99A9-D1722A819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DA85593-912C-48E2-809F-28451B9D3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8937966-6822-429F-A2B2-B3EAABFAE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018BA2-CBF6-493F-F940-0CD68CAEE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5F1E64D-6DC3-0589-1186-FCFFA2F5DB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0A88B19-4692-F61F-EAE1-9DC3A86392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489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76200</xdr:colOff>
      <xdr:row>67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5DFC87-DE49-1D8D-4BF9-3A36ABDEC1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870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E771AB2-3D5A-1EED-17AC-EA4E0CCFB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2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EB12FC0-E400-8D61-3A0A-8D565F41CF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76200</xdr:colOff>
      <xdr:row>136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40AC3E3-F8B0-E4FD-F751-1CB0B03667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226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AD55660-84DD-47B7-84A6-AE2289AF54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D806944-E166-4061-B12C-B9CB538293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B0FB735-08C4-4FAE-895F-F7A2A9F74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8EEEDE-54F2-9042-E125-379CD44F5A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EAACA64-17C7-CF5B-D0A4-69F16F00A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76200</xdr:colOff>
      <xdr:row>68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99626D0-88D4-0851-A46C-B5E10BB92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32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54A2CA-F544-DF1A-7CD9-1210A046E7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14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AA4A3A5-2890-752D-D8E4-8C75928D1A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985D99A-763D-9AB7-E90B-E3BEA1C60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30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D600CD3-7B50-4464-9899-FAEFAF00A8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0490F02-5479-4C72-B830-9D2DBE074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54D514B-3FC8-448F-91A0-2FDD8A5340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0AB8F0-4CEA-35E5-D0F4-092E0DF854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32BFD3-54E9-B4DD-FBDE-F3FB03968F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76200</xdr:colOff>
      <xdr:row>60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4EC9234-9671-BBF1-9F8F-EBC79F958F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0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D8640EA-9D8A-59B0-ABE3-71B0967EC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8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C7C467D-56AF-5490-8DF8-894A60642E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6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67A17F-734F-68AF-F1A8-8BE0F62A7A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29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E94BF4E-5046-4161-99FE-6D11775E6C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D3050BD-9EA3-46F5-AA69-61B8A0CE1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216766D-6574-4C82-9932-8ED4F142C0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871F02-EDC6-798E-91EC-3482500E09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E17F9-8381-006F-2C8C-413996480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76200</xdr:colOff>
      <xdr:row>61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18C0929-F317-39A4-406D-21D9F32F7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432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44B150-CDD0-69CE-B5BE-942F6E53B2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947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3D71F9C-E635-4966-63B6-6C77F9CBA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328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76200</xdr:colOff>
      <xdr:row>135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A776A4A-82B3-3099-4075-D810A1B927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721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AC7D73E-2D74-43EE-A137-D7F8FD4465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1D9A30D-43D0-44C1-99BD-92CC33699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538A735-02A8-4975-9AC2-935023B7E8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61C7F3-20B7-04F1-45F3-C6EA8BEB2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1B79B7-7E79-983D-D73F-FB4FA3A5B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4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76200</xdr:colOff>
      <xdr:row>62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D66C877-247D-B80F-A868-F823E0BE5B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36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F65A28-93D9-1AF8-8B76-BDEFEF06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14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0D705E-C05D-0E7C-5CBC-23A2CD1B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67A0A1-2771-9AE2-E8BE-1EF57CCE6C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577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D57430-FAFC-4560-DDC7-0763F0B115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958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76200</xdr:colOff>
      <xdr:row>127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2538580-3EAF-FF48-AEF5-9E080621E5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130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76200</xdr:colOff>
      <xdr:row>129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86CFE32-F455-F1F6-2708-5FA3D9A77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511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76200</xdr:colOff>
      <xdr:row>142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4B80F02-F255-1EBF-EA19-EAAA0F75B2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740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F07B347-706B-4EB4-BBD2-609214947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AD1FDA7-2166-42FC-BC90-1E2D545987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791C43E-5175-406F-92A9-94E3A3531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D97E90-34DF-B0FD-ECA3-58C34CAB6F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9C3A49E-710C-1349-8D5D-A42A38E9D1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E5C7B85-BF39-0891-F2A6-8F8C3FC05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794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3CDB3BA-E165-1143-74C1-2A86DCFFAE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737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C88A939-43C2-AE8B-DCA5-C0FD42A36F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18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1E6ABD5-858C-9D2A-1FE7-C28F371C2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53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ECAA30A-62C1-04D1-67B2-2C2A5B94F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034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76200</xdr:colOff>
      <xdr:row>127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E32A424-41A2-8CF5-AF08-42E9BA039C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54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76200</xdr:colOff>
      <xdr:row>129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CA066F1-AFB2-4DE2-BE14-EBF36EB9F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76200</xdr:colOff>
      <xdr:row>142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A07E59E-2CB7-FAEC-08D8-D4FA88074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702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F36B943-0B37-49A7-B5EB-015459356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CCBE21D-8A75-4AAF-82B9-AE7D6FC912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04839F2-724B-4190-9E99-CD0C1B903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B6AB49-DECD-7A15-1B24-2FD5568669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74D0A2-8448-2E79-AB97-B5D7520DE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76200</xdr:colOff>
      <xdr:row>62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AEC4A5-4DE9-D834-1EB5-7DC960555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584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68A27AD-F4BC-5AFB-6462-DEE2746B8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909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F67ED4-C67C-5274-5636-10AA8507CC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76200</xdr:colOff>
      <xdr:row>112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F7743C4-EFFA-8671-15C3-C05C33BCE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62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76200</xdr:colOff>
      <xdr:row>114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8639063-D6F0-F101-C9A6-B3399BAE59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443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76200</xdr:colOff>
      <xdr:row>126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45A7F60-C4A5-3143-917A-733B4E7F0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615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244FE55-3424-D9D7-4115-88D1C79D6C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96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76200</xdr:colOff>
      <xdr:row>141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2C7220F-A570-62DD-B78D-43FCFFB72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225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5D05FCC-04B2-4ACD-A35D-3971FC780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E5CABC2-073B-45AA-A3CB-CA50EB94A8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8530192-B2CC-49D0-98ED-5C2F52880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D5CB71B-867E-32A9-4AA4-9F26C15D8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D39EA0-1790-A88E-048A-BC66237EAF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76200</xdr:colOff>
      <xdr:row>66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9C4355C-9CA4-31B8-4F9D-44DFD8B007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718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DFD66F-148D-33D3-FBFA-4E1A622A9B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8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D02B15-80D9-FCBB-66A2-51EF3F0B2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6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76200</xdr:colOff>
      <xdr:row>114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8FD5933-EFAC-3CFA-F049-B424F826F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53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0</xdr:col>
      <xdr:colOff>76200</xdr:colOff>
      <xdr:row>116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36638D4-6BBD-DD52-9772-5300B33C1C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034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76200</xdr:colOff>
      <xdr:row>129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32F8085-9D86-4AFC-3818-3E1E88F52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511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76200</xdr:colOff>
      <xdr:row>131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A487DF5-ADB5-AF65-D38C-96FFF683A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892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76200</xdr:colOff>
      <xdr:row>141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EF0207C-A502-9803-DB8C-D2947A992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90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6310930-E8CB-476F-9668-30B86B2FB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22CAC77-391E-407F-A529-60908FA9C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D394DC42-9E87-4B41-B56C-CADDA81764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C7E027-27E6-72A1-A6A3-342E530029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D6ABBF-6D58-E20F-80F4-51A8E2D58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76200</xdr:colOff>
      <xdr:row>58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1E6117B-D1AD-6DF5-D76C-158EC83FD4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250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9DF6B42-B91F-059F-E9E4-97AD23BB94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528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4E304D3-3C9A-8F2D-137F-117B48B44A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909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EC5AE70-0489-C0C7-68F7-14B29DC2B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235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2543BF4-2163-46AA-85B0-3543C481B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E782D81-58AF-4978-9B1A-6DA05A853C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2B53FAC-33E1-48E6-A4A7-8F4CA59667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33A730-9F1D-7412-786F-0F4882ABE0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907D89-9168-3D83-6B30-98E8654E31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76200</xdr:colOff>
      <xdr:row>55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0EBAEFB-7536-2CA4-17AE-4554D83F4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85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C7F2EB1-7C2A-811C-7253-96225A0175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889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B4130DA-4723-7ACA-56C8-10E155216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270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481E5F5-6698-7A4D-D51F-BF92FED04E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749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B4F87F4-3EA3-4B95-8D26-74A983A20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7F2C0E3-66A6-421B-BC31-D3FBD6B03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30C93DB-C4DB-434E-A0E4-16B812565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7AA959-722F-9E18-0BD3-D1AFCE1683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98D06F-0F7A-308F-CFA0-E3683D2E7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76200</xdr:colOff>
      <xdr:row>68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32502F5-8FA5-8B9D-88C8-1857248152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784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9600A91-1268-6ACD-FAEE-E2543A320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966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710383D-D02A-DA82-A275-DCE7787164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47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76200</xdr:colOff>
      <xdr:row>142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609A6C-3A81-61E9-5523-052849A60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397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F1AE88F-976E-47B6-989D-CB7F582D8C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F08C042-074A-4081-9FB3-E52E15CA2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16810F8-244C-4A1F-ACBC-F114162A7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5B6179-F7CE-0419-8BB2-AB0DBD58D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4752A2-E195-E8EE-4E3B-0229130BB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76200</xdr:colOff>
      <xdr:row>57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0B0CB2-BFBE-D0BE-7A4B-AA873C988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117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ADBBDD0-8DC2-68F8-9D61-FF27AE15E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584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489F9CB-7CB3-D1B4-8308-5EBA81948D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965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5A405E-AB1F-714E-D28C-3B207687E2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54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78FAB6E-5ACD-4FC1-8132-819089B07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CA9CAC2-0952-435F-B099-A851F92B7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9CAE903-DD89-4FB1-B4D7-4843F1A5A6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F8FF03-F1A6-7E9B-CFC6-C80F61985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4DCC65-4F17-62C7-2019-08FA67B66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76200</xdr:colOff>
      <xdr:row>62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889BC8-DEA6-5E76-813D-3723013382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42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0067D14-CCF2-1B53-0266-C283EE207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975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DC3E9A1-8F57-F6EF-5586-6D8079E86E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356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7534919-E416-A449-41D5-63E2F05692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29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76200</xdr:colOff>
      <xdr:row>136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B0C826-2A6C-1E30-134F-D49370F2A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67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24954A-37B4-4969-899F-FC0CB013D4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E40F8B0-61DF-450F-8AD6-9E654EC6B7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5830195-E2FC-4E28-AF32-5CE040FC6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DF5A86-681B-32E4-7097-812609A962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C0AE0-D2BB-74D4-AD62-E04304A3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76200</xdr:colOff>
      <xdr:row>59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99833EC-AC7B-D5F0-8517-2C02EC57C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36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76200</xdr:colOff>
      <xdr:row>61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9D81D38-63F7-FA34-301A-BE80C6E169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17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C58AE55-2398-5756-C656-C858DE9DBB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413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E27E1B-0B34-20EC-0AE4-580F6B0FC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794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A7CDC25-4720-D8F5-92BE-4A5731908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730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69AEBD1-F4AB-4FCE-BBBA-636F4B1F2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ADBE789-7180-4535-9281-1DAB9F600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E5F419-2951-4316-A3F4-64255EDEE8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73BF66-6871-2CDA-A0CF-1FE3337073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03E723-3612-425D-E7C5-E21AF6F696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76200</xdr:colOff>
      <xdr:row>68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7663182-D77C-F717-6AB1-FEAD2AF0E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365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76200</xdr:colOff>
      <xdr:row>70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F60222A-7786-5D9F-44F6-5E1F192FB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746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8D83FA2-BE50-6085-5180-588FECF0CD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737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FF7206D-C92F-D91A-2026-F3373BF266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18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3F7CCF2-D1BB-BA0B-DC9C-78B8FC90B5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787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8539E3-B252-4ED1-BFAE-ED828F179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B28B424-7E88-49D9-A1A7-DF41183F2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AFC46E5-2584-40F0-BB8D-44B50EF25D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BE094AE-F4F8-6B87-23C8-C9929857ED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2533609-2C4B-D8FB-F9CA-D1F24B02B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CC3845-A78E-B7BA-CA40-17EDAA835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813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6C1F0C8-8FE5-1445-4CE7-C5CB900E8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328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BFD7024-0251-F7F5-BC61-236AB258E3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709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B55B631-EB70-871C-B94E-6981BDD3B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24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F80F428-A8F7-9210-BE6B-A0C0B80AF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624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76200</xdr:colOff>
      <xdr:row>130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9D5039F-CC0C-8198-D320-3B3DFE6F8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844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76200</xdr:colOff>
      <xdr:row>132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2F78355-A16C-FAE4-5F96-E61D9FB361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225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76200</xdr:colOff>
      <xdr:row>145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A83E1BA-A11E-4B42-1D6C-7DF8958E0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454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147</xdr:row>
      <xdr:rowOff>0</xdr:rowOff>
    </xdr:from>
    <xdr:to>
      <xdr:col>0</xdr:col>
      <xdr:colOff>76200</xdr:colOff>
      <xdr:row>147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CB11374-FEED-B561-1AFE-72C099BF6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835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6333097-7146-49D6-9CD0-18A383B22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1B40930-099E-4281-A5F5-D6805F5E22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9B4BBF9-2A32-4FB0-B643-7AB4CCADD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2F8CB35-1DD7-B523-BC8D-5E38A248B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68E4A19-0EB0-DB7F-12E3-16DDC35D5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0</xdr:col>
      <xdr:colOff>76200</xdr:colOff>
      <xdr:row>69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28032D-DF46-33CB-7077-AC686E2C9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242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4BFDF3-E4AE-A1CC-D57B-42CF0E26C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23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25743EF-517E-FFC7-E032-61555CC40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14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76200</xdr:colOff>
      <xdr:row>112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9C68D3C-6845-3519-8F34-26C10CDD3F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386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76200</xdr:colOff>
      <xdr:row>114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133CADD-8A56-D66E-AD6C-72F0C96291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67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76200</xdr:colOff>
      <xdr:row>126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58E0315-C4F4-C8B0-5DEB-2286424F40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939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239E63A-F657-C42D-6922-6D1C89F27A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320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0</xdr:col>
      <xdr:colOff>76200</xdr:colOff>
      <xdr:row>141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333000D-AE10-256B-05F1-ED320F7530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549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4D7BE3A-66A6-4791-A552-C803641473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05F6F21-D84B-42D6-B7C3-4C8246BBAD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1AB9E13-9017-43D3-AE87-DEE83B2FE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230EBD-2343-AE3A-C7BF-FC6A3EC63A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E0A1BB-2367-9747-F596-223F455D63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4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15C856-B6D7-BE6B-F6B4-B3479BF31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641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8C07B0-4F38-7410-9F20-4AB4F3E0C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775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E4C1F7A-5FCF-8AEB-D82B-6BFA19E8B1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56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D0FB859-B8F6-E208-3E0B-A124852858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91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25C3AA9-6476-0A9E-A455-9C1AEAC19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072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76200</xdr:colOff>
      <xdr:row>126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0A71C31-9EE0-6C92-ABD9-844EDB4D9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787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0223EFE-2E10-BC4B-90AB-4D95ABB1C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168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0</xdr:col>
      <xdr:colOff>76200</xdr:colOff>
      <xdr:row>140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837A3BA-B630-75A7-F95F-9E4077A3A9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09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0</xdr:col>
      <xdr:colOff>76200</xdr:colOff>
      <xdr:row>142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E721A9C-BE6B-4925-6BE4-BC2D4084E4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47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C8AB76B-DAE7-409A-955C-BBD4C12AE6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5B0110B-2A6A-4580-8CA5-BB7BF46A0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6FC7C7-F469-416E-BA90-38CF48386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CB63D05-637A-768B-4A55-321DB7801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D3EE8B-B340-C45C-82CA-57EE9D933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76200</xdr:colOff>
      <xdr:row>67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14B7425-6A72-5660-22FE-01626D829D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870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087F90-BFA4-FABF-6226-1733E98E12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4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1CA15-C9B2-B31A-B320-E41FDBD32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2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76200</xdr:colOff>
      <xdr:row>111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0B554A0-53EA-F2AB-EDD8-C91B1CE5A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93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A43AEFC-DCF5-0C1B-EB4A-D6E0F2E955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319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76200</xdr:colOff>
      <xdr:row>126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D0AC382-CB13-C173-3F94-6FFA352C4B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796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8A791B2-50A2-22A9-D581-9817FD0AF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77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76200</xdr:colOff>
      <xdr:row>145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2E6E4B5-ECF2-0B3D-C748-2CD39B1B5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78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602F2A7-FFD8-49F7-9A35-7C29E30FA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8D52ED3-620C-4E87-ACC1-37B2808647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A74C740-4E5D-4D0C-A49A-44FAC22F3E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9E0C31-FBDD-9345-F6C3-9E0606C04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A6F036-A326-DFAA-E7D7-4BA4870B76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CB3835D-C1D1-7E78-54DD-EF08C59DA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956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76200</xdr:colOff>
      <xdr:row>67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253DF1-B616-D420-DA67-75CE2EA452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337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536409-5F24-2CCC-BCB4-0EF6DA4E16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709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CC462CA-515D-4913-B821-6AD35500B6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090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76200</xdr:colOff>
      <xdr:row>129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D4A817A-8616-F220-CD2E-552D36886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777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1F10254-5187-4CB3-89F2-55C9A033B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4F2FD07-553A-4731-9E78-461705AAF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FC8FDE2-375F-46F1-B821-79BF686F55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4DE2C8-47FD-1076-F704-733F39E72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00FEDA1-8C9E-A7F3-F248-A50FDBD2CA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0</xdr:col>
      <xdr:colOff>76200</xdr:colOff>
      <xdr:row>62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71F77C-5BAC-74BC-9F85-38A284C39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85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BAB91A2-E79C-03DC-91DD-598C024A9B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747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4942581-60B7-B3CB-C885-32D9580560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128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0</xdr:col>
      <xdr:colOff>76200</xdr:colOff>
      <xdr:row>112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9475485-166E-8772-C649-6D24ABCA3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205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0</xdr:col>
      <xdr:colOff>76200</xdr:colOff>
      <xdr:row>114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40E287A-9C64-486F-85A3-4E18D38B9F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586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0</xdr:col>
      <xdr:colOff>76200</xdr:colOff>
      <xdr:row>124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1B62D0A-128D-1960-CD76-D1CF5EFD8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96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76200</xdr:colOff>
      <xdr:row>126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62DD75E-043A-43ED-92D4-8784D81C2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377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76200</xdr:colOff>
      <xdr:row>136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A92BCC5-F56D-B39C-5D56-EE0727C5E2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2425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708D4E0-E564-47E9-B0F5-B24AEFF33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81ED8AB-90DE-458F-A4E0-D1B74EE05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3462303-A5FB-4961-8BAE-C2F2151FE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D5F01F-F65E-420E-2185-A37D45446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C211065-4E02-D15C-61EC-355161CA2D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0</xdr:col>
      <xdr:colOff>76200</xdr:colOff>
      <xdr:row>58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CA4A7D-505E-F86A-1A1C-F36B051C9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298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52346FE-002E-B39D-C65F-A193CE0CA0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8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5CCACD1-8ADD-F9FD-8896-6393E21756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766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6575980-6783-1542-05A5-8BD87C11DB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9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60D260C-337C-4702-A699-20A1F7306F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49B6F76-C026-4297-86A8-F3C3C95C5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5EBE89E-0AF2-4944-95C5-A0A87F5FA7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310B9D-1099-CC32-6470-7EABC8EF2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887A5F-4185-4932-0082-5E3C0201B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76200</xdr:colOff>
      <xdr:row>66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5FF2F33-BD86-4872-EF27-B38A6BC41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718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76200</xdr:colOff>
      <xdr:row>68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27D9AC-76E2-319D-9489-EE09152FE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099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AA610A8-A64C-AC3E-0E5A-C93DFC94A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80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E713F02-AB14-321C-1713-02BB4404CE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6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76200</xdr:colOff>
      <xdr:row>113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D454D97-4247-BC43-B201-6F81CCF47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196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76200</xdr:colOff>
      <xdr:row>115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95BD0F6-BC08-E57C-AF39-D785C4D844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577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76200</xdr:colOff>
      <xdr:row>128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FB8DED9-2C8E-B11D-9CBC-F225954397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054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0</xdr:col>
      <xdr:colOff>76200</xdr:colOff>
      <xdr:row>130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B6705D2-2F25-7E6C-4B1B-6ABA87EA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435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0</xdr:col>
      <xdr:colOff>76200</xdr:colOff>
      <xdr:row>143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8DC41EE-F0A2-DC0F-6220-BB4F35C773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664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C10422F-4E5C-4B9F-89AB-008EC81E2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78704D6-93A3-4407-A1C9-2F9EBF231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3F1FFAF-1BB9-4EFD-9AFC-D49E7B055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06C608-7A79-2BE2-664A-1DF11D5D73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A3BC1D5-8935-4141-FD38-3B72698258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0</xdr:col>
      <xdr:colOff>76200</xdr:colOff>
      <xdr:row>65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1A2AC6B-CE87-CB9D-8388-32811D3F7B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2989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1EFC5F-941A-4CE8-405A-C26E142C2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242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52B8157-EBAD-C81F-D021-BA920CF41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62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76200</xdr:colOff>
      <xdr:row>133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D91464D-A5C6-6A23-B9E8-77B238257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254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C0E682C-C23A-443D-962D-1B7CABE74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1982508-7333-470D-A012-A27B51430D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AB9C30E-415F-4CAF-918A-E505441D70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E5B019-075A-3FA8-9C96-A365C2ADA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20FF71-7283-2CD3-4699-251C1A0BE6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76200</xdr:colOff>
      <xdr:row>67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F67139A-45F6-6B0F-2163-EADE5853E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6D6788-44BC-7F08-CAB1-E11A871DB2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5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AB22EE4-104E-F8BB-E985-31220E7069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233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573A098-B024-1E09-08F1-04D2D2810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47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714F539-561C-4695-B5E0-C06951E31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D30569E-DFDC-45B0-B948-9780DD58CF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1680D57-F025-4A91-8DD8-CE7A5375D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9A4104-8D37-382F-E56B-39B0555C52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6A7C6E-548D-51EC-2BD9-ADAC6436C6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0</xdr:col>
      <xdr:colOff>76200</xdr:colOff>
      <xdr:row>56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9681CC8-8E22-2185-4961-E53E95EA82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660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446DEC-A5E0-13CC-9BDD-88DF6F108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318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C93E4B-FE82-56B3-29B6-F81BC0AB17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1699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76200</xdr:colOff>
      <xdr:row>137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F0B802-6D59-C9BC-E517-86A1013FD4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30733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B564E8A-E336-4DF7-ACFA-A7F6F3841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E6C5BBC-D75C-40FD-AD87-5D154238D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006109E-1C15-455E-815F-E1B8B277F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B02E52-EAC7-711E-6B6F-49324676CE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8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E393E-C217-6102-5640-11EEECE0C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2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76200</xdr:colOff>
      <xdr:row>50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4B7F255-2158-A8E3-19FC-85033225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16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76200</xdr:colOff>
      <xdr:row>52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6416786-6DC7-8297-E531-1AF3B5B58D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4978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DF624E-1FAC-B90F-7462-D2DD2FAF49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27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1256C4D-0F95-7312-558E-35A1071EB7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1084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76200</xdr:colOff>
      <xdr:row>132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DD49E34-2043-4537-5536-49694796D4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958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006718F-EC07-4980-952A-19286A48CF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E762584-080C-47BE-857C-B5A71BD979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AEABA5B-F2FB-44FF-B9D5-D8B7CD6032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133BFD-70E7-584C-848F-B16F2E4BC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52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5F4AD6-67BA-5D12-8D78-618A6B678A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336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76200</xdr:colOff>
      <xdr:row>61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0250F36-A275-D9D8-234A-CD41B4960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03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71D1E0-462D-9ED4-4C70-E3B40A24B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384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0</xdr:col>
      <xdr:colOff>76200</xdr:colOff>
      <xdr:row>92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59295C8-B80E-D09A-0E15-B81435952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090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0</xdr:col>
      <xdr:colOff>76200</xdr:colOff>
      <xdr:row>94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C2BCEC1-72CB-4D05-57B4-0BB2C0F35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4711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76200</xdr:colOff>
      <xdr:row>134</xdr:row>
      <xdr:rowOff>76200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D9567D9-ACF6-A308-ACBC-5E501663DC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102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76200</xdr:colOff>
      <xdr:row>136</xdr:row>
      <xdr:rowOff>76200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CEC1690-7EBC-853B-7563-805C36AF6F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4483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F4BF70D-00E7-416D-80D1-B2A194AF29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76200</xdr:colOff>
      <xdr:row>3</xdr:row>
      <xdr:rowOff>76200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B0F7ED3-74F2-4F1F-9639-F7C21F72E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5715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76200</xdr:colOff>
      <xdr:row>43</xdr:row>
      <xdr:rowOff>76200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5A0A4D6-6F97-42A4-AFB6-ABA6E5C15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86487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FF699-B0FC-4FEB-B40B-65C241BC4D7F}">
  <sheetPr codeName="Sheet37"/>
  <dimension ref="A1:BS166"/>
  <sheetViews>
    <sheetView tabSelected="1" zoomScale="115" zoomScaleNormal="115" workbookViewId="0">
      <selection activeCell="A172" sqref="A172"/>
    </sheetView>
  </sheetViews>
  <sheetFormatPr defaultRowHeight="15" x14ac:dyDescent="0.25"/>
  <cols>
    <col min="1" max="1" width="41.5703125" bestFit="1" customWidth="1"/>
  </cols>
  <sheetData>
    <row r="1" spans="1:71" x14ac:dyDescent="0.25">
      <c r="A1" t="s">
        <v>171</v>
      </c>
      <c r="B1" t="s">
        <v>2</v>
      </c>
      <c r="C1" t="s">
        <v>170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16</v>
      </c>
      <c r="K1" t="s">
        <v>17</v>
      </c>
      <c r="L1" t="s">
        <v>18</v>
      </c>
      <c r="M1" t="s">
        <v>19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45</v>
      </c>
      <c r="AK1" t="s">
        <v>46</v>
      </c>
      <c r="AL1" t="s">
        <v>47</v>
      </c>
      <c r="AM1" t="s">
        <v>62</v>
      </c>
      <c r="AN1" t="s">
        <v>63</v>
      </c>
      <c r="AO1" t="s">
        <v>64</v>
      </c>
      <c r="AP1" t="s">
        <v>66</v>
      </c>
      <c r="AQ1" t="s">
        <v>68</v>
      </c>
      <c r="AR1" t="s">
        <v>70</v>
      </c>
      <c r="AS1" t="s">
        <v>71</v>
      </c>
      <c r="AT1" t="s">
        <v>72</v>
      </c>
      <c r="AU1" t="s">
        <v>73</v>
      </c>
      <c r="AV1" t="s">
        <v>74</v>
      </c>
      <c r="AW1" t="s">
        <v>75</v>
      </c>
      <c r="AX1" t="s">
        <v>76</v>
      </c>
      <c r="AY1" t="s">
        <v>77</v>
      </c>
      <c r="AZ1" t="s">
        <v>78</v>
      </c>
      <c r="BA1" t="s">
        <v>79</v>
      </c>
      <c r="BB1" t="s">
        <v>80</v>
      </c>
      <c r="BC1" t="s">
        <v>81</v>
      </c>
      <c r="BD1" t="s">
        <v>82</v>
      </c>
      <c r="BE1" t="s">
        <v>83</v>
      </c>
      <c r="BF1" t="s">
        <v>84</v>
      </c>
      <c r="BG1" t="s">
        <v>85</v>
      </c>
      <c r="BH1" t="s">
        <v>87</v>
      </c>
      <c r="BI1" t="s">
        <v>88</v>
      </c>
      <c r="BJ1" t="s">
        <v>89</v>
      </c>
      <c r="BK1" t="s">
        <v>90</v>
      </c>
      <c r="BL1" t="s">
        <v>112</v>
      </c>
      <c r="BM1" t="s">
        <v>91</v>
      </c>
      <c r="BN1" t="s">
        <v>92</v>
      </c>
      <c r="BO1" t="s">
        <v>93</v>
      </c>
      <c r="BP1" t="s">
        <v>94</v>
      </c>
      <c r="BQ1" t="s">
        <v>101</v>
      </c>
      <c r="BR1" t="s">
        <v>102</v>
      </c>
      <c r="BS1" t="s">
        <v>103</v>
      </c>
    </row>
    <row r="2" spans="1:71" x14ac:dyDescent="0.25">
      <c r="A2" t="s">
        <v>0</v>
      </c>
      <c r="B2">
        <v>2</v>
      </c>
      <c r="C2">
        <v>2022</v>
      </c>
      <c r="D2">
        <v>96.42</v>
      </c>
      <c r="E2">
        <v>96.42</v>
      </c>
      <c r="F2">
        <v>1988.06</v>
      </c>
      <c r="G2">
        <v>1988.06</v>
      </c>
      <c r="H2">
        <v>2084.48</v>
      </c>
      <c r="I2">
        <v>0</v>
      </c>
      <c r="J2">
        <v>210.2</v>
      </c>
      <c r="K2">
        <v>3284.54</v>
      </c>
      <c r="L2">
        <v>3522.21</v>
      </c>
      <c r="M2">
        <v>0</v>
      </c>
      <c r="N2">
        <v>1889.66</v>
      </c>
      <c r="O2">
        <v>568.45000000000005</v>
      </c>
      <c r="P2">
        <v>138.54</v>
      </c>
      <c r="Q2">
        <v>2603.2399999999998</v>
      </c>
      <c r="R2">
        <v>8209.93</v>
      </c>
      <c r="S2">
        <v>0</v>
      </c>
      <c r="T2">
        <v>0</v>
      </c>
      <c r="U2">
        <v>2993.97</v>
      </c>
      <c r="V2">
        <v>246.23</v>
      </c>
      <c r="W2">
        <v>3240.2</v>
      </c>
      <c r="X2">
        <v>25.84</v>
      </c>
      <c r="Y2">
        <v>49.09</v>
      </c>
      <c r="Z2">
        <v>1445.34</v>
      </c>
      <c r="AA2">
        <v>5471.17</v>
      </c>
      <c r="AB2">
        <v>0</v>
      </c>
      <c r="AC2">
        <v>1580.22</v>
      </c>
      <c r="AD2">
        <v>165.27</v>
      </c>
      <c r="AE2">
        <v>735.41</v>
      </c>
      <c r="AF2">
        <v>11.85</v>
      </c>
      <c r="AG2">
        <v>182.73</v>
      </c>
      <c r="AH2">
        <v>2738.76</v>
      </c>
      <c r="AI2">
        <v>8209.93</v>
      </c>
      <c r="AJ2">
        <v>0</v>
      </c>
      <c r="AK2">
        <v>0</v>
      </c>
      <c r="AL2">
        <v>187.26</v>
      </c>
      <c r="AM2">
        <v>63.28</v>
      </c>
      <c r="AN2">
        <v>63.39</v>
      </c>
      <c r="AO2" t="s">
        <v>53</v>
      </c>
      <c r="AP2" t="s">
        <v>3</v>
      </c>
      <c r="AQ2">
        <v>14633.72</v>
      </c>
      <c r="AR2">
        <v>14633.72</v>
      </c>
      <c r="AS2">
        <v>75.69</v>
      </c>
      <c r="AT2">
        <v>14709.41</v>
      </c>
      <c r="AU2">
        <v>120.11</v>
      </c>
      <c r="AV2">
        <v>14829.52</v>
      </c>
      <c r="AW2">
        <v>0</v>
      </c>
      <c r="AX2">
        <v>6154.1</v>
      </c>
      <c r="AY2">
        <v>227.52</v>
      </c>
      <c r="AZ2">
        <v>-62.7</v>
      </c>
      <c r="BA2">
        <v>1521.3</v>
      </c>
      <c r="BB2">
        <v>201.19</v>
      </c>
      <c r="BC2">
        <v>-23.95</v>
      </c>
      <c r="BD2">
        <v>390.19</v>
      </c>
      <c r="BE2">
        <v>3301.6</v>
      </c>
      <c r="BF2">
        <v>11709.25</v>
      </c>
      <c r="BG2">
        <v>3120.27</v>
      </c>
      <c r="BH2">
        <v>2883.77</v>
      </c>
      <c r="BI2">
        <v>0</v>
      </c>
      <c r="BJ2">
        <v>744.39</v>
      </c>
      <c r="BK2">
        <v>-5.48</v>
      </c>
      <c r="BL2" t="e">
        <v>#N/A</v>
      </c>
      <c r="BM2">
        <v>738.91</v>
      </c>
      <c r="BN2">
        <v>2144.86</v>
      </c>
      <c r="BO2">
        <v>2144.86</v>
      </c>
      <c r="BP2">
        <v>2144.86</v>
      </c>
      <c r="BQ2">
        <v>1928.31</v>
      </c>
      <c r="BR2">
        <v>0</v>
      </c>
      <c r="BS2">
        <v>2000</v>
      </c>
    </row>
    <row r="3" spans="1:71" x14ac:dyDescent="0.25">
      <c r="A3" t="s">
        <v>0</v>
      </c>
      <c r="B3">
        <v>3</v>
      </c>
      <c r="C3">
        <v>2021</v>
      </c>
      <c r="D3">
        <v>96.42</v>
      </c>
      <c r="E3">
        <v>96.42</v>
      </c>
      <c r="F3">
        <v>1922.92</v>
      </c>
      <c r="G3">
        <v>1922.92</v>
      </c>
      <c r="H3">
        <v>2019.34</v>
      </c>
      <c r="I3">
        <v>0</v>
      </c>
      <c r="J3">
        <v>87.85</v>
      </c>
      <c r="K3">
        <v>3268.27</v>
      </c>
      <c r="L3">
        <v>3387.84</v>
      </c>
      <c r="M3">
        <v>0</v>
      </c>
      <c r="N3">
        <v>1809.01</v>
      </c>
      <c r="O3">
        <v>574.46</v>
      </c>
      <c r="P3">
        <v>105.96</v>
      </c>
      <c r="Q3">
        <v>2492.5500000000002</v>
      </c>
      <c r="R3">
        <v>7899.73</v>
      </c>
      <c r="S3">
        <v>0</v>
      </c>
      <c r="T3">
        <v>0</v>
      </c>
      <c r="U3">
        <v>2179.41</v>
      </c>
      <c r="V3">
        <v>638.58000000000004</v>
      </c>
      <c r="W3">
        <v>2817.99</v>
      </c>
      <c r="X3">
        <v>19.920000000000002</v>
      </c>
      <c r="Y3">
        <v>46.55</v>
      </c>
      <c r="Z3">
        <v>89.36</v>
      </c>
      <c r="AA3">
        <v>3714.65</v>
      </c>
      <c r="AB3">
        <v>0</v>
      </c>
      <c r="AC3">
        <v>1416.48</v>
      </c>
      <c r="AD3">
        <v>164.93</v>
      </c>
      <c r="AE3">
        <v>1769.87</v>
      </c>
      <c r="AF3">
        <v>13.22</v>
      </c>
      <c r="AG3">
        <v>97.64</v>
      </c>
      <c r="AH3">
        <v>4185.08</v>
      </c>
      <c r="AI3">
        <v>7899.73</v>
      </c>
      <c r="AJ3">
        <v>0</v>
      </c>
      <c r="AK3">
        <v>0</v>
      </c>
      <c r="AL3">
        <v>315.39999999999998</v>
      </c>
      <c r="AM3">
        <v>722.94</v>
      </c>
      <c r="AN3">
        <v>722.94</v>
      </c>
      <c r="AO3" t="s">
        <v>53</v>
      </c>
      <c r="AP3">
        <v>0</v>
      </c>
      <c r="AQ3">
        <v>13290.16</v>
      </c>
      <c r="AR3">
        <v>13290.16</v>
      </c>
      <c r="AS3">
        <v>59.87</v>
      </c>
      <c r="AT3">
        <v>13350.03</v>
      </c>
      <c r="AU3">
        <v>145.85</v>
      </c>
      <c r="AV3">
        <v>13495.88</v>
      </c>
      <c r="AW3">
        <v>0</v>
      </c>
      <c r="AX3">
        <v>5554.24</v>
      </c>
      <c r="AY3">
        <v>189</v>
      </c>
      <c r="AZ3">
        <v>-69.33</v>
      </c>
      <c r="BA3">
        <v>1500.95</v>
      </c>
      <c r="BB3">
        <v>164.18</v>
      </c>
      <c r="BC3">
        <v>13.97</v>
      </c>
      <c r="BD3">
        <v>370.38</v>
      </c>
      <c r="BE3">
        <v>2959.7</v>
      </c>
      <c r="BF3">
        <v>10683.09</v>
      </c>
      <c r="BG3">
        <v>2812.79</v>
      </c>
      <c r="BH3">
        <v>2812.79</v>
      </c>
      <c r="BI3">
        <v>0</v>
      </c>
      <c r="BJ3">
        <v>763.42</v>
      </c>
      <c r="BK3">
        <v>-33.06</v>
      </c>
      <c r="BL3" t="e">
        <v>#N/A</v>
      </c>
      <c r="BM3">
        <v>730.36</v>
      </c>
      <c r="BN3">
        <v>2082.4299999999998</v>
      </c>
      <c r="BO3">
        <v>2082.4299999999998</v>
      </c>
      <c r="BP3">
        <v>2082.4299999999998</v>
      </c>
      <c r="BQ3">
        <v>1889.75</v>
      </c>
      <c r="BR3">
        <v>0</v>
      </c>
      <c r="BS3">
        <v>2000</v>
      </c>
    </row>
    <row r="4" spans="1:71" x14ac:dyDescent="0.25">
      <c r="A4" t="s">
        <v>0</v>
      </c>
      <c r="B4">
        <v>4</v>
      </c>
      <c r="C4">
        <v>2020</v>
      </c>
      <c r="D4">
        <v>96.42</v>
      </c>
      <c r="E4">
        <v>96.42</v>
      </c>
      <c r="F4">
        <v>1822.45</v>
      </c>
      <c r="G4">
        <v>1822.45</v>
      </c>
      <c r="H4">
        <v>1918.87</v>
      </c>
      <c r="I4">
        <v>0</v>
      </c>
      <c r="J4">
        <v>90.03</v>
      </c>
      <c r="K4">
        <v>2906.91</v>
      </c>
      <c r="L4">
        <v>3063.52</v>
      </c>
      <c r="M4">
        <v>0</v>
      </c>
      <c r="N4">
        <v>1626.58</v>
      </c>
      <c r="O4">
        <v>478.51</v>
      </c>
      <c r="P4">
        <v>85.46</v>
      </c>
      <c r="Q4">
        <v>2190.5500000000002</v>
      </c>
      <c r="R4">
        <v>7172.94</v>
      </c>
      <c r="S4">
        <v>0</v>
      </c>
      <c r="T4">
        <v>0</v>
      </c>
      <c r="U4">
        <v>2341.4499999999998</v>
      </c>
      <c r="V4">
        <v>143.30000000000001</v>
      </c>
      <c r="W4">
        <v>2484.75</v>
      </c>
      <c r="X4">
        <v>0</v>
      </c>
      <c r="Y4">
        <v>46.98</v>
      </c>
      <c r="Z4">
        <v>80.44</v>
      </c>
      <c r="AA4">
        <v>3355.77</v>
      </c>
      <c r="AB4">
        <v>0</v>
      </c>
      <c r="AC4">
        <v>1283.07</v>
      </c>
      <c r="AD4">
        <v>124.33</v>
      </c>
      <c r="AE4">
        <v>1308.05</v>
      </c>
      <c r="AF4">
        <v>12.46</v>
      </c>
      <c r="AG4">
        <v>81.81</v>
      </c>
      <c r="AH4">
        <v>3817.17</v>
      </c>
      <c r="AI4">
        <v>7172.94</v>
      </c>
      <c r="AJ4">
        <v>0</v>
      </c>
      <c r="AK4">
        <v>0</v>
      </c>
      <c r="AL4">
        <v>394.48</v>
      </c>
      <c r="AM4">
        <v>1007.45</v>
      </c>
      <c r="AN4">
        <v>1007.39</v>
      </c>
      <c r="AO4" t="s">
        <v>53</v>
      </c>
      <c r="AP4">
        <v>0</v>
      </c>
      <c r="AQ4">
        <v>12295.27</v>
      </c>
      <c r="AR4">
        <v>12295.27</v>
      </c>
      <c r="AS4">
        <v>73.63</v>
      </c>
      <c r="AT4">
        <v>12368.9</v>
      </c>
      <c r="AU4">
        <v>246.88</v>
      </c>
      <c r="AV4">
        <v>12615.78</v>
      </c>
      <c r="AW4">
        <v>0</v>
      </c>
      <c r="AX4">
        <v>5150.3</v>
      </c>
      <c r="AY4">
        <v>217.81</v>
      </c>
      <c r="AZ4">
        <v>-144.19</v>
      </c>
      <c r="BA4">
        <v>1258.17</v>
      </c>
      <c r="BB4">
        <v>129.12</v>
      </c>
      <c r="BC4">
        <v>24.88</v>
      </c>
      <c r="BD4">
        <v>370.15</v>
      </c>
      <c r="BE4">
        <v>2936.05</v>
      </c>
      <c r="BF4">
        <v>9942.2900000000009</v>
      </c>
      <c r="BG4">
        <v>2673.49</v>
      </c>
      <c r="BH4">
        <v>2673.49</v>
      </c>
      <c r="BI4">
        <v>0</v>
      </c>
      <c r="BJ4">
        <v>747</v>
      </c>
      <c r="BK4">
        <v>-41.95</v>
      </c>
      <c r="BL4" t="e">
        <v>#N/A</v>
      </c>
      <c r="BM4">
        <v>705.05</v>
      </c>
      <c r="BN4">
        <v>1968.44</v>
      </c>
      <c r="BO4">
        <v>1968.44</v>
      </c>
      <c r="BP4">
        <v>1968.44</v>
      </c>
      <c r="BQ4">
        <v>2950.32</v>
      </c>
      <c r="BR4">
        <v>605.94000000000005</v>
      </c>
      <c r="BS4">
        <v>3420</v>
      </c>
    </row>
    <row r="5" spans="1:71" x14ac:dyDescent="0.25">
      <c r="A5" t="s">
        <v>0</v>
      </c>
      <c r="B5">
        <v>5</v>
      </c>
      <c r="C5">
        <v>2019</v>
      </c>
      <c r="D5">
        <v>96.42</v>
      </c>
      <c r="E5">
        <v>96.42</v>
      </c>
      <c r="F5">
        <v>3577.32</v>
      </c>
      <c r="G5">
        <v>3577.32</v>
      </c>
      <c r="H5">
        <v>3673.74</v>
      </c>
      <c r="I5">
        <v>0</v>
      </c>
      <c r="J5">
        <v>0.51</v>
      </c>
      <c r="K5">
        <v>2464.92</v>
      </c>
      <c r="L5">
        <v>2559.39</v>
      </c>
      <c r="M5">
        <v>0</v>
      </c>
      <c r="N5">
        <v>1240.3699999999999</v>
      </c>
      <c r="O5">
        <v>457.32</v>
      </c>
      <c r="P5">
        <v>157.26</v>
      </c>
      <c r="Q5">
        <v>1854.95</v>
      </c>
      <c r="R5">
        <v>8088.08</v>
      </c>
      <c r="S5">
        <v>0</v>
      </c>
      <c r="T5">
        <v>0</v>
      </c>
      <c r="U5">
        <v>2400.62</v>
      </c>
      <c r="V5">
        <v>105.2</v>
      </c>
      <c r="W5">
        <v>2505.8200000000002</v>
      </c>
      <c r="X5">
        <v>0</v>
      </c>
      <c r="Y5">
        <v>40.14</v>
      </c>
      <c r="Z5">
        <v>71.81</v>
      </c>
      <c r="AA5">
        <v>3351.13</v>
      </c>
      <c r="AB5">
        <v>0</v>
      </c>
      <c r="AC5">
        <v>965.55</v>
      </c>
      <c r="AD5">
        <v>124.59</v>
      </c>
      <c r="AE5">
        <v>1610.06</v>
      </c>
      <c r="AF5">
        <v>17.89</v>
      </c>
      <c r="AG5">
        <v>93.73</v>
      </c>
      <c r="AH5">
        <v>4736.95</v>
      </c>
      <c r="AI5">
        <v>8088.08</v>
      </c>
      <c r="AJ5">
        <v>0</v>
      </c>
      <c r="AK5">
        <v>0</v>
      </c>
      <c r="AL5">
        <v>47.91</v>
      </c>
      <c r="AM5">
        <v>1925.13</v>
      </c>
      <c r="AN5">
        <v>1925.13</v>
      </c>
      <c r="AO5" t="s">
        <v>53</v>
      </c>
      <c r="AP5">
        <v>0</v>
      </c>
      <c r="AQ5">
        <v>11216.23</v>
      </c>
      <c r="AR5">
        <v>11216.23</v>
      </c>
      <c r="AS5">
        <v>76.040000000000006</v>
      </c>
      <c r="AT5">
        <v>11292.27</v>
      </c>
      <c r="AU5">
        <v>258.92</v>
      </c>
      <c r="AV5">
        <v>11551.19</v>
      </c>
      <c r="AW5">
        <v>0</v>
      </c>
      <c r="AX5">
        <v>4365.68</v>
      </c>
      <c r="AY5">
        <v>230.56</v>
      </c>
      <c r="AZ5">
        <v>-6.01</v>
      </c>
      <c r="BA5">
        <v>1124.1500000000001</v>
      </c>
      <c r="BB5">
        <v>111.95</v>
      </c>
      <c r="BC5">
        <v>103.68</v>
      </c>
      <c r="BD5">
        <v>335.67</v>
      </c>
      <c r="BE5">
        <v>2856.56</v>
      </c>
      <c r="BF5">
        <v>9122.24</v>
      </c>
      <c r="BG5">
        <v>2428.9499999999998</v>
      </c>
      <c r="BH5">
        <v>2428.9499999999998</v>
      </c>
      <c r="BI5">
        <v>0</v>
      </c>
      <c r="BJ5">
        <v>884.87</v>
      </c>
      <c r="BK5">
        <v>-62.85</v>
      </c>
      <c r="BL5" t="e">
        <v>#N/A</v>
      </c>
      <c r="BM5">
        <v>822.02</v>
      </c>
      <c r="BN5">
        <v>1606.93</v>
      </c>
      <c r="BO5">
        <v>1606.93</v>
      </c>
      <c r="BP5">
        <v>1606.93</v>
      </c>
      <c r="BQ5">
        <v>1089.5</v>
      </c>
      <c r="BR5">
        <v>223.87</v>
      </c>
      <c r="BS5">
        <v>1150</v>
      </c>
    </row>
    <row r="6" spans="1:71" x14ac:dyDescent="0.25">
      <c r="A6" t="s">
        <v>0</v>
      </c>
      <c r="B6">
        <v>6</v>
      </c>
      <c r="C6">
        <v>2018</v>
      </c>
      <c r="D6">
        <v>96.42</v>
      </c>
      <c r="E6">
        <v>96.42</v>
      </c>
      <c r="F6">
        <v>3324.17</v>
      </c>
      <c r="G6">
        <v>3324.17</v>
      </c>
      <c r="H6">
        <v>3420.59</v>
      </c>
      <c r="I6">
        <v>0</v>
      </c>
      <c r="J6">
        <v>0.6</v>
      </c>
      <c r="K6">
        <v>2291.59</v>
      </c>
      <c r="L6">
        <v>2449.29</v>
      </c>
      <c r="M6">
        <v>0</v>
      </c>
      <c r="N6">
        <v>984.64</v>
      </c>
      <c r="O6">
        <v>420.61</v>
      </c>
      <c r="P6">
        <v>87.46</v>
      </c>
      <c r="Q6">
        <v>1492.71</v>
      </c>
      <c r="R6">
        <v>7362.59</v>
      </c>
      <c r="S6">
        <v>0</v>
      </c>
      <c r="T6">
        <v>0</v>
      </c>
      <c r="U6">
        <v>2616.1799999999998</v>
      </c>
      <c r="V6">
        <v>94.16</v>
      </c>
      <c r="W6">
        <v>2710.34</v>
      </c>
      <c r="X6">
        <v>0</v>
      </c>
      <c r="Y6">
        <v>46.35</v>
      </c>
      <c r="Z6">
        <v>83.23</v>
      </c>
      <c r="AA6">
        <v>3425.2</v>
      </c>
      <c r="AB6">
        <v>0</v>
      </c>
      <c r="AC6">
        <v>902.47</v>
      </c>
      <c r="AD6">
        <v>88.97</v>
      </c>
      <c r="AE6">
        <v>1457.42</v>
      </c>
      <c r="AF6">
        <v>28.8</v>
      </c>
      <c r="AG6">
        <v>66.14</v>
      </c>
      <c r="AH6">
        <v>3937.39</v>
      </c>
      <c r="AI6">
        <v>7362.59</v>
      </c>
      <c r="AJ6">
        <v>0</v>
      </c>
      <c r="AK6">
        <v>0</v>
      </c>
      <c r="AL6">
        <v>32.24</v>
      </c>
      <c r="AM6">
        <v>1393.59</v>
      </c>
      <c r="AN6">
        <v>1393.46</v>
      </c>
      <c r="AO6" t="s">
        <v>53</v>
      </c>
      <c r="AP6">
        <v>0</v>
      </c>
      <c r="AQ6">
        <v>10135.11</v>
      </c>
      <c r="AR6">
        <v>9952.5300000000007</v>
      </c>
      <c r="AS6">
        <v>57.07</v>
      </c>
      <c r="AT6">
        <v>10009.6</v>
      </c>
      <c r="AU6">
        <v>176.92</v>
      </c>
      <c r="AV6">
        <v>10186.52</v>
      </c>
      <c r="AW6">
        <v>0</v>
      </c>
      <c r="AX6">
        <v>4231.66</v>
      </c>
      <c r="AY6">
        <v>174.76</v>
      </c>
      <c r="AZ6">
        <v>-79.56</v>
      </c>
      <c r="BA6">
        <v>1017.45</v>
      </c>
      <c r="BB6">
        <v>91.9</v>
      </c>
      <c r="BC6">
        <v>87.65</v>
      </c>
      <c r="BD6">
        <v>342.25</v>
      </c>
      <c r="BE6">
        <v>2481.11</v>
      </c>
      <c r="BF6">
        <v>8347.2199999999993</v>
      </c>
      <c r="BG6">
        <v>1839.3</v>
      </c>
      <c r="BH6">
        <v>1839.3</v>
      </c>
      <c r="BI6">
        <v>0</v>
      </c>
      <c r="BJ6">
        <v>649.16999999999996</v>
      </c>
      <c r="BK6">
        <v>-35.06</v>
      </c>
      <c r="BL6" t="e">
        <v>#N/A</v>
      </c>
      <c r="BM6">
        <v>614.11</v>
      </c>
      <c r="BN6">
        <v>1225.19</v>
      </c>
      <c r="BO6">
        <v>1225.19</v>
      </c>
      <c r="BP6">
        <v>1225.19</v>
      </c>
      <c r="BQ6">
        <v>829.18</v>
      </c>
      <c r="BR6">
        <v>168.77</v>
      </c>
      <c r="BS6">
        <v>860</v>
      </c>
    </row>
    <row r="7" spans="1:71" x14ac:dyDescent="0.25">
      <c r="A7" t="s">
        <v>169</v>
      </c>
      <c r="B7">
        <v>2</v>
      </c>
      <c r="C7">
        <v>2022</v>
      </c>
      <c r="D7">
        <v>23.2</v>
      </c>
      <c r="E7">
        <v>23.2</v>
      </c>
      <c r="F7">
        <v>631.16</v>
      </c>
      <c r="G7">
        <v>631.16</v>
      </c>
      <c r="H7">
        <v>657.55</v>
      </c>
      <c r="I7">
        <v>0</v>
      </c>
      <c r="J7">
        <v>14.05</v>
      </c>
      <c r="K7">
        <v>16.55</v>
      </c>
      <c r="L7">
        <v>62.45</v>
      </c>
      <c r="M7">
        <v>0</v>
      </c>
      <c r="N7">
        <v>51.87</v>
      </c>
      <c r="O7">
        <v>118.67</v>
      </c>
      <c r="P7">
        <v>8.2799999999999994</v>
      </c>
      <c r="Q7">
        <v>182.58</v>
      </c>
      <c r="R7">
        <v>902.58</v>
      </c>
      <c r="S7">
        <v>0</v>
      </c>
      <c r="T7">
        <v>0</v>
      </c>
      <c r="U7">
        <v>574.87</v>
      </c>
      <c r="V7">
        <v>7.4</v>
      </c>
      <c r="W7">
        <v>587.35</v>
      </c>
      <c r="X7" t="e">
        <v>#N/A</v>
      </c>
      <c r="Y7">
        <v>0</v>
      </c>
      <c r="Z7">
        <v>6.79</v>
      </c>
      <c r="AA7">
        <v>611.82000000000005</v>
      </c>
      <c r="AB7">
        <v>0</v>
      </c>
      <c r="AC7">
        <v>205.84</v>
      </c>
      <c r="AD7">
        <v>18.48</v>
      </c>
      <c r="AE7">
        <v>35.61</v>
      </c>
      <c r="AF7">
        <v>0.09</v>
      </c>
      <c r="AG7">
        <v>30.73</v>
      </c>
      <c r="AH7">
        <v>290.76</v>
      </c>
      <c r="AI7">
        <v>902.58</v>
      </c>
      <c r="AJ7">
        <v>0</v>
      </c>
      <c r="AK7">
        <v>0</v>
      </c>
      <c r="AL7">
        <v>14.7</v>
      </c>
      <c r="AM7">
        <v>0</v>
      </c>
      <c r="AN7" t="e">
        <v>#N/A</v>
      </c>
      <c r="AO7" t="e">
        <v>#N/A</v>
      </c>
      <c r="AP7" t="e">
        <v>#N/A</v>
      </c>
      <c r="AQ7">
        <v>2678.61</v>
      </c>
      <c r="AR7">
        <v>2678.61</v>
      </c>
      <c r="AS7">
        <v>2.67</v>
      </c>
      <c r="AT7">
        <v>2681.28</v>
      </c>
      <c r="AU7">
        <v>11.27</v>
      </c>
      <c r="AV7">
        <v>2692.55</v>
      </c>
      <c r="AW7">
        <v>0</v>
      </c>
      <c r="AX7">
        <v>2060.52</v>
      </c>
      <c r="AY7">
        <v>16.940000000000001</v>
      </c>
      <c r="AZ7">
        <v>6.01</v>
      </c>
      <c r="BA7">
        <v>184.29</v>
      </c>
      <c r="BB7">
        <v>4.01</v>
      </c>
      <c r="BC7">
        <v>0.42</v>
      </c>
      <c r="BD7">
        <v>52.18</v>
      </c>
      <c r="BE7">
        <v>222.27</v>
      </c>
      <c r="BF7">
        <v>2546.64</v>
      </c>
      <c r="BG7">
        <v>145.91999999999999</v>
      </c>
      <c r="BH7">
        <v>136.78</v>
      </c>
      <c r="BI7">
        <v>0</v>
      </c>
      <c r="BJ7">
        <v>34.36</v>
      </c>
      <c r="BK7">
        <v>-0.14000000000000001</v>
      </c>
      <c r="BL7" t="e">
        <v>#N/A</v>
      </c>
      <c r="BM7">
        <v>34.22</v>
      </c>
      <c r="BN7">
        <v>102.56</v>
      </c>
      <c r="BO7">
        <v>102.56</v>
      </c>
      <c r="BP7">
        <v>102.12</v>
      </c>
      <c r="BQ7">
        <v>34.799999999999997</v>
      </c>
      <c r="BR7">
        <v>0</v>
      </c>
      <c r="BS7" t="e">
        <v>#N/A</v>
      </c>
    </row>
    <row r="8" spans="1:71" x14ac:dyDescent="0.25">
      <c r="A8" t="s">
        <v>169</v>
      </c>
      <c r="B8">
        <v>3</v>
      </c>
      <c r="C8">
        <v>2021</v>
      </c>
      <c r="D8">
        <v>23.2</v>
      </c>
      <c r="E8">
        <v>23.2</v>
      </c>
      <c r="F8">
        <v>569.44000000000005</v>
      </c>
      <c r="G8">
        <v>569.44000000000005</v>
      </c>
      <c r="H8">
        <v>595.83000000000004</v>
      </c>
      <c r="I8">
        <v>0</v>
      </c>
      <c r="J8">
        <v>5.8</v>
      </c>
      <c r="K8">
        <v>10.37</v>
      </c>
      <c r="L8">
        <v>74.27</v>
      </c>
      <c r="M8">
        <v>0</v>
      </c>
      <c r="N8">
        <v>35.46</v>
      </c>
      <c r="O8">
        <v>157.76</v>
      </c>
      <c r="P8">
        <v>12.77</v>
      </c>
      <c r="Q8">
        <v>207.93</v>
      </c>
      <c r="R8">
        <v>878.51</v>
      </c>
      <c r="S8">
        <v>0</v>
      </c>
      <c r="T8">
        <v>0</v>
      </c>
      <c r="U8">
        <v>575.94000000000005</v>
      </c>
      <c r="V8">
        <v>15.74</v>
      </c>
      <c r="W8">
        <v>598.15</v>
      </c>
      <c r="X8" t="e">
        <v>#N/A</v>
      </c>
      <c r="Y8">
        <v>5.47</v>
      </c>
      <c r="Z8">
        <v>2.2400000000000002</v>
      </c>
      <c r="AA8">
        <v>619.04999999999995</v>
      </c>
      <c r="AB8">
        <v>0</v>
      </c>
      <c r="AC8">
        <v>198.27</v>
      </c>
      <c r="AD8">
        <v>15.22</v>
      </c>
      <c r="AE8">
        <v>23.56</v>
      </c>
      <c r="AF8">
        <v>3.68</v>
      </c>
      <c r="AG8">
        <v>18.73</v>
      </c>
      <c r="AH8">
        <v>259.45999999999998</v>
      </c>
      <c r="AI8">
        <v>878.51</v>
      </c>
      <c r="AJ8">
        <v>0</v>
      </c>
      <c r="AK8">
        <v>0</v>
      </c>
      <c r="AL8">
        <v>9.58</v>
      </c>
      <c r="AM8">
        <v>0</v>
      </c>
      <c r="AN8" t="e">
        <v>#N/A</v>
      </c>
      <c r="AO8" t="e">
        <v>#N/A</v>
      </c>
      <c r="AP8" t="e">
        <v>#N/A</v>
      </c>
      <c r="AQ8">
        <v>2472.69</v>
      </c>
      <c r="AR8">
        <v>2472.69</v>
      </c>
      <c r="AS8">
        <v>0.43</v>
      </c>
      <c r="AT8">
        <v>2473.11</v>
      </c>
      <c r="AU8">
        <v>8.0299999999999994</v>
      </c>
      <c r="AV8">
        <v>2481.15</v>
      </c>
      <c r="AW8">
        <v>0</v>
      </c>
      <c r="AX8">
        <v>1841.98</v>
      </c>
      <c r="AY8">
        <v>26.69</v>
      </c>
      <c r="AZ8">
        <v>-31.3</v>
      </c>
      <c r="BA8">
        <v>177.89</v>
      </c>
      <c r="BB8">
        <v>19.18</v>
      </c>
      <c r="BC8">
        <v>4.24</v>
      </c>
      <c r="BD8">
        <v>46.23</v>
      </c>
      <c r="BE8">
        <v>191.51</v>
      </c>
      <c r="BF8">
        <v>2276.41</v>
      </c>
      <c r="BG8">
        <v>204.73</v>
      </c>
      <c r="BH8">
        <v>204.73</v>
      </c>
      <c r="BI8">
        <v>0</v>
      </c>
      <c r="BJ8">
        <v>51.64</v>
      </c>
      <c r="BK8">
        <v>1.83</v>
      </c>
      <c r="BL8" t="e">
        <v>#N/A</v>
      </c>
      <c r="BM8">
        <v>53.47</v>
      </c>
      <c r="BN8">
        <v>151.27000000000001</v>
      </c>
      <c r="BO8">
        <v>151.27000000000001</v>
      </c>
      <c r="BP8">
        <v>150.52000000000001</v>
      </c>
      <c r="BQ8">
        <v>11.6</v>
      </c>
      <c r="BR8">
        <v>0</v>
      </c>
      <c r="BS8" t="e">
        <v>#N/A</v>
      </c>
    </row>
    <row r="9" spans="1:71" x14ac:dyDescent="0.25">
      <c r="A9" t="s">
        <v>169</v>
      </c>
      <c r="B9">
        <v>4</v>
      </c>
      <c r="C9">
        <v>2020</v>
      </c>
      <c r="D9">
        <v>23.2</v>
      </c>
      <c r="E9">
        <v>23.2</v>
      </c>
      <c r="F9">
        <v>433.2</v>
      </c>
      <c r="G9">
        <v>433.2</v>
      </c>
      <c r="H9">
        <v>459.58</v>
      </c>
      <c r="I9">
        <v>0</v>
      </c>
      <c r="J9">
        <v>4</v>
      </c>
      <c r="K9">
        <v>8.1999999999999993</v>
      </c>
      <c r="L9">
        <v>206.78</v>
      </c>
      <c r="M9">
        <v>0</v>
      </c>
      <c r="N9">
        <v>59.95</v>
      </c>
      <c r="O9">
        <v>160.05000000000001</v>
      </c>
      <c r="P9">
        <v>11.25</v>
      </c>
      <c r="Q9">
        <v>319.69</v>
      </c>
      <c r="R9">
        <v>988.21</v>
      </c>
      <c r="S9">
        <v>0</v>
      </c>
      <c r="T9">
        <v>0</v>
      </c>
      <c r="U9">
        <v>474.98</v>
      </c>
      <c r="V9">
        <v>75.72</v>
      </c>
      <c r="W9">
        <v>558.39</v>
      </c>
      <c r="X9" t="e">
        <v>#N/A</v>
      </c>
      <c r="Y9">
        <v>5.38</v>
      </c>
      <c r="Z9">
        <v>3.43</v>
      </c>
      <c r="AA9">
        <v>719.52</v>
      </c>
      <c r="AB9">
        <v>0</v>
      </c>
      <c r="AC9">
        <v>144.66999999999999</v>
      </c>
      <c r="AD9">
        <v>21.89</v>
      </c>
      <c r="AE9">
        <v>58.25</v>
      </c>
      <c r="AF9">
        <v>2.82</v>
      </c>
      <c r="AG9">
        <v>41.04</v>
      </c>
      <c r="AH9">
        <v>268.68</v>
      </c>
      <c r="AI9">
        <v>988.21</v>
      </c>
      <c r="AJ9">
        <v>0</v>
      </c>
      <c r="AK9">
        <v>0</v>
      </c>
      <c r="AL9">
        <v>31.13</v>
      </c>
      <c r="AM9">
        <v>0</v>
      </c>
      <c r="AN9" t="e">
        <v>#N/A</v>
      </c>
      <c r="AO9" t="e">
        <v>#N/A</v>
      </c>
      <c r="AP9" t="e">
        <v>#N/A</v>
      </c>
      <c r="AQ9">
        <v>2724.23</v>
      </c>
      <c r="AR9">
        <v>2724.23</v>
      </c>
      <c r="AS9">
        <v>1.68</v>
      </c>
      <c r="AT9">
        <v>2725.9</v>
      </c>
      <c r="AU9">
        <v>303.36</v>
      </c>
      <c r="AV9">
        <v>3029.26</v>
      </c>
      <c r="AW9">
        <v>0</v>
      </c>
      <c r="AX9">
        <v>2226.34</v>
      </c>
      <c r="AY9">
        <v>11.97</v>
      </c>
      <c r="AZ9">
        <v>-13.75</v>
      </c>
      <c r="BA9">
        <v>156.38999999999999</v>
      </c>
      <c r="BB9">
        <v>22.63</v>
      </c>
      <c r="BC9">
        <v>0.74</v>
      </c>
      <c r="BD9">
        <v>50.13</v>
      </c>
      <c r="BE9">
        <v>727.28</v>
      </c>
      <c r="BF9">
        <v>3181.74</v>
      </c>
      <c r="BG9">
        <v>-152.47999999999999</v>
      </c>
      <c r="BH9">
        <v>-152.47999999999999</v>
      </c>
      <c r="BI9">
        <v>0</v>
      </c>
      <c r="BJ9">
        <v>18.59</v>
      </c>
      <c r="BK9">
        <v>-3.25</v>
      </c>
      <c r="BL9" t="e">
        <v>#N/A</v>
      </c>
      <c r="BM9">
        <v>15.35</v>
      </c>
      <c r="BN9">
        <v>-167.82</v>
      </c>
      <c r="BO9">
        <v>-167.82</v>
      </c>
      <c r="BP9">
        <v>-168.5</v>
      </c>
      <c r="BQ9">
        <v>9.2799999999999994</v>
      </c>
      <c r="BR9">
        <v>1.91</v>
      </c>
      <c r="BS9" t="e">
        <v>#N/A</v>
      </c>
    </row>
    <row r="10" spans="1:71" x14ac:dyDescent="0.25">
      <c r="A10" t="s">
        <v>169</v>
      </c>
      <c r="B10">
        <v>5</v>
      </c>
      <c r="C10">
        <v>2019</v>
      </c>
      <c r="D10">
        <v>23.2</v>
      </c>
      <c r="E10">
        <v>23.2</v>
      </c>
      <c r="F10">
        <v>776.17</v>
      </c>
      <c r="G10">
        <v>776.17</v>
      </c>
      <c r="H10">
        <v>802.56</v>
      </c>
      <c r="I10">
        <v>0</v>
      </c>
      <c r="J10">
        <v>294.57</v>
      </c>
      <c r="K10">
        <v>7.16</v>
      </c>
      <c r="L10">
        <v>494.65</v>
      </c>
      <c r="M10">
        <v>0</v>
      </c>
      <c r="N10">
        <v>68.569999999999993</v>
      </c>
      <c r="O10">
        <v>154.28</v>
      </c>
      <c r="P10">
        <v>8.19</v>
      </c>
      <c r="Q10">
        <v>325.61</v>
      </c>
      <c r="R10">
        <v>1634.52</v>
      </c>
      <c r="S10">
        <v>0</v>
      </c>
      <c r="T10">
        <v>0</v>
      </c>
      <c r="U10">
        <v>464.7</v>
      </c>
      <c r="V10">
        <v>41.79</v>
      </c>
      <c r="W10">
        <v>517.36</v>
      </c>
      <c r="X10" t="e">
        <v>#N/A</v>
      </c>
      <c r="Y10">
        <v>4.63</v>
      </c>
      <c r="Z10">
        <v>2.57</v>
      </c>
      <c r="AA10">
        <v>1359.58</v>
      </c>
      <c r="AB10">
        <v>0</v>
      </c>
      <c r="AC10">
        <v>138.36000000000001</v>
      </c>
      <c r="AD10">
        <v>42.35</v>
      </c>
      <c r="AE10">
        <v>74.75</v>
      </c>
      <c r="AF10">
        <v>2.37</v>
      </c>
      <c r="AG10">
        <v>17.11</v>
      </c>
      <c r="AH10">
        <v>274.94</v>
      </c>
      <c r="AI10">
        <v>1634.52</v>
      </c>
      <c r="AJ10">
        <v>0</v>
      </c>
      <c r="AK10">
        <v>0</v>
      </c>
      <c r="AL10">
        <v>11.7</v>
      </c>
      <c r="AM10">
        <v>0</v>
      </c>
      <c r="AN10" t="e">
        <v>#N/A</v>
      </c>
      <c r="AO10" t="e">
        <v>#N/A</v>
      </c>
      <c r="AP10" t="e">
        <v>#N/A</v>
      </c>
      <c r="AQ10">
        <v>2508.38</v>
      </c>
      <c r="AR10">
        <v>2508.38</v>
      </c>
      <c r="AS10">
        <v>6.37</v>
      </c>
      <c r="AT10">
        <v>2514.75</v>
      </c>
      <c r="AU10">
        <v>140.12</v>
      </c>
      <c r="AV10">
        <v>2654.87</v>
      </c>
      <c r="AW10">
        <v>0</v>
      </c>
      <c r="AX10">
        <v>1880.5</v>
      </c>
      <c r="AY10">
        <v>59.24</v>
      </c>
      <c r="AZ10">
        <v>33.270000000000003</v>
      </c>
      <c r="BA10">
        <v>141.83000000000001</v>
      </c>
      <c r="BB10">
        <v>21.48</v>
      </c>
      <c r="BC10">
        <v>3.66</v>
      </c>
      <c r="BD10">
        <v>44.66</v>
      </c>
      <c r="BE10">
        <v>342.31</v>
      </c>
      <c r="BF10">
        <v>2526.9499999999998</v>
      </c>
      <c r="BG10">
        <v>127.92</v>
      </c>
      <c r="BH10">
        <v>127.92</v>
      </c>
      <c r="BI10">
        <v>0</v>
      </c>
      <c r="BJ10">
        <v>42.59</v>
      </c>
      <c r="BK10">
        <v>2.09</v>
      </c>
      <c r="BL10" t="e">
        <v>#N/A</v>
      </c>
      <c r="BM10">
        <v>44.68</v>
      </c>
      <c r="BN10">
        <v>83.24</v>
      </c>
      <c r="BO10">
        <v>83.24</v>
      </c>
      <c r="BP10">
        <v>82.99</v>
      </c>
      <c r="BQ10">
        <v>9.2799999999999994</v>
      </c>
      <c r="BR10">
        <v>1.91</v>
      </c>
      <c r="BS10" t="e">
        <v>#N/A</v>
      </c>
    </row>
    <row r="11" spans="1:71" x14ac:dyDescent="0.25">
      <c r="A11" t="s">
        <v>169</v>
      </c>
      <c r="B11">
        <v>6</v>
      </c>
      <c r="C11">
        <v>2018</v>
      </c>
      <c r="D11">
        <v>23.2</v>
      </c>
      <c r="E11">
        <v>23.2</v>
      </c>
      <c r="F11">
        <v>751.28</v>
      </c>
      <c r="G11">
        <v>751.28</v>
      </c>
      <c r="H11">
        <v>777.67</v>
      </c>
      <c r="I11">
        <v>0</v>
      </c>
      <c r="J11">
        <v>425.67</v>
      </c>
      <c r="K11">
        <v>5.9</v>
      </c>
      <c r="L11">
        <v>592.49</v>
      </c>
      <c r="M11">
        <v>0</v>
      </c>
      <c r="N11">
        <v>66.959999999999994</v>
      </c>
      <c r="O11">
        <v>147.5</v>
      </c>
      <c r="P11">
        <v>7.29</v>
      </c>
      <c r="Q11">
        <v>325.89999999999998</v>
      </c>
      <c r="R11">
        <v>1706.61</v>
      </c>
      <c r="S11">
        <v>0</v>
      </c>
      <c r="T11">
        <v>0</v>
      </c>
      <c r="U11">
        <v>414.58</v>
      </c>
      <c r="V11">
        <v>8.73</v>
      </c>
      <c r="W11">
        <v>441.78</v>
      </c>
      <c r="X11" t="e">
        <v>#N/A</v>
      </c>
      <c r="Y11">
        <v>4.12</v>
      </c>
      <c r="Z11">
        <v>4.9800000000000004</v>
      </c>
      <c r="AA11">
        <v>1452.61</v>
      </c>
      <c r="AB11">
        <v>0</v>
      </c>
      <c r="AC11">
        <v>154.75</v>
      </c>
      <c r="AD11">
        <v>12.89</v>
      </c>
      <c r="AE11">
        <v>68.819999999999993</v>
      </c>
      <c r="AF11">
        <v>4.37</v>
      </c>
      <c r="AG11">
        <v>13.16</v>
      </c>
      <c r="AH11">
        <v>254</v>
      </c>
      <c r="AI11">
        <v>1706.61</v>
      </c>
      <c r="AJ11">
        <v>0</v>
      </c>
      <c r="AK11">
        <v>0</v>
      </c>
      <c r="AL11">
        <v>34.6</v>
      </c>
      <c r="AM11">
        <v>0</v>
      </c>
      <c r="AN11" t="e">
        <v>#N/A</v>
      </c>
      <c r="AO11" t="e">
        <v>#N/A</v>
      </c>
      <c r="AP11" t="e">
        <v>#N/A</v>
      </c>
      <c r="AQ11">
        <v>2371.0500000000002</v>
      </c>
      <c r="AR11">
        <v>2370.71</v>
      </c>
      <c r="AS11">
        <v>2.37</v>
      </c>
      <c r="AT11">
        <v>2373.09</v>
      </c>
      <c r="AU11">
        <v>403.04</v>
      </c>
      <c r="AV11">
        <v>2776.13</v>
      </c>
      <c r="AW11">
        <v>0</v>
      </c>
      <c r="AX11">
        <v>1851.94</v>
      </c>
      <c r="AY11">
        <v>110.86</v>
      </c>
      <c r="AZ11">
        <v>-43.39</v>
      </c>
      <c r="BA11">
        <v>124.18</v>
      </c>
      <c r="BB11">
        <v>18.239999999999998</v>
      </c>
      <c r="BC11">
        <v>0.4</v>
      </c>
      <c r="BD11">
        <v>37.83</v>
      </c>
      <c r="BE11">
        <v>586.16</v>
      </c>
      <c r="BF11">
        <v>2686.23</v>
      </c>
      <c r="BG11">
        <v>89.9</v>
      </c>
      <c r="BH11">
        <v>89.9</v>
      </c>
      <c r="BI11">
        <v>0</v>
      </c>
      <c r="BJ11">
        <v>28</v>
      </c>
      <c r="BK11">
        <v>-0.87</v>
      </c>
      <c r="BL11" t="e">
        <v>#N/A</v>
      </c>
      <c r="BM11">
        <v>27.12</v>
      </c>
      <c r="BN11">
        <v>62.77</v>
      </c>
      <c r="BO11">
        <v>62.77</v>
      </c>
      <c r="BP11">
        <v>62.83</v>
      </c>
      <c r="BQ11">
        <v>9.2799999999999994</v>
      </c>
      <c r="BR11">
        <v>1.89</v>
      </c>
      <c r="BS11" t="e">
        <v>#N/A</v>
      </c>
    </row>
    <row r="12" spans="1:71" x14ac:dyDescent="0.25">
      <c r="A12" t="s">
        <v>108</v>
      </c>
      <c r="B12">
        <v>2</v>
      </c>
      <c r="C12">
        <v>2022</v>
      </c>
      <c r="D12">
        <v>37.07</v>
      </c>
      <c r="E12">
        <v>37.07</v>
      </c>
      <c r="F12">
        <v>-709.3</v>
      </c>
      <c r="G12">
        <v>-550.45000000000005</v>
      </c>
      <c r="H12">
        <v>-513.38</v>
      </c>
      <c r="I12">
        <v>0</v>
      </c>
      <c r="J12" t="e">
        <v>#N/A</v>
      </c>
      <c r="K12">
        <v>0.87</v>
      </c>
      <c r="L12">
        <v>3.83</v>
      </c>
      <c r="M12">
        <v>0</v>
      </c>
      <c r="N12">
        <v>8.33</v>
      </c>
      <c r="O12">
        <v>9.2899999999999991</v>
      </c>
      <c r="P12">
        <v>0.22</v>
      </c>
      <c r="Q12">
        <v>724.91</v>
      </c>
      <c r="R12">
        <v>215.35</v>
      </c>
      <c r="S12">
        <v>0</v>
      </c>
      <c r="T12">
        <v>0</v>
      </c>
      <c r="U12">
        <v>165.13</v>
      </c>
      <c r="V12">
        <v>0</v>
      </c>
      <c r="W12">
        <v>165.13</v>
      </c>
      <c r="X12">
        <v>2.31</v>
      </c>
      <c r="Y12" t="e">
        <v>#N/A</v>
      </c>
      <c r="Z12">
        <v>3.54</v>
      </c>
      <c r="AA12">
        <v>170.97</v>
      </c>
      <c r="AB12">
        <v>0</v>
      </c>
      <c r="AC12">
        <v>7.09</v>
      </c>
      <c r="AD12">
        <v>11.26</v>
      </c>
      <c r="AE12">
        <v>1.43</v>
      </c>
      <c r="AF12" t="e">
        <v>#N/A</v>
      </c>
      <c r="AG12">
        <v>24.48</v>
      </c>
      <c r="AH12">
        <v>44.38</v>
      </c>
      <c r="AI12">
        <v>215.35</v>
      </c>
      <c r="AJ12">
        <v>0</v>
      </c>
      <c r="AK12">
        <v>0</v>
      </c>
      <c r="AL12">
        <v>147.81</v>
      </c>
      <c r="AM12">
        <v>0.11</v>
      </c>
      <c r="AN12" t="e">
        <v>#N/A</v>
      </c>
      <c r="AO12">
        <v>0.11</v>
      </c>
      <c r="AP12" t="e">
        <v>#N/A</v>
      </c>
      <c r="AQ12">
        <v>95.78</v>
      </c>
      <c r="AR12">
        <v>95.78</v>
      </c>
      <c r="AS12">
        <v>2.79</v>
      </c>
      <c r="AT12">
        <v>98.57</v>
      </c>
      <c r="AU12">
        <v>4.92</v>
      </c>
      <c r="AV12">
        <v>103.48</v>
      </c>
      <c r="AW12">
        <v>0</v>
      </c>
      <c r="AX12">
        <v>56.42</v>
      </c>
      <c r="AY12">
        <v>8</v>
      </c>
      <c r="AZ12">
        <v>0.69</v>
      </c>
      <c r="BA12">
        <v>5.94</v>
      </c>
      <c r="BB12">
        <v>0.68</v>
      </c>
      <c r="BC12">
        <v>1.85</v>
      </c>
      <c r="BD12">
        <v>7.73</v>
      </c>
      <c r="BE12">
        <v>14.03</v>
      </c>
      <c r="BF12">
        <v>108.78</v>
      </c>
      <c r="BG12">
        <v>-5.3</v>
      </c>
      <c r="BH12">
        <v>-5.52</v>
      </c>
      <c r="BI12">
        <v>0</v>
      </c>
      <c r="BJ12">
        <v>0</v>
      </c>
      <c r="BK12">
        <v>0.8</v>
      </c>
      <c r="BL12">
        <v>0</v>
      </c>
      <c r="BM12">
        <v>0.8</v>
      </c>
      <c r="BN12">
        <v>-6.32</v>
      </c>
      <c r="BO12">
        <v>-6.32</v>
      </c>
      <c r="BP12">
        <v>-6.32</v>
      </c>
      <c r="BQ12" t="e">
        <v>#N/A</v>
      </c>
      <c r="BR12" t="e">
        <v>#N/A</v>
      </c>
      <c r="BS12" t="e">
        <v>#N/A</v>
      </c>
    </row>
    <row r="13" spans="1:71" x14ac:dyDescent="0.25">
      <c r="A13" t="s">
        <v>108</v>
      </c>
      <c r="B13">
        <v>3</v>
      </c>
      <c r="C13">
        <v>2021</v>
      </c>
      <c r="D13">
        <v>37.07</v>
      </c>
      <c r="E13">
        <v>37.07</v>
      </c>
      <c r="F13">
        <v>-705.17</v>
      </c>
      <c r="G13">
        <v>-546.32000000000005</v>
      </c>
      <c r="H13">
        <v>-509.25</v>
      </c>
      <c r="I13">
        <v>0</v>
      </c>
      <c r="J13" t="e">
        <v>#N/A</v>
      </c>
      <c r="K13">
        <v>1.01</v>
      </c>
      <c r="L13">
        <v>19.72</v>
      </c>
      <c r="M13">
        <v>0</v>
      </c>
      <c r="N13">
        <v>31.73</v>
      </c>
      <c r="O13">
        <v>38.9</v>
      </c>
      <c r="P13">
        <v>0.17</v>
      </c>
      <c r="Q13">
        <v>845.22</v>
      </c>
      <c r="R13">
        <v>355.69</v>
      </c>
      <c r="S13">
        <v>0</v>
      </c>
      <c r="T13">
        <v>0</v>
      </c>
      <c r="U13">
        <v>178.8</v>
      </c>
      <c r="V13">
        <v>0.03</v>
      </c>
      <c r="W13">
        <v>178.82</v>
      </c>
      <c r="X13">
        <v>4.57</v>
      </c>
      <c r="Y13" t="e">
        <v>#N/A</v>
      </c>
      <c r="Z13">
        <v>0.7</v>
      </c>
      <c r="AA13">
        <v>184.1</v>
      </c>
      <c r="AB13">
        <v>0</v>
      </c>
      <c r="AC13">
        <v>37.43</v>
      </c>
      <c r="AD13">
        <v>84.36</v>
      </c>
      <c r="AE13">
        <v>1.53</v>
      </c>
      <c r="AF13" t="e">
        <v>#N/A</v>
      </c>
      <c r="AG13">
        <v>48.18</v>
      </c>
      <c r="AH13">
        <v>171.6</v>
      </c>
      <c r="AI13">
        <v>355.69</v>
      </c>
      <c r="AJ13">
        <v>0</v>
      </c>
      <c r="AK13">
        <v>0</v>
      </c>
      <c r="AL13">
        <v>148.78</v>
      </c>
      <c r="AM13">
        <v>0.1</v>
      </c>
      <c r="AN13" t="e">
        <v>#N/A</v>
      </c>
      <c r="AO13">
        <v>0</v>
      </c>
      <c r="AP13" t="e">
        <v>#N/A</v>
      </c>
      <c r="AQ13">
        <v>263.32</v>
      </c>
      <c r="AR13">
        <v>263.32</v>
      </c>
      <c r="AS13">
        <v>2.37</v>
      </c>
      <c r="AT13">
        <v>265.69</v>
      </c>
      <c r="AU13">
        <v>4.1900000000000004</v>
      </c>
      <c r="AV13">
        <v>269.88</v>
      </c>
      <c r="AW13">
        <v>0</v>
      </c>
      <c r="AX13">
        <v>179.55</v>
      </c>
      <c r="AY13">
        <v>7.05</v>
      </c>
      <c r="AZ13">
        <v>7.0000000000000007E-2</v>
      </c>
      <c r="BA13">
        <v>17.79</v>
      </c>
      <c r="BB13">
        <v>4.7699999999999996</v>
      </c>
      <c r="BC13">
        <v>0</v>
      </c>
      <c r="BD13">
        <v>10.119999999999999</v>
      </c>
      <c r="BE13">
        <v>21.08</v>
      </c>
      <c r="BF13">
        <v>253.94</v>
      </c>
      <c r="BG13">
        <v>15.94</v>
      </c>
      <c r="BH13">
        <v>24.71</v>
      </c>
      <c r="BI13">
        <v>0</v>
      </c>
      <c r="BJ13">
        <v>0</v>
      </c>
      <c r="BK13">
        <v>0</v>
      </c>
      <c r="BL13">
        <v>0.48</v>
      </c>
      <c r="BM13">
        <v>0.48</v>
      </c>
      <c r="BN13">
        <v>24.23</v>
      </c>
      <c r="BO13">
        <v>24.23</v>
      </c>
      <c r="BP13">
        <v>24.23</v>
      </c>
      <c r="BQ13" t="e">
        <v>#N/A</v>
      </c>
      <c r="BR13" t="e">
        <v>#N/A</v>
      </c>
      <c r="BS13" t="e">
        <v>#N/A</v>
      </c>
    </row>
    <row r="14" spans="1:71" x14ac:dyDescent="0.25">
      <c r="A14" t="s">
        <v>108</v>
      </c>
      <c r="B14">
        <v>4</v>
      </c>
      <c r="C14">
        <v>2020</v>
      </c>
      <c r="D14">
        <v>37.07</v>
      </c>
      <c r="E14">
        <v>37.07</v>
      </c>
      <c r="F14">
        <v>-749.05</v>
      </c>
      <c r="G14">
        <v>-571.03</v>
      </c>
      <c r="H14">
        <v>-533.95000000000005</v>
      </c>
      <c r="I14">
        <v>0</v>
      </c>
      <c r="J14" t="e">
        <v>#N/A</v>
      </c>
      <c r="K14">
        <v>1.34</v>
      </c>
      <c r="L14">
        <v>20.93</v>
      </c>
      <c r="M14">
        <v>0</v>
      </c>
      <c r="N14">
        <v>48.08</v>
      </c>
      <c r="O14">
        <v>40.31</v>
      </c>
      <c r="P14">
        <v>0.13</v>
      </c>
      <c r="Q14">
        <v>858.41</v>
      </c>
      <c r="R14">
        <v>345.39</v>
      </c>
      <c r="S14">
        <v>0</v>
      </c>
      <c r="T14">
        <v>0</v>
      </c>
      <c r="U14">
        <v>189.89</v>
      </c>
      <c r="V14">
        <v>0</v>
      </c>
      <c r="W14">
        <v>189.89</v>
      </c>
      <c r="X14">
        <v>4.99</v>
      </c>
      <c r="Y14" t="e">
        <v>#N/A</v>
      </c>
      <c r="Z14">
        <v>0.99</v>
      </c>
      <c r="AA14">
        <v>195.88</v>
      </c>
      <c r="AB14">
        <v>0</v>
      </c>
      <c r="AC14">
        <v>23.36</v>
      </c>
      <c r="AD14">
        <v>91.19</v>
      </c>
      <c r="AE14">
        <v>4.3</v>
      </c>
      <c r="AF14" t="e">
        <v>#N/A</v>
      </c>
      <c r="AG14">
        <v>30.66</v>
      </c>
      <c r="AH14">
        <v>149.52000000000001</v>
      </c>
      <c r="AI14">
        <v>345.39</v>
      </c>
      <c r="AJ14">
        <v>0</v>
      </c>
      <c r="AK14">
        <v>0</v>
      </c>
      <c r="AL14">
        <v>148.78</v>
      </c>
      <c r="AM14">
        <v>0</v>
      </c>
      <c r="AN14" t="e">
        <v>#N/A</v>
      </c>
      <c r="AO14">
        <v>0</v>
      </c>
      <c r="AP14" t="e">
        <v>#N/A</v>
      </c>
      <c r="AQ14">
        <v>214.97</v>
      </c>
      <c r="AR14">
        <v>214.97</v>
      </c>
      <c r="AS14">
        <v>0.28999999999999998</v>
      </c>
      <c r="AT14">
        <v>215.26</v>
      </c>
      <c r="AU14">
        <v>0.51</v>
      </c>
      <c r="AV14">
        <v>215.76</v>
      </c>
      <c r="AW14">
        <v>0</v>
      </c>
      <c r="AX14">
        <v>144.47</v>
      </c>
      <c r="AY14">
        <v>0</v>
      </c>
      <c r="AZ14">
        <v>-0.76</v>
      </c>
      <c r="BA14">
        <v>19.350000000000001</v>
      </c>
      <c r="BB14">
        <v>6.78</v>
      </c>
      <c r="BC14">
        <v>0</v>
      </c>
      <c r="BD14">
        <v>12.12</v>
      </c>
      <c r="BE14">
        <v>25.28</v>
      </c>
      <c r="BF14">
        <v>234.65</v>
      </c>
      <c r="BG14">
        <v>-18.89</v>
      </c>
      <c r="BH14">
        <v>-176.79</v>
      </c>
      <c r="BI14">
        <v>0</v>
      </c>
      <c r="BJ14">
        <v>0</v>
      </c>
      <c r="BK14">
        <v>-1.44</v>
      </c>
      <c r="BL14">
        <v>8.35</v>
      </c>
      <c r="BM14">
        <v>6.92</v>
      </c>
      <c r="BN14">
        <v>-183.71</v>
      </c>
      <c r="BO14">
        <v>-183.71</v>
      </c>
      <c r="BP14">
        <v>-183.71</v>
      </c>
      <c r="BQ14" t="e">
        <v>#N/A</v>
      </c>
      <c r="BR14" t="e">
        <v>#N/A</v>
      </c>
      <c r="BS14" t="e">
        <v>#N/A</v>
      </c>
    </row>
    <row r="15" spans="1:71" x14ac:dyDescent="0.25">
      <c r="A15" t="s">
        <v>108</v>
      </c>
      <c r="B15">
        <v>5</v>
      </c>
      <c r="C15">
        <v>2019</v>
      </c>
      <c r="D15">
        <v>37.07</v>
      </c>
      <c r="E15">
        <v>37.07</v>
      </c>
      <c r="F15">
        <v>-561.72</v>
      </c>
      <c r="G15">
        <v>-383.69</v>
      </c>
      <c r="H15">
        <v>-346.62</v>
      </c>
      <c r="I15">
        <v>0</v>
      </c>
      <c r="J15" t="e">
        <v>#N/A</v>
      </c>
      <c r="K15">
        <v>1.6</v>
      </c>
      <c r="L15">
        <v>16.600000000000001</v>
      </c>
      <c r="M15">
        <v>0</v>
      </c>
      <c r="N15">
        <v>65.239999999999995</v>
      </c>
      <c r="O15">
        <v>37.35</v>
      </c>
      <c r="P15">
        <v>0.17</v>
      </c>
      <c r="Q15">
        <v>850.96</v>
      </c>
      <c r="R15">
        <v>520.94000000000005</v>
      </c>
      <c r="S15">
        <v>0</v>
      </c>
      <c r="T15">
        <v>0</v>
      </c>
      <c r="U15">
        <v>245.76</v>
      </c>
      <c r="V15">
        <v>0</v>
      </c>
      <c r="W15">
        <v>245.76</v>
      </c>
      <c r="X15">
        <v>3.56</v>
      </c>
      <c r="Y15" t="e">
        <v>#N/A</v>
      </c>
      <c r="Z15">
        <v>0.99</v>
      </c>
      <c r="AA15">
        <v>250.31</v>
      </c>
      <c r="AB15">
        <v>0</v>
      </c>
      <c r="AC15">
        <v>23.36</v>
      </c>
      <c r="AD15">
        <v>211.79</v>
      </c>
      <c r="AE15">
        <v>3.59</v>
      </c>
      <c r="AF15" t="e">
        <v>#N/A</v>
      </c>
      <c r="AG15">
        <v>31.89</v>
      </c>
      <c r="AH15">
        <v>270.63</v>
      </c>
      <c r="AI15">
        <v>520.94000000000005</v>
      </c>
      <c r="AJ15">
        <v>0</v>
      </c>
      <c r="AK15">
        <v>0</v>
      </c>
      <c r="AL15">
        <v>153.80000000000001</v>
      </c>
      <c r="AM15">
        <v>0</v>
      </c>
      <c r="AN15" t="e">
        <v>#N/A</v>
      </c>
      <c r="AO15">
        <v>0</v>
      </c>
      <c r="AP15" t="e">
        <v>#N/A</v>
      </c>
      <c r="AQ15">
        <v>595.57000000000005</v>
      </c>
      <c r="AR15">
        <v>595.57000000000005</v>
      </c>
      <c r="AS15">
        <v>5.27</v>
      </c>
      <c r="AT15">
        <v>600.84</v>
      </c>
      <c r="AU15">
        <v>1.74</v>
      </c>
      <c r="AV15">
        <v>602.57000000000005</v>
      </c>
      <c r="AW15">
        <v>0</v>
      </c>
      <c r="AX15">
        <v>653.83000000000004</v>
      </c>
      <c r="AY15">
        <v>0.79</v>
      </c>
      <c r="AZ15">
        <v>7.0000000000000007E-2</v>
      </c>
      <c r="BA15">
        <v>25.44</v>
      </c>
      <c r="BB15">
        <v>26.64</v>
      </c>
      <c r="BC15">
        <v>0</v>
      </c>
      <c r="BD15">
        <v>14.64</v>
      </c>
      <c r="BE15">
        <v>160.19</v>
      </c>
      <c r="BF15">
        <v>914.59</v>
      </c>
      <c r="BG15">
        <v>-312.01</v>
      </c>
      <c r="BH15">
        <v>-312.01</v>
      </c>
      <c r="BI15">
        <v>0</v>
      </c>
      <c r="BJ15">
        <v>-0.93</v>
      </c>
      <c r="BK15">
        <v>106.32</v>
      </c>
      <c r="BL15">
        <v>0</v>
      </c>
      <c r="BM15">
        <v>105.39</v>
      </c>
      <c r="BN15">
        <v>-417.4</v>
      </c>
      <c r="BO15">
        <v>-417.4</v>
      </c>
      <c r="BP15">
        <v>-417.4</v>
      </c>
      <c r="BQ15" t="e">
        <v>#N/A</v>
      </c>
      <c r="BR15" t="e">
        <v>#N/A</v>
      </c>
      <c r="BS15" t="e">
        <v>#N/A</v>
      </c>
    </row>
    <row r="16" spans="1:71" x14ac:dyDescent="0.25">
      <c r="A16" t="s">
        <v>108</v>
      </c>
      <c r="B16">
        <v>6</v>
      </c>
      <c r="C16">
        <v>2018</v>
      </c>
      <c r="D16">
        <v>35.24</v>
      </c>
      <c r="E16">
        <v>35.24</v>
      </c>
      <c r="F16">
        <v>-203.61</v>
      </c>
      <c r="G16">
        <v>-33.21</v>
      </c>
      <c r="H16">
        <v>2.0299999999999998</v>
      </c>
      <c r="I16">
        <v>0</v>
      </c>
      <c r="J16" t="e">
        <v>#N/A</v>
      </c>
      <c r="K16">
        <v>2.25</v>
      </c>
      <c r="L16">
        <v>18.12</v>
      </c>
      <c r="M16">
        <v>0</v>
      </c>
      <c r="N16">
        <v>169</v>
      </c>
      <c r="O16">
        <v>56.11</v>
      </c>
      <c r="P16">
        <v>0.21</v>
      </c>
      <c r="Q16">
        <v>1044.9100000000001</v>
      </c>
      <c r="R16">
        <v>1065.07</v>
      </c>
      <c r="S16">
        <v>0</v>
      </c>
      <c r="T16">
        <v>0</v>
      </c>
      <c r="U16">
        <v>260.72000000000003</v>
      </c>
      <c r="V16">
        <v>0.01</v>
      </c>
      <c r="W16">
        <v>260.73</v>
      </c>
      <c r="X16">
        <v>109.03</v>
      </c>
      <c r="Y16" t="e">
        <v>#N/A</v>
      </c>
      <c r="Z16">
        <v>1.35</v>
      </c>
      <c r="AA16">
        <v>371.11</v>
      </c>
      <c r="AB16">
        <v>0</v>
      </c>
      <c r="AC16">
        <v>549.53</v>
      </c>
      <c r="AD16">
        <v>88.91</v>
      </c>
      <c r="AE16">
        <v>11.47</v>
      </c>
      <c r="AF16" t="e">
        <v>#N/A</v>
      </c>
      <c r="AG16">
        <v>44.04</v>
      </c>
      <c r="AH16">
        <v>693.96</v>
      </c>
      <c r="AI16">
        <v>1065.07</v>
      </c>
      <c r="AJ16">
        <v>0</v>
      </c>
      <c r="AK16">
        <v>0</v>
      </c>
      <c r="AL16">
        <v>158.94999999999999</v>
      </c>
      <c r="AM16">
        <v>0</v>
      </c>
      <c r="AN16" t="e">
        <v>#N/A</v>
      </c>
      <c r="AO16">
        <v>0</v>
      </c>
      <c r="AP16" t="e">
        <v>#N/A</v>
      </c>
      <c r="AQ16">
        <v>1018.41</v>
      </c>
      <c r="AR16">
        <v>1018.41</v>
      </c>
      <c r="AS16">
        <v>0.79</v>
      </c>
      <c r="AT16">
        <v>1019.2</v>
      </c>
      <c r="AU16">
        <v>3.29</v>
      </c>
      <c r="AV16">
        <v>1022.49</v>
      </c>
      <c r="AW16">
        <v>0</v>
      </c>
      <c r="AX16">
        <v>712.76</v>
      </c>
      <c r="AY16">
        <v>67.61</v>
      </c>
      <c r="AZ16">
        <v>37.72</v>
      </c>
      <c r="BA16">
        <v>36.630000000000003</v>
      </c>
      <c r="BB16">
        <v>87.79</v>
      </c>
      <c r="BC16">
        <v>0</v>
      </c>
      <c r="BD16">
        <v>17.09</v>
      </c>
      <c r="BE16">
        <v>88</v>
      </c>
      <c r="BF16">
        <v>1102.23</v>
      </c>
      <c r="BG16">
        <v>-79.739999999999995</v>
      </c>
      <c r="BH16">
        <v>-79.739999999999995</v>
      </c>
      <c r="BI16">
        <v>0</v>
      </c>
      <c r="BJ16">
        <v>0.01</v>
      </c>
      <c r="BK16">
        <v>-0.83</v>
      </c>
      <c r="BL16">
        <v>1.45</v>
      </c>
      <c r="BM16">
        <v>0.62</v>
      </c>
      <c r="BN16">
        <v>-80.36</v>
      </c>
      <c r="BO16">
        <v>-80.36</v>
      </c>
      <c r="BP16">
        <v>-80.36</v>
      </c>
      <c r="BQ16" t="e">
        <v>#N/A</v>
      </c>
      <c r="BR16" t="e">
        <v>#N/A</v>
      </c>
      <c r="BS16" t="e">
        <v>#N/A</v>
      </c>
    </row>
    <row r="17" spans="1:71" x14ac:dyDescent="0.25">
      <c r="A17" t="s">
        <v>114</v>
      </c>
      <c r="B17">
        <v>2</v>
      </c>
      <c r="C17">
        <v>2022</v>
      </c>
      <c r="D17">
        <v>12</v>
      </c>
      <c r="E17">
        <v>12</v>
      </c>
      <c r="F17">
        <v>191.71</v>
      </c>
      <c r="G17">
        <v>193.66</v>
      </c>
      <c r="H17">
        <v>205.66</v>
      </c>
      <c r="I17">
        <v>0</v>
      </c>
      <c r="J17" t="e">
        <v>#N/A</v>
      </c>
      <c r="K17">
        <v>0.28000000000000003</v>
      </c>
      <c r="L17">
        <v>2.41</v>
      </c>
      <c r="M17">
        <v>0</v>
      </c>
      <c r="N17">
        <v>79.36</v>
      </c>
      <c r="O17">
        <v>40.630000000000003</v>
      </c>
      <c r="P17">
        <v>0.12</v>
      </c>
      <c r="Q17">
        <v>458.02</v>
      </c>
      <c r="R17">
        <v>666.99</v>
      </c>
      <c r="S17">
        <v>0</v>
      </c>
      <c r="T17">
        <v>0</v>
      </c>
      <c r="U17">
        <v>36.69</v>
      </c>
      <c r="V17">
        <v>0</v>
      </c>
      <c r="W17">
        <v>37.19</v>
      </c>
      <c r="X17" t="e">
        <v>#N/A</v>
      </c>
      <c r="Y17" t="e">
        <v>#N/A</v>
      </c>
      <c r="Z17">
        <v>0.88</v>
      </c>
      <c r="AA17">
        <v>39.630000000000003</v>
      </c>
      <c r="AB17">
        <v>0</v>
      </c>
      <c r="AC17">
        <v>195.35</v>
      </c>
      <c r="AD17">
        <v>404.09</v>
      </c>
      <c r="AE17">
        <v>7.76</v>
      </c>
      <c r="AF17" t="e">
        <v>#N/A</v>
      </c>
      <c r="AG17">
        <v>20.04</v>
      </c>
      <c r="AH17">
        <v>627.36</v>
      </c>
      <c r="AI17">
        <v>666.99</v>
      </c>
      <c r="AJ17">
        <v>0</v>
      </c>
      <c r="AK17">
        <v>0</v>
      </c>
      <c r="AL17">
        <v>7.5</v>
      </c>
      <c r="AM17">
        <v>0.12</v>
      </c>
      <c r="AN17">
        <v>0</v>
      </c>
      <c r="AO17" t="e">
        <v>#N/A</v>
      </c>
      <c r="AP17" t="e">
        <v>#N/A</v>
      </c>
      <c r="AQ17">
        <v>1110.26</v>
      </c>
      <c r="AR17">
        <v>1110.26</v>
      </c>
      <c r="AS17">
        <v>24.01</v>
      </c>
      <c r="AT17">
        <v>1134.27</v>
      </c>
      <c r="AU17">
        <v>37.090000000000003</v>
      </c>
      <c r="AV17">
        <v>1171.3599999999999</v>
      </c>
      <c r="AW17">
        <v>0</v>
      </c>
      <c r="AX17">
        <v>953.9</v>
      </c>
      <c r="AY17" t="e">
        <v>#N/A</v>
      </c>
      <c r="AZ17">
        <v>-59.2</v>
      </c>
      <c r="BA17">
        <v>7.01</v>
      </c>
      <c r="BB17">
        <v>13</v>
      </c>
      <c r="BC17" t="e">
        <v>#N/A</v>
      </c>
      <c r="BD17">
        <v>3.13</v>
      </c>
      <c r="BE17">
        <v>139.88999999999999</v>
      </c>
      <c r="BF17">
        <v>1057.72</v>
      </c>
      <c r="BG17">
        <v>113.64</v>
      </c>
      <c r="BH17">
        <v>113.64</v>
      </c>
      <c r="BI17">
        <v>0</v>
      </c>
      <c r="BJ17">
        <v>29.09</v>
      </c>
      <c r="BK17">
        <v>-0.05</v>
      </c>
      <c r="BL17">
        <v>0.08</v>
      </c>
      <c r="BM17">
        <v>29.11</v>
      </c>
      <c r="BN17">
        <v>84.52</v>
      </c>
      <c r="BO17">
        <v>84.52</v>
      </c>
      <c r="BP17">
        <v>84.52</v>
      </c>
      <c r="BQ17">
        <v>15.9</v>
      </c>
      <c r="BR17">
        <v>0</v>
      </c>
      <c r="BS17" t="e">
        <v>#N/A</v>
      </c>
    </row>
    <row r="18" spans="1:71" x14ac:dyDescent="0.25">
      <c r="A18" t="s">
        <v>114</v>
      </c>
      <c r="B18">
        <v>3</v>
      </c>
      <c r="C18">
        <v>2021</v>
      </c>
      <c r="D18">
        <v>3.94</v>
      </c>
      <c r="E18">
        <v>3.94</v>
      </c>
      <c r="F18">
        <v>128.51</v>
      </c>
      <c r="G18">
        <v>130.46</v>
      </c>
      <c r="H18">
        <v>135.01</v>
      </c>
      <c r="I18">
        <v>0</v>
      </c>
      <c r="J18" t="e">
        <v>#N/A</v>
      </c>
      <c r="K18">
        <v>0.23</v>
      </c>
      <c r="L18">
        <v>1.97</v>
      </c>
      <c r="M18">
        <v>0</v>
      </c>
      <c r="N18">
        <v>40.19</v>
      </c>
      <c r="O18">
        <v>50.05</v>
      </c>
      <c r="P18">
        <v>0.11</v>
      </c>
      <c r="Q18">
        <v>277.72000000000003</v>
      </c>
      <c r="R18">
        <v>414.9</v>
      </c>
      <c r="S18">
        <v>0</v>
      </c>
      <c r="T18">
        <v>0</v>
      </c>
      <c r="U18">
        <v>35.42</v>
      </c>
      <c r="V18">
        <v>0</v>
      </c>
      <c r="W18">
        <v>36.01</v>
      </c>
      <c r="X18" t="e">
        <v>#N/A</v>
      </c>
      <c r="Y18" t="e">
        <v>#N/A</v>
      </c>
      <c r="Z18">
        <v>1.73</v>
      </c>
      <c r="AA18">
        <v>37.729999999999997</v>
      </c>
      <c r="AB18">
        <v>0</v>
      </c>
      <c r="AC18">
        <v>109.25</v>
      </c>
      <c r="AD18">
        <v>252.56</v>
      </c>
      <c r="AE18">
        <v>5.24</v>
      </c>
      <c r="AF18" t="e">
        <v>#N/A</v>
      </c>
      <c r="AG18">
        <v>10</v>
      </c>
      <c r="AH18">
        <v>377.17</v>
      </c>
      <c r="AI18">
        <v>414.9</v>
      </c>
      <c r="AJ18">
        <v>0</v>
      </c>
      <c r="AK18">
        <v>0</v>
      </c>
      <c r="AL18">
        <v>0</v>
      </c>
      <c r="AM18">
        <v>0.11</v>
      </c>
      <c r="AN18">
        <v>0.11</v>
      </c>
      <c r="AO18" t="e">
        <v>#N/A</v>
      </c>
      <c r="AP18" t="e">
        <v>#N/A</v>
      </c>
      <c r="AQ18">
        <v>799.37</v>
      </c>
      <c r="AR18">
        <v>799.37</v>
      </c>
      <c r="AS18">
        <v>0</v>
      </c>
      <c r="AT18">
        <v>799.37</v>
      </c>
      <c r="AU18">
        <v>6.45</v>
      </c>
      <c r="AV18">
        <v>805.82</v>
      </c>
      <c r="AW18">
        <v>0</v>
      </c>
      <c r="AX18">
        <v>629.15</v>
      </c>
      <c r="AY18" t="e">
        <v>#N/A</v>
      </c>
      <c r="AZ18">
        <v>-32.33</v>
      </c>
      <c r="BA18">
        <v>5.61</v>
      </c>
      <c r="BB18">
        <v>11.71</v>
      </c>
      <c r="BC18" t="e">
        <v>#N/A</v>
      </c>
      <c r="BD18">
        <v>2.83</v>
      </c>
      <c r="BE18">
        <v>130.02000000000001</v>
      </c>
      <c r="BF18">
        <v>746.97</v>
      </c>
      <c r="BG18">
        <v>58.85</v>
      </c>
      <c r="BH18">
        <v>58.85</v>
      </c>
      <c r="BI18">
        <v>0</v>
      </c>
      <c r="BJ18">
        <v>13.4</v>
      </c>
      <c r="BK18">
        <v>0.04</v>
      </c>
      <c r="BL18">
        <v>-0.01</v>
      </c>
      <c r="BM18">
        <v>13.43</v>
      </c>
      <c r="BN18">
        <v>45.42</v>
      </c>
      <c r="BO18">
        <v>45.42</v>
      </c>
      <c r="BP18">
        <v>45.42</v>
      </c>
      <c r="BQ18">
        <v>9.7200000000000006</v>
      </c>
      <c r="BR18">
        <v>0</v>
      </c>
      <c r="BS18" t="e">
        <v>#N/A</v>
      </c>
    </row>
    <row r="19" spans="1:71" x14ac:dyDescent="0.25">
      <c r="A19" t="s">
        <v>114</v>
      </c>
      <c r="B19">
        <v>4</v>
      </c>
      <c r="C19">
        <v>2020</v>
      </c>
      <c r="D19">
        <v>3.69</v>
      </c>
      <c r="E19">
        <v>3.69</v>
      </c>
      <c r="F19">
        <v>84.28</v>
      </c>
      <c r="G19">
        <v>86.23</v>
      </c>
      <c r="H19">
        <v>89.92</v>
      </c>
      <c r="I19">
        <v>0</v>
      </c>
      <c r="J19" t="e">
        <v>#N/A</v>
      </c>
      <c r="K19">
        <v>0.26</v>
      </c>
      <c r="L19">
        <v>2.0699999999999998</v>
      </c>
      <c r="M19">
        <v>0</v>
      </c>
      <c r="N19">
        <v>33.369999999999997</v>
      </c>
      <c r="O19">
        <v>24.35</v>
      </c>
      <c r="P19">
        <v>0.03</v>
      </c>
      <c r="Q19">
        <v>267.42</v>
      </c>
      <c r="R19">
        <v>359.4</v>
      </c>
      <c r="S19">
        <v>0</v>
      </c>
      <c r="T19">
        <v>0</v>
      </c>
      <c r="U19">
        <v>37.340000000000003</v>
      </c>
      <c r="V19">
        <v>0</v>
      </c>
      <c r="W19">
        <v>38</v>
      </c>
      <c r="X19" t="e">
        <v>#N/A</v>
      </c>
      <c r="Y19" t="e">
        <v>#N/A</v>
      </c>
      <c r="Z19">
        <v>0.75</v>
      </c>
      <c r="AA19">
        <v>38.75</v>
      </c>
      <c r="AB19">
        <v>0</v>
      </c>
      <c r="AC19">
        <v>55.93</v>
      </c>
      <c r="AD19">
        <v>257.04000000000002</v>
      </c>
      <c r="AE19">
        <v>3.62</v>
      </c>
      <c r="AF19" t="e">
        <v>#N/A</v>
      </c>
      <c r="AG19">
        <v>4.05</v>
      </c>
      <c r="AH19">
        <v>320.64999999999998</v>
      </c>
      <c r="AI19">
        <v>359.4</v>
      </c>
      <c r="AJ19">
        <v>0</v>
      </c>
      <c r="AK19">
        <v>0</v>
      </c>
      <c r="AL19">
        <v>0</v>
      </c>
      <c r="AM19">
        <v>0</v>
      </c>
      <c r="AN19">
        <v>0</v>
      </c>
      <c r="AO19" t="e">
        <v>#N/A</v>
      </c>
      <c r="AP19" t="e">
        <v>#N/A</v>
      </c>
      <c r="AQ19">
        <v>777.15</v>
      </c>
      <c r="AR19">
        <v>777.15</v>
      </c>
      <c r="AS19">
        <v>0</v>
      </c>
      <c r="AT19">
        <v>777.15</v>
      </c>
      <c r="AU19">
        <v>12.82</v>
      </c>
      <c r="AV19">
        <v>789.97</v>
      </c>
      <c r="AW19">
        <v>0</v>
      </c>
      <c r="AX19">
        <v>524.99</v>
      </c>
      <c r="AY19" t="e">
        <v>#N/A</v>
      </c>
      <c r="AZ19">
        <v>85.93</v>
      </c>
      <c r="BA19">
        <v>3.82</v>
      </c>
      <c r="BB19">
        <v>14.49</v>
      </c>
      <c r="BC19" t="e">
        <v>#N/A</v>
      </c>
      <c r="BD19">
        <v>2.92</v>
      </c>
      <c r="BE19">
        <v>114.78</v>
      </c>
      <c r="BF19">
        <v>746.93</v>
      </c>
      <c r="BG19">
        <v>43.05</v>
      </c>
      <c r="BH19">
        <v>43.05</v>
      </c>
      <c r="BI19">
        <v>0</v>
      </c>
      <c r="BJ19">
        <v>11.98</v>
      </c>
      <c r="BK19">
        <v>-0.56000000000000005</v>
      </c>
      <c r="BL19">
        <v>-7.0000000000000007E-2</v>
      </c>
      <c r="BM19">
        <v>11.35</v>
      </c>
      <c r="BN19">
        <v>31.7</v>
      </c>
      <c r="BO19">
        <v>31.7</v>
      </c>
      <c r="BP19">
        <v>31.7</v>
      </c>
      <c r="BQ19">
        <v>1.84</v>
      </c>
      <c r="BR19">
        <v>0.38</v>
      </c>
      <c r="BS19" t="e">
        <v>#N/A</v>
      </c>
    </row>
    <row r="20" spans="1:71" x14ac:dyDescent="0.25">
      <c r="A20" t="s">
        <v>114</v>
      </c>
      <c r="B20">
        <v>5</v>
      </c>
      <c r="C20">
        <v>2019</v>
      </c>
      <c r="D20">
        <v>3.69</v>
      </c>
      <c r="E20">
        <v>3.69</v>
      </c>
      <c r="F20">
        <v>55.13</v>
      </c>
      <c r="G20">
        <v>57.07</v>
      </c>
      <c r="H20">
        <v>60.76</v>
      </c>
      <c r="I20">
        <v>0</v>
      </c>
      <c r="J20" t="e">
        <v>#N/A</v>
      </c>
      <c r="K20">
        <v>0.22</v>
      </c>
      <c r="L20">
        <v>2.94</v>
      </c>
      <c r="M20">
        <v>0</v>
      </c>
      <c r="N20">
        <v>61.29</v>
      </c>
      <c r="O20">
        <v>20.170000000000002</v>
      </c>
      <c r="P20">
        <v>0.01</v>
      </c>
      <c r="Q20">
        <v>428.65</v>
      </c>
      <c r="R20">
        <v>492.35</v>
      </c>
      <c r="S20">
        <v>0</v>
      </c>
      <c r="T20">
        <v>0</v>
      </c>
      <c r="U20">
        <v>30.73</v>
      </c>
      <c r="V20">
        <v>3.09</v>
      </c>
      <c r="W20">
        <v>33.82</v>
      </c>
      <c r="X20" t="e">
        <v>#N/A</v>
      </c>
      <c r="Y20" t="e">
        <v>#N/A</v>
      </c>
      <c r="Z20">
        <v>3.38</v>
      </c>
      <c r="AA20">
        <v>37.200000000000003</v>
      </c>
      <c r="AB20">
        <v>0</v>
      </c>
      <c r="AC20">
        <v>167.38</v>
      </c>
      <c r="AD20">
        <v>278.68</v>
      </c>
      <c r="AE20">
        <v>3.17</v>
      </c>
      <c r="AF20" t="e">
        <v>#N/A</v>
      </c>
      <c r="AG20">
        <v>5.92</v>
      </c>
      <c r="AH20">
        <v>455.15</v>
      </c>
      <c r="AI20">
        <v>492.35</v>
      </c>
      <c r="AJ20">
        <v>0</v>
      </c>
      <c r="AK20">
        <v>0</v>
      </c>
      <c r="AL20">
        <v>0</v>
      </c>
      <c r="AM20">
        <v>0</v>
      </c>
      <c r="AN20">
        <v>0</v>
      </c>
      <c r="AO20" t="e">
        <v>#N/A</v>
      </c>
      <c r="AP20" t="e">
        <v>#N/A</v>
      </c>
      <c r="AQ20">
        <v>1109.05</v>
      </c>
      <c r="AR20">
        <v>1109.05</v>
      </c>
      <c r="AS20">
        <v>0</v>
      </c>
      <c r="AT20">
        <v>1109.05</v>
      </c>
      <c r="AU20">
        <v>1.45</v>
      </c>
      <c r="AV20">
        <v>1110.5</v>
      </c>
      <c r="AW20">
        <v>0</v>
      </c>
      <c r="AX20">
        <v>936.17</v>
      </c>
      <c r="AY20" t="e">
        <v>#N/A</v>
      </c>
      <c r="AZ20">
        <v>25.57</v>
      </c>
      <c r="BA20">
        <v>3.64</v>
      </c>
      <c r="BB20">
        <v>15.99</v>
      </c>
      <c r="BC20" t="e">
        <v>#N/A</v>
      </c>
      <c r="BD20">
        <v>2.16</v>
      </c>
      <c r="BE20">
        <v>109.04</v>
      </c>
      <c r="BF20">
        <v>1092.57</v>
      </c>
      <c r="BG20">
        <v>17.93</v>
      </c>
      <c r="BH20">
        <v>17.93</v>
      </c>
      <c r="BI20">
        <v>0</v>
      </c>
      <c r="BJ20">
        <v>8.93</v>
      </c>
      <c r="BK20">
        <v>-7.0000000000000007E-2</v>
      </c>
      <c r="BL20">
        <v>0</v>
      </c>
      <c r="BM20">
        <v>8.86</v>
      </c>
      <c r="BN20">
        <v>9.07</v>
      </c>
      <c r="BO20">
        <v>9.07</v>
      </c>
      <c r="BP20">
        <v>9.07</v>
      </c>
      <c r="BQ20">
        <v>1.84</v>
      </c>
      <c r="BR20">
        <v>0.38</v>
      </c>
      <c r="BS20" t="e">
        <v>#N/A</v>
      </c>
    </row>
    <row r="21" spans="1:71" x14ac:dyDescent="0.25">
      <c r="A21" t="s">
        <v>114</v>
      </c>
      <c r="B21">
        <v>6</v>
      </c>
      <c r="C21">
        <v>2018</v>
      </c>
      <c r="D21">
        <v>3.69</v>
      </c>
      <c r="E21">
        <v>3.69</v>
      </c>
      <c r="F21">
        <v>48.29</v>
      </c>
      <c r="G21">
        <v>50.24</v>
      </c>
      <c r="H21">
        <v>53.93</v>
      </c>
      <c r="I21">
        <v>0</v>
      </c>
      <c r="J21" t="e">
        <v>#N/A</v>
      </c>
      <c r="K21">
        <v>0</v>
      </c>
      <c r="L21">
        <v>2.96</v>
      </c>
      <c r="M21">
        <v>0</v>
      </c>
      <c r="N21">
        <v>85.72</v>
      </c>
      <c r="O21">
        <v>12.5</v>
      </c>
      <c r="P21">
        <v>0</v>
      </c>
      <c r="Q21">
        <v>388.76</v>
      </c>
      <c r="R21">
        <v>445.64</v>
      </c>
      <c r="S21">
        <v>0</v>
      </c>
      <c r="T21">
        <v>0</v>
      </c>
      <c r="U21">
        <v>20.78</v>
      </c>
      <c r="V21">
        <v>0</v>
      </c>
      <c r="W21">
        <v>20.78</v>
      </c>
      <c r="X21" t="e">
        <v>#N/A</v>
      </c>
      <c r="Y21" t="e">
        <v>#N/A</v>
      </c>
      <c r="Z21">
        <v>0.77</v>
      </c>
      <c r="AA21">
        <v>21.55</v>
      </c>
      <c r="AB21">
        <v>0</v>
      </c>
      <c r="AC21">
        <v>226.75</v>
      </c>
      <c r="AD21">
        <v>190.98</v>
      </c>
      <c r="AE21">
        <v>1.06</v>
      </c>
      <c r="AF21" t="e">
        <v>#N/A</v>
      </c>
      <c r="AG21">
        <v>5.3</v>
      </c>
      <c r="AH21">
        <v>424.09</v>
      </c>
      <c r="AI21">
        <v>445.64</v>
      </c>
      <c r="AJ21">
        <v>0</v>
      </c>
      <c r="AK21">
        <v>0</v>
      </c>
      <c r="AL21">
        <v>0</v>
      </c>
      <c r="AM21">
        <v>0</v>
      </c>
      <c r="AN21">
        <v>0</v>
      </c>
      <c r="AO21" t="e">
        <v>#N/A</v>
      </c>
      <c r="AP21" t="e">
        <v>#N/A</v>
      </c>
      <c r="AQ21">
        <v>944.15</v>
      </c>
      <c r="AR21">
        <v>944.15</v>
      </c>
      <c r="AS21">
        <v>0</v>
      </c>
      <c r="AT21">
        <v>944.15</v>
      </c>
      <c r="AU21">
        <v>7.0000000000000007E-2</v>
      </c>
      <c r="AV21">
        <v>944.22</v>
      </c>
      <c r="AW21">
        <v>0</v>
      </c>
      <c r="AX21">
        <v>850.11</v>
      </c>
      <c r="AY21" t="e">
        <v>#N/A</v>
      </c>
      <c r="AZ21">
        <v>-47.1</v>
      </c>
      <c r="BA21">
        <v>3.04</v>
      </c>
      <c r="BB21">
        <v>14.76</v>
      </c>
      <c r="BC21" t="e">
        <v>#N/A</v>
      </c>
      <c r="BD21">
        <v>2.0299999999999998</v>
      </c>
      <c r="BE21">
        <v>103.09</v>
      </c>
      <c r="BF21">
        <v>925.94</v>
      </c>
      <c r="BG21">
        <v>18.29</v>
      </c>
      <c r="BH21">
        <v>18.29</v>
      </c>
      <c r="BI21">
        <v>0</v>
      </c>
      <c r="BJ21">
        <v>6.36</v>
      </c>
      <c r="BK21">
        <v>7.0000000000000007E-2</v>
      </c>
      <c r="BL21">
        <v>0</v>
      </c>
      <c r="BM21">
        <v>6.43</v>
      </c>
      <c r="BN21">
        <v>11.85</v>
      </c>
      <c r="BO21">
        <v>11.85</v>
      </c>
      <c r="BP21">
        <v>11.85</v>
      </c>
      <c r="BQ21">
        <v>0</v>
      </c>
      <c r="BR21">
        <v>0</v>
      </c>
      <c r="BS21" t="e">
        <v>#N/A</v>
      </c>
    </row>
    <row r="22" spans="1:71" x14ac:dyDescent="0.25">
      <c r="A22" t="s">
        <v>122</v>
      </c>
      <c r="B22">
        <v>2</v>
      </c>
      <c r="C22">
        <v>2022</v>
      </c>
      <c r="D22">
        <v>24.89</v>
      </c>
      <c r="E22">
        <v>24.89</v>
      </c>
      <c r="F22">
        <v>1732.86</v>
      </c>
      <c r="G22">
        <v>1732.86</v>
      </c>
      <c r="H22">
        <v>1760.12</v>
      </c>
      <c r="I22">
        <v>0</v>
      </c>
      <c r="J22">
        <v>122.93</v>
      </c>
      <c r="K22">
        <v>18.670000000000002</v>
      </c>
      <c r="L22">
        <v>161.44999999999999</v>
      </c>
      <c r="M22">
        <v>0</v>
      </c>
      <c r="N22">
        <v>221.74</v>
      </c>
      <c r="O22">
        <v>190.12</v>
      </c>
      <c r="P22">
        <v>29.16</v>
      </c>
      <c r="Q22">
        <v>461.02</v>
      </c>
      <c r="R22">
        <v>2382.59</v>
      </c>
      <c r="S22">
        <v>0</v>
      </c>
      <c r="T22">
        <v>0</v>
      </c>
      <c r="U22">
        <v>958.66</v>
      </c>
      <c r="V22">
        <v>145.18</v>
      </c>
      <c r="W22">
        <v>1136.22</v>
      </c>
      <c r="X22" t="e">
        <v>#N/A</v>
      </c>
      <c r="Y22">
        <v>0.08</v>
      </c>
      <c r="Z22">
        <v>34.35</v>
      </c>
      <c r="AA22">
        <v>1195.6300000000001</v>
      </c>
      <c r="AB22">
        <v>0</v>
      </c>
      <c r="AC22">
        <v>673.25</v>
      </c>
      <c r="AD22">
        <v>250.79</v>
      </c>
      <c r="AE22">
        <v>12.5</v>
      </c>
      <c r="AF22">
        <v>0.43</v>
      </c>
      <c r="AG22">
        <v>80.72</v>
      </c>
      <c r="AH22">
        <v>1186.96</v>
      </c>
      <c r="AI22">
        <v>2382.59</v>
      </c>
      <c r="AJ22">
        <v>0</v>
      </c>
      <c r="AK22">
        <v>0</v>
      </c>
      <c r="AL22">
        <v>267.89</v>
      </c>
      <c r="AM22">
        <v>169.27</v>
      </c>
      <c r="AN22" t="s">
        <v>53</v>
      </c>
      <c r="AO22" t="s">
        <v>53</v>
      </c>
      <c r="AP22" t="s">
        <v>3</v>
      </c>
      <c r="AQ22">
        <v>2636.13</v>
      </c>
      <c r="AR22">
        <v>2636.13</v>
      </c>
      <c r="AS22">
        <v>17.14</v>
      </c>
      <c r="AT22">
        <v>2653.27</v>
      </c>
      <c r="AU22">
        <v>23.72</v>
      </c>
      <c r="AV22">
        <v>2676.99</v>
      </c>
      <c r="AW22">
        <v>0</v>
      </c>
      <c r="AX22">
        <v>1307.8800000000001</v>
      </c>
      <c r="AY22">
        <v>81.13</v>
      </c>
      <c r="AZ22">
        <v>-172.31</v>
      </c>
      <c r="BA22">
        <v>334.69</v>
      </c>
      <c r="BB22">
        <v>15.33</v>
      </c>
      <c r="BC22" t="e">
        <v>#N/A</v>
      </c>
      <c r="BD22">
        <v>113.54</v>
      </c>
      <c r="BE22">
        <v>686.13</v>
      </c>
      <c r="BF22">
        <v>2366.39</v>
      </c>
      <c r="BG22">
        <v>310.60000000000002</v>
      </c>
      <c r="BH22">
        <v>310.60000000000002</v>
      </c>
      <c r="BI22">
        <v>0</v>
      </c>
      <c r="BJ22">
        <v>80.84</v>
      </c>
      <c r="BK22">
        <v>-3.06</v>
      </c>
      <c r="BL22">
        <v>0.14000000000000001</v>
      </c>
      <c r="BM22">
        <v>77.92</v>
      </c>
      <c r="BN22">
        <v>232.68</v>
      </c>
      <c r="BO22">
        <v>232.68</v>
      </c>
      <c r="BP22">
        <v>232.68</v>
      </c>
      <c r="BQ22">
        <v>62.11</v>
      </c>
      <c r="BR22">
        <v>0</v>
      </c>
      <c r="BS22">
        <v>250</v>
      </c>
    </row>
    <row r="23" spans="1:71" x14ac:dyDescent="0.25">
      <c r="A23" t="s">
        <v>122</v>
      </c>
      <c r="B23">
        <v>3</v>
      </c>
      <c r="C23">
        <v>2021</v>
      </c>
      <c r="D23">
        <v>24.84</v>
      </c>
      <c r="E23">
        <v>24.84</v>
      </c>
      <c r="F23">
        <v>1540.23</v>
      </c>
      <c r="G23">
        <v>1540.23</v>
      </c>
      <c r="H23">
        <v>1572.41</v>
      </c>
      <c r="I23">
        <v>0</v>
      </c>
      <c r="J23">
        <v>115.4</v>
      </c>
      <c r="K23">
        <v>16.100000000000001</v>
      </c>
      <c r="L23">
        <v>154.30000000000001</v>
      </c>
      <c r="M23">
        <v>0</v>
      </c>
      <c r="N23">
        <v>222.8</v>
      </c>
      <c r="O23">
        <v>199.11</v>
      </c>
      <c r="P23">
        <v>27.18</v>
      </c>
      <c r="Q23">
        <v>449.09</v>
      </c>
      <c r="R23">
        <v>2175.8000000000002</v>
      </c>
      <c r="S23">
        <v>0</v>
      </c>
      <c r="T23">
        <v>0</v>
      </c>
      <c r="U23">
        <v>904.73</v>
      </c>
      <c r="V23">
        <v>112.23</v>
      </c>
      <c r="W23">
        <v>1056.0899999999999</v>
      </c>
      <c r="X23" t="e">
        <v>#N/A</v>
      </c>
      <c r="Y23">
        <v>15.43</v>
      </c>
      <c r="Z23">
        <v>24.19</v>
      </c>
      <c r="AA23">
        <v>1095.9100000000001</v>
      </c>
      <c r="AB23">
        <v>0</v>
      </c>
      <c r="AC23">
        <v>422.14</v>
      </c>
      <c r="AD23">
        <v>181.46</v>
      </c>
      <c r="AE23">
        <v>7.69</v>
      </c>
      <c r="AF23">
        <v>0.41</v>
      </c>
      <c r="AG23">
        <v>130.21</v>
      </c>
      <c r="AH23">
        <v>1079.8900000000001</v>
      </c>
      <c r="AI23">
        <v>2175.8000000000002</v>
      </c>
      <c r="AJ23">
        <v>0</v>
      </c>
      <c r="AK23">
        <v>0</v>
      </c>
      <c r="AL23">
        <v>241.94</v>
      </c>
      <c r="AM23">
        <v>337.98</v>
      </c>
      <c r="AN23" t="s">
        <v>53</v>
      </c>
      <c r="AO23" t="s">
        <v>53</v>
      </c>
      <c r="AP23">
        <v>0</v>
      </c>
      <c r="AQ23">
        <v>2345.58</v>
      </c>
      <c r="AR23">
        <v>2345.58</v>
      </c>
      <c r="AS23">
        <v>13.57</v>
      </c>
      <c r="AT23">
        <v>2359.15</v>
      </c>
      <c r="AU23">
        <v>22.77</v>
      </c>
      <c r="AV23">
        <v>2381.92</v>
      </c>
      <c r="AW23">
        <v>0</v>
      </c>
      <c r="AX23">
        <v>863.85</v>
      </c>
      <c r="AY23">
        <v>95.28</v>
      </c>
      <c r="AZ23">
        <v>44.15</v>
      </c>
      <c r="BA23">
        <v>301.39</v>
      </c>
      <c r="BB23">
        <v>17.079999999999998</v>
      </c>
      <c r="BC23" t="e">
        <v>#N/A</v>
      </c>
      <c r="BD23">
        <v>110.02</v>
      </c>
      <c r="BE23">
        <v>558.99</v>
      </c>
      <c r="BF23">
        <v>1990.76</v>
      </c>
      <c r="BG23">
        <v>391.16</v>
      </c>
      <c r="BH23">
        <v>391.16</v>
      </c>
      <c r="BI23">
        <v>0</v>
      </c>
      <c r="BJ23">
        <v>102.03</v>
      </c>
      <c r="BK23">
        <v>-2.4300000000000002</v>
      </c>
      <c r="BL23">
        <v>0</v>
      </c>
      <c r="BM23">
        <v>99.6</v>
      </c>
      <c r="BN23">
        <v>291.56</v>
      </c>
      <c r="BO23">
        <v>291.56</v>
      </c>
      <c r="BP23">
        <v>291.56</v>
      </c>
      <c r="BQ23">
        <v>0</v>
      </c>
      <c r="BR23">
        <v>0</v>
      </c>
      <c r="BS23">
        <v>250</v>
      </c>
    </row>
    <row r="24" spans="1:71" x14ac:dyDescent="0.25">
      <c r="A24" t="s">
        <v>122</v>
      </c>
      <c r="B24">
        <v>4</v>
      </c>
      <c r="C24">
        <v>2020</v>
      </c>
      <c r="D24">
        <v>24.82</v>
      </c>
      <c r="E24">
        <v>24.82</v>
      </c>
      <c r="F24">
        <v>1247.58</v>
      </c>
      <c r="G24">
        <v>1247.58</v>
      </c>
      <c r="H24">
        <v>1272.4000000000001</v>
      </c>
      <c r="I24">
        <v>0</v>
      </c>
      <c r="J24">
        <v>119.79</v>
      </c>
      <c r="K24">
        <v>10.84</v>
      </c>
      <c r="L24">
        <v>155.38</v>
      </c>
      <c r="M24">
        <v>0</v>
      </c>
      <c r="N24">
        <v>183.79</v>
      </c>
      <c r="O24">
        <v>159.69999999999999</v>
      </c>
      <c r="P24">
        <v>50.65</v>
      </c>
      <c r="Q24">
        <v>413.3</v>
      </c>
      <c r="R24">
        <v>1841.08</v>
      </c>
      <c r="S24">
        <v>0</v>
      </c>
      <c r="T24">
        <v>0</v>
      </c>
      <c r="U24">
        <v>940.03</v>
      </c>
      <c r="V24">
        <v>43.81</v>
      </c>
      <c r="W24">
        <v>1026.6099999999999</v>
      </c>
      <c r="X24" t="e">
        <v>#N/A</v>
      </c>
      <c r="Y24">
        <v>18.489999999999998</v>
      </c>
      <c r="Z24">
        <v>4.58</v>
      </c>
      <c r="AA24">
        <v>1049.8800000000001</v>
      </c>
      <c r="AB24">
        <v>0</v>
      </c>
      <c r="AC24">
        <v>447.74</v>
      </c>
      <c r="AD24">
        <v>172.08</v>
      </c>
      <c r="AE24">
        <v>4.09</v>
      </c>
      <c r="AF24">
        <v>0.28000000000000003</v>
      </c>
      <c r="AG24">
        <v>167.01</v>
      </c>
      <c r="AH24">
        <v>791.2</v>
      </c>
      <c r="AI24">
        <v>1841.08</v>
      </c>
      <c r="AJ24">
        <v>0</v>
      </c>
      <c r="AK24">
        <v>0</v>
      </c>
      <c r="AL24">
        <v>243.25</v>
      </c>
      <c r="AM24">
        <v>0</v>
      </c>
      <c r="AN24" t="s">
        <v>53</v>
      </c>
      <c r="AO24" t="s">
        <v>53</v>
      </c>
      <c r="AP24">
        <v>0</v>
      </c>
      <c r="AQ24">
        <v>2392.9299999999998</v>
      </c>
      <c r="AR24">
        <v>2392.9299999999998</v>
      </c>
      <c r="AS24">
        <v>17.55</v>
      </c>
      <c r="AT24">
        <v>2410.48</v>
      </c>
      <c r="AU24">
        <v>9.0500000000000007</v>
      </c>
      <c r="AV24">
        <v>2419.5300000000002</v>
      </c>
      <c r="AW24">
        <v>0</v>
      </c>
      <c r="AX24">
        <v>930.78</v>
      </c>
      <c r="AY24">
        <v>162.08000000000001</v>
      </c>
      <c r="AZ24">
        <v>-53.54</v>
      </c>
      <c r="BA24">
        <v>293.99</v>
      </c>
      <c r="BB24">
        <v>16.87</v>
      </c>
      <c r="BC24" t="e">
        <v>#N/A</v>
      </c>
      <c r="BD24">
        <v>109.42</v>
      </c>
      <c r="BE24">
        <v>668.22</v>
      </c>
      <c r="BF24">
        <v>2127.8200000000002</v>
      </c>
      <c r="BG24">
        <v>291.70999999999998</v>
      </c>
      <c r="BH24">
        <v>291.70999999999998</v>
      </c>
      <c r="BI24">
        <v>0</v>
      </c>
      <c r="BJ24">
        <v>74.92</v>
      </c>
      <c r="BK24">
        <v>-9.4600000000000009</v>
      </c>
      <c r="BL24">
        <v>0</v>
      </c>
      <c r="BM24">
        <v>65.459999999999994</v>
      </c>
      <c r="BN24">
        <v>226.25</v>
      </c>
      <c r="BO24">
        <v>226.25</v>
      </c>
      <c r="BP24">
        <v>226.25</v>
      </c>
      <c r="BQ24">
        <v>53.36</v>
      </c>
      <c r="BR24">
        <v>10.96</v>
      </c>
      <c r="BS24">
        <v>125</v>
      </c>
    </row>
    <row r="25" spans="1:71" x14ac:dyDescent="0.25">
      <c r="A25" t="s">
        <v>122</v>
      </c>
      <c r="B25">
        <v>5</v>
      </c>
      <c r="C25">
        <v>2019</v>
      </c>
      <c r="D25">
        <v>12.4</v>
      </c>
      <c r="E25">
        <v>12.4</v>
      </c>
      <c r="F25">
        <v>1092.67</v>
      </c>
      <c r="G25">
        <v>1092.67</v>
      </c>
      <c r="H25">
        <v>1105.07</v>
      </c>
      <c r="I25">
        <v>0</v>
      </c>
      <c r="J25">
        <v>0.01</v>
      </c>
      <c r="K25">
        <v>9</v>
      </c>
      <c r="L25">
        <v>43.45</v>
      </c>
      <c r="M25">
        <v>0</v>
      </c>
      <c r="N25">
        <v>171.82</v>
      </c>
      <c r="O25">
        <v>174.5</v>
      </c>
      <c r="P25">
        <v>29.67</v>
      </c>
      <c r="Q25">
        <v>462.91</v>
      </c>
      <c r="R25">
        <v>1611.43</v>
      </c>
      <c r="S25">
        <v>0</v>
      </c>
      <c r="T25">
        <v>0</v>
      </c>
      <c r="U25">
        <v>800.45</v>
      </c>
      <c r="V25">
        <v>10.17</v>
      </c>
      <c r="W25">
        <v>859.54</v>
      </c>
      <c r="X25" t="e">
        <v>#N/A</v>
      </c>
      <c r="Y25">
        <v>17.09</v>
      </c>
      <c r="Z25">
        <v>7.62</v>
      </c>
      <c r="AA25">
        <v>884.45</v>
      </c>
      <c r="AB25">
        <v>0</v>
      </c>
      <c r="AC25">
        <v>382.43</v>
      </c>
      <c r="AD25">
        <v>222.57</v>
      </c>
      <c r="AE25">
        <v>2.2200000000000002</v>
      </c>
      <c r="AF25">
        <v>0.39</v>
      </c>
      <c r="AG25">
        <v>119.37</v>
      </c>
      <c r="AH25">
        <v>726.98</v>
      </c>
      <c r="AI25">
        <v>1611.43</v>
      </c>
      <c r="AJ25">
        <v>0</v>
      </c>
      <c r="AK25">
        <v>0</v>
      </c>
      <c r="AL25">
        <v>169.49</v>
      </c>
      <c r="AM25">
        <v>0</v>
      </c>
      <c r="AN25" t="s">
        <v>53</v>
      </c>
      <c r="AO25" t="s">
        <v>53</v>
      </c>
      <c r="AP25">
        <v>0</v>
      </c>
      <c r="AQ25">
        <v>2276.94</v>
      </c>
      <c r="AR25">
        <v>2276.94</v>
      </c>
      <c r="AS25">
        <v>15.14</v>
      </c>
      <c r="AT25">
        <v>2292.08</v>
      </c>
      <c r="AU25">
        <v>12.98</v>
      </c>
      <c r="AV25">
        <v>2305.06</v>
      </c>
      <c r="AW25">
        <v>0</v>
      </c>
      <c r="AX25">
        <v>912.6</v>
      </c>
      <c r="AY25">
        <v>217.53</v>
      </c>
      <c r="AZ25">
        <v>-57.81</v>
      </c>
      <c r="BA25">
        <v>258.66000000000003</v>
      </c>
      <c r="BB25">
        <v>6.9</v>
      </c>
      <c r="BC25" t="e">
        <v>#N/A</v>
      </c>
      <c r="BD25">
        <v>62.41</v>
      </c>
      <c r="BE25">
        <v>636.79</v>
      </c>
      <c r="BF25">
        <v>2037.08</v>
      </c>
      <c r="BG25">
        <v>267.98</v>
      </c>
      <c r="BH25">
        <v>267.98</v>
      </c>
      <c r="BI25">
        <v>0</v>
      </c>
      <c r="BJ25">
        <v>85.64</v>
      </c>
      <c r="BK25">
        <v>6.9</v>
      </c>
      <c r="BL25">
        <v>0</v>
      </c>
      <c r="BM25">
        <v>92.54</v>
      </c>
      <c r="BN25">
        <v>175.44</v>
      </c>
      <c r="BO25">
        <v>175.44</v>
      </c>
      <c r="BP25">
        <v>175.44</v>
      </c>
      <c r="BQ25">
        <v>18.05</v>
      </c>
      <c r="BR25">
        <v>3.71</v>
      </c>
      <c r="BS25">
        <v>90</v>
      </c>
    </row>
    <row r="26" spans="1:71" x14ac:dyDescent="0.25">
      <c r="A26" t="s">
        <v>122</v>
      </c>
      <c r="B26">
        <v>6</v>
      </c>
      <c r="C26">
        <v>2018</v>
      </c>
      <c r="D26">
        <v>12.03</v>
      </c>
      <c r="E26">
        <v>12.03</v>
      </c>
      <c r="F26">
        <v>749.18</v>
      </c>
      <c r="G26">
        <v>749.18</v>
      </c>
      <c r="H26">
        <v>761.21</v>
      </c>
      <c r="I26">
        <v>0</v>
      </c>
      <c r="J26">
        <v>0.71</v>
      </c>
      <c r="K26">
        <v>7.48</v>
      </c>
      <c r="L26">
        <v>73.760000000000005</v>
      </c>
      <c r="M26">
        <v>0</v>
      </c>
      <c r="N26">
        <v>174.9</v>
      </c>
      <c r="O26">
        <v>151.22999999999999</v>
      </c>
      <c r="P26">
        <v>2.64</v>
      </c>
      <c r="Q26">
        <v>414.86</v>
      </c>
      <c r="R26">
        <v>1249.83</v>
      </c>
      <c r="S26">
        <v>0</v>
      </c>
      <c r="T26">
        <v>0</v>
      </c>
      <c r="U26">
        <v>469.81</v>
      </c>
      <c r="V26">
        <v>136.44</v>
      </c>
      <c r="W26">
        <v>662.44</v>
      </c>
      <c r="X26" t="e">
        <v>#N/A</v>
      </c>
      <c r="Y26">
        <v>16.2</v>
      </c>
      <c r="Z26">
        <v>9.25</v>
      </c>
      <c r="AA26">
        <v>688.09</v>
      </c>
      <c r="AB26">
        <v>0</v>
      </c>
      <c r="AC26">
        <v>313.93</v>
      </c>
      <c r="AD26">
        <v>173.45</v>
      </c>
      <c r="AE26">
        <v>4</v>
      </c>
      <c r="AF26">
        <v>0.39</v>
      </c>
      <c r="AG26">
        <v>69.47</v>
      </c>
      <c r="AH26">
        <v>561.74</v>
      </c>
      <c r="AI26">
        <v>1249.83</v>
      </c>
      <c r="AJ26">
        <v>0</v>
      </c>
      <c r="AK26">
        <v>0</v>
      </c>
      <c r="AL26">
        <v>201.42</v>
      </c>
      <c r="AM26">
        <v>0.5</v>
      </c>
      <c r="AN26" t="s">
        <v>53</v>
      </c>
      <c r="AO26">
        <v>0.5</v>
      </c>
      <c r="AP26">
        <v>0</v>
      </c>
      <c r="AQ26">
        <v>1939.26</v>
      </c>
      <c r="AR26">
        <v>1931.74</v>
      </c>
      <c r="AS26">
        <v>9.31</v>
      </c>
      <c r="AT26">
        <v>1941.05</v>
      </c>
      <c r="AU26">
        <v>4.46</v>
      </c>
      <c r="AV26">
        <v>1945.51</v>
      </c>
      <c r="AW26">
        <v>0</v>
      </c>
      <c r="AX26">
        <v>705.69</v>
      </c>
      <c r="AY26">
        <v>190.94</v>
      </c>
      <c r="AZ26">
        <v>-13.62</v>
      </c>
      <c r="BA26">
        <v>214.08</v>
      </c>
      <c r="BB26">
        <v>8.59</v>
      </c>
      <c r="BC26" t="e">
        <v>#N/A</v>
      </c>
      <c r="BD26">
        <v>54.34</v>
      </c>
      <c r="BE26">
        <v>541.87</v>
      </c>
      <c r="BF26">
        <v>1701.89</v>
      </c>
      <c r="BG26">
        <v>243.62</v>
      </c>
      <c r="BH26">
        <v>243.62</v>
      </c>
      <c r="BI26">
        <v>0</v>
      </c>
      <c r="BJ26">
        <v>81.53</v>
      </c>
      <c r="BK26">
        <v>1.02</v>
      </c>
      <c r="BL26">
        <v>0</v>
      </c>
      <c r="BM26">
        <v>82.55</v>
      </c>
      <c r="BN26">
        <v>161.07</v>
      </c>
      <c r="BO26">
        <v>161.07</v>
      </c>
      <c r="BP26">
        <v>161.07</v>
      </c>
      <c r="BQ26">
        <v>12.01</v>
      </c>
      <c r="BR26">
        <v>2.4500000000000002</v>
      </c>
      <c r="BS26">
        <v>150</v>
      </c>
    </row>
    <row r="27" spans="1:71" x14ac:dyDescent="0.25">
      <c r="A27" t="s">
        <v>123</v>
      </c>
      <c r="B27">
        <v>2</v>
      </c>
      <c r="C27">
        <v>2022</v>
      </c>
      <c r="D27">
        <v>64.260000000000005</v>
      </c>
      <c r="E27">
        <v>64.260000000000005</v>
      </c>
      <c r="F27">
        <v>1749.96</v>
      </c>
      <c r="G27">
        <v>1749.96</v>
      </c>
      <c r="H27">
        <v>1814.23</v>
      </c>
      <c r="I27">
        <v>0</v>
      </c>
      <c r="J27">
        <v>891.29</v>
      </c>
      <c r="K27">
        <v>2.0299999999999998</v>
      </c>
      <c r="L27">
        <v>893.32</v>
      </c>
      <c r="M27">
        <v>0</v>
      </c>
      <c r="N27">
        <v>456.08</v>
      </c>
      <c r="O27">
        <v>352.03</v>
      </c>
      <c r="P27">
        <v>8.98</v>
      </c>
      <c r="Q27">
        <v>817.09</v>
      </c>
      <c r="R27">
        <v>3524.64</v>
      </c>
      <c r="S27">
        <v>0</v>
      </c>
      <c r="T27">
        <v>0</v>
      </c>
      <c r="U27">
        <v>1207.3</v>
      </c>
      <c r="V27">
        <v>3.72</v>
      </c>
      <c r="W27">
        <v>1229.22</v>
      </c>
      <c r="X27">
        <v>104.85</v>
      </c>
      <c r="Y27">
        <v>0</v>
      </c>
      <c r="Z27">
        <v>189.78</v>
      </c>
      <c r="AA27">
        <v>1528.7</v>
      </c>
      <c r="AB27">
        <v>0</v>
      </c>
      <c r="AC27">
        <v>870.91</v>
      </c>
      <c r="AD27">
        <v>71.72</v>
      </c>
      <c r="AE27">
        <v>964.82</v>
      </c>
      <c r="AF27">
        <v>0</v>
      </c>
      <c r="AG27">
        <v>88.5</v>
      </c>
      <c r="AH27">
        <v>1995.94</v>
      </c>
      <c r="AI27">
        <v>3524.64</v>
      </c>
      <c r="AJ27">
        <v>0</v>
      </c>
      <c r="AK27">
        <v>0</v>
      </c>
      <c r="AL27">
        <v>88.84</v>
      </c>
      <c r="AM27">
        <v>0</v>
      </c>
      <c r="AN27" t="s">
        <v>53</v>
      </c>
      <c r="AO27" t="s">
        <v>53</v>
      </c>
      <c r="AP27" t="e">
        <v>#N/A</v>
      </c>
      <c r="AQ27">
        <v>2386.8200000000002</v>
      </c>
      <c r="AR27">
        <v>2386.8200000000002</v>
      </c>
      <c r="AS27">
        <v>0.9</v>
      </c>
      <c r="AT27">
        <v>2387.7199999999998</v>
      </c>
      <c r="AU27">
        <v>55.99</v>
      </c>
      <c r="AV27">
        <v>2443.71</v>
      </c>
      <c r="AW27">
        <v>0</v>
      </c>
      <c r="AX27">
        <v>247.79</v>
      </c>
      <c r="AY27">
        <v>1094.46</v>
      </c>
      <c r="AZ27">
        <v>-255.45</v>
      </c>
      <c r="BA27">
        <v>378.68</v>
      </c>
      <c r="BB27">
        <v>92.82</v>
      </c>
      <c r="BC27" t="e">
        <v>#N/A</v>
      </c>
      <c r="BD27">
        <v>241.96</v>
      </c>
      <c r="BE27">
        <v>503.73</v>
      </c>
      <c r="BF27">
        <v>2304.0100000000002</v>
      </c>
      <c r="BG27">
        <v>139.69999999999999</v>
      </c>
      <c r="BH27">
        <v>139.69999999999999</v>
      </c>
      <c r="BI27">
        <v>0</v>
      </c>
      <c r="BJ27">
        <v>4.29</v>
      </c>
      <c r="BK27">
        <v>32.42</v>
      </c>
      <c r="BL27">
        <v>0</v>
      </c>
      <c r="BM27">
        <v>36.71</v>
      </c>
      <c r="BN27">
        <v>102.99</v>
      </c>
      <c r="BO27">
        <v>102.99</v>
      </c>
      <c r="BP27">
        <v>102.99</v>
      </c>
      <c r="BQ27">
        <v>51.41</v>
      </c>
      <c r="BR27">
        <v>0</v>
      </c>
      <c r="BS27" t="e">
        <v>#N/A</v>
      </c>
    </row>
    <row r="28" spans="1:71" x14ac:dyDescent="0.25">
      <c r="A28" t="s">
        <v>123</v>
      </c>
      <c r="B28">
        <v>3</v>
      </c>
      <c r="C28">
        <v>2021</v>
      </c>
      <c r="D28">
        <v>64.260000000000005</v>
      </c>
      <c r="E28">
        <v>64.260000000000005</v>
      </c>
      <c r="F28">
        <v>1695.51</v>
      </c>
      <c r="G28">
        <v>1695.51</v>
      </c>
      <c r="H28">
        <v>1759.77</v>
      </c>
      <c r="I28">
        <v>0</v>
      </c>
      <c r="J28">
        <v>859.67</v>
      </c>
      <c r="K28">
        <v>2.06</v>
      </c>
      <c r="L28">
        <v>861.73</v>
      </c>
      <c r="M28">
        <v>0</v>
      </c>
      <c r="N28">
        <v>439.57</v>
      </c>
      <c r="O28">
        <v>264.32</v>
      </c>
      <c r="P28">
        <v>8.58</v>
      </c>
      <c r="Q28">
        <v>712.47</v>
      </c>
      <c r="R28">
        <v>3333.97</v>
      </c>
      <c r="S28">
        <v>0</v>
      </c>
      <c r="T28">
        <v>0</v>
      </c>
      <c r="U28">
        <v>1110.8800000000001</v>
      </c>
      <c r="V28">
        <v>33.61</v>
      </c>
      <c r="W28">
        <v>1151.24</v>
      </c>
      <c r="X28">
        <v>138.4</v>
      </c>
      <c r="Y28">
        <v>116.31</v>
      </c>
      <c r="Z28">
        <v>66.040000000000006</v>
      </c>
      <c r="AA28">
        <v>1476.94</v>
      </c>
      <c r="AB28">
        <v>0</v>
      </c>
      <c r="AC28">
        <v>608.28</v>
      </c>
      <c r="AD28">
        <v>79.37</v>
      </c>
      <c r="AE28">
        <v>1093.56</v>
      </c>
      <c r="AF28">
        <v>12.37</v>
      </c>
      <c r="AG28">
        <v>63.46</v>
      </c>
      <c r="AH28">
        <v>1857.03</v>
      </c>
      <c r="AI28">
        <v>3333.97</v>
      </c>
      <c r="AJ28">
        <v>0</v>
      </c>
      <c r="AK28">
        <v>0</v>
      </c>
      <c r="AL28">
        <v>54.71</v>
      </c>
      <c r="AM28">
        <v>0</v>
      </c>
      <c r="AN28" t="s">
        <v>53</v>
      </c>
      <c r="AO28" t="s">
        <v>53</v>
      </c>
      <c r="AP28" t="e">
        <v>#N/A</v>
      </c>
      <c r="AQ28">
        <v>1707.8</v>
      </c>
      <c r="AR28">
        <v>1707.8</v>
      </c>
      <c r="AS28">
        <v>0.68</v>
      </c>
      <c r="AT28">
        <v>1708.48</v>
      </c>
      <c r="AU28">
        <v>94.09</v>
      </c>
      <c r="AV28">
        <v>1802.57</v>
      </c>
      <c r="AW28">
        <v>0</v>
      </c>
      <c r="AX28">
        <v>109.9</v>
      </c>
      <c r="AY28">
        <v>465.87</v>
      </c>
      <c r="AZ28">
        <v>261.73</v>
      </c>
      <c r="BA28">
        <v>339.82</v>
      </c>
      <c r="BB28">
        <v>103.55</v>
      </c>
      <c r="BC28" t="e">
        <v>#N/A</v>
      </c>
      <c r="BD28">
        <v>264.75</v>
      </c>
      <c r="BE28">
        <v>368.98</v>
      </c>
      <c r="BF28">
        <v>1914.59</v>
      </c>
      <c r="BG28">
        <v>-112.03</v>
      </c>
      <c r="BH28">
        <v>-116.64</v>
      </c>
      <c r="BI28">
        <v>0</v>
      </c>
      <c r="BJ28">
        <v>0.09</v>
      </c>
      <c r="BK28">
        <v>-27.41</v>
      </c>
      <c r="BL28">
        <v>0</v>
      </c>
      <c r="BM28">
        <v>-27.33</v>
      </c>
      <c r="BN28">
        <v>-89.31</v>
      </c>
      <c r="BO28">
        <v>-89.31</v>
      </c>
      <c r="BP28">
        <v>-89.31</v>
      </c>
      <c r="BQ28">
        <v>51.41</v>
      </c>
      <c r="BR28">
        <v>0</v>
      </c>
      <c r="BS28" t="e">
        <v>#N/A</v>
      </c>
    </row>
    <row r="29" spans="1:71" x14ac:dyDescent="0.25">
      <c r="A29" t="s">
        <v>123</v>
      </c>
      <c r="B29">
        <v>4</v>
      </c>
      <c r="C29">
        <v>2020</v>
      </c>
      <c r="D29">
        <v>64.260000000000005</v>
      </c>
      <c r="E29">
        <v>64.260000000000005</v>
      </c>
      <c r="F29">
        <v>1832.32</v>
      </c>
      <c r="G29">
        <v>1832.32</v>
      </c>
      <c r="H29">
        <v>1896.58</v>
      </c>
      <c r="I29">
        <v>0</v>
      </c>
      <c r="J29">
        <v>1035.3499999999999</v>
      </c>
      <c r="K29">
        <v>2.5099999999999998</v>
      </c>
      <c r="L29">
        <v>1037.8499999999999</v>
      </c>
      <c r="M29">
        <v>0</v>
      </c>
      <c r="N29">
        <v>503.23</v>
      </c>
      <c r="O29">
        <v>289.01</v>
      </c>
      <c r="P29">
        <v>8.26</v>
      </c>
      <c r="Q29">
        <v>800.51</v>
      </c>
      <c r="R29">
        <v>3734.94</v>
      </c>
      <c r="S29">
        <v>0</v>
      </c>
      <c r="T29">
        <v>0</v>
      </c>
      <c r="U29">
        <v>1360.49</v>
      </c>
      <c r="V29">
        <v>19.86</v>
      </c>
      <c r="W29">
        <v>1387.39</v>
      </c>
      <c r="X29">
        <v>110.99</v>
      </c>
      <c r="Y29">
        <v>122.94</v>
      </c>
      <c r="Z29">
        <v>109.08</v>
      </c>
      <c r="AA29">
        <v>1735.34</v>
      </c>
      <c r="AB29">
        <v>0</v>
      </c>
      <c r="AC29">
        <v>873.68</v>
      </c>
      <c r="AD29">
        <v>61.23</v>
      </c>
      <c r="AE29">
        <v>962.35</v>
      </c>
      <c r="AF29">
        <v>7.18</v>
      </c>
      <c r="AG29">
        <v>95.16</v>
      </c>
      <c r="AH29">
        <v>1999.6</v>
      </c>
      <c r="AI29">
        <v>3734.94</v>
      </c>
      <c r="AJ29">
        <v>0</v>
      </c>
      <c r="AK29">
        <v>0</v>
      </c>
      <c r="AL29">
        <v>66.48</v>
      </c>
      <c r="AM29">
        <v>0</v>
      </c>
      <c r="AN29" t="s">
        <v>53</v>
      </c>
      <c r="AO29" t="s">
        <v>53</v>
      </c>
      <c r="AP29" t="e">
        <v>#N/A</v>
      </c>
      <c r="AQ29">
        <v>3054.28</v>
      </c>
      <c r="AR29">
        <v>3054.28</v>
      </c>
      <c r="AS29">
        <v>1.83</v>
      </c>
      <c r="AT29">
        <v>3056.11</v>
      </c>
      <c r="AU29">
        <v>68.680000000000007</v>
      </c>
      <c r="AV29">
        <v>3124.79</v>
      </c>
      <c r="AW29">
        <v>0</v>
      </c>
      <c r="AX29">
        <v>256.95999999999998</v>
      </c>
      <c r="AY29">
        <v>1073.6199999999999</v>
      </c>
      <c r="AZ29">
        <v>-33.99</v>
      </c>
      <c r="BA29">
        <v>376.42</v>
      </c>
      <c r="BB29">
        <v>117.74</v>
      </c>
      <c r="BC29" t="e">
        <v>#N/A</v>
      </c>
      <c r="BD29">
        <v>295.8</v>
      </c>
      <c r="BE29">
        <v>551.01</v>
      </c>
      <c r="BF29">
        <v>2637.56</v>
      </c>
      <c r="BG29">
        <v>487.24</v>
      </c>
      <c r="BH29">
        <v>487.24</v>
      </c>
      <c r="BI29">
        <v>0</v>
      </c>
      <c r="BJ29">
        <v>116.92</v>
      </c>
      <c r="BK29">
        <v>41.15</v>
      </c>
      <c r="BL29">
        <v>0.22</v>
      </c>
      <c r="BM29">
        <v>158.28</v>
      </c>
      <c r="BN29">
        <v>328.95</v>
      </c>
      <c r="BO29">
        <v>328.95</v>
      </c>
      <c r="BP29">
        <v>328.95</v>
      </c>
      <c r="BQ29">
        <v>80.33</v>
      </c>
      <c r="BR29">
        <v>16.510000000000002</v>
      </c>
      <c r="BS29" t="e">
        <v>#N/A</v>
      </c>
    </row>
    <row r="30" spans="1:71" x14ac:dyDescent="0.25">
      <c r="A30" t="s">
        <v>123</v>
      </c>
      <c r="B30">
        <v>5</v>
      </c>
      <c r="C30">
        <v>2019</v>
      </c>
      <c r="D30">
        <v>64.260000000000005</v>
      </c>
      <c r="E30">
        <v>64.260000000000005</v>
      </c>
      <c r="F30">
        <v>1682.27</v>
      </c>
      <c r="G30">
        <v>1682.27</v>
      </c>
      <c r="H30">
        <v>1746.53</v>
      </c>
      <c r="I30">
        <v>0</v>
      </c>
      <c r="J30">
        <v>100.24</v>
      </c>
      <c r="K30">
        <v>2.2799999999999998</v>
      </c>
      <c r="L30">
        <v>102.52</v>
      </c>
      <c r="M30">
        <v>0</v>
      </c>
      <c r="N30">
        <v>515.65</v>
      </c>
      <c r="O30">
        <v>98.27</v>
      </c>
      <c r="P30">
        <v>15.67</v>
      </c>
      <c r="Q30">
        <v>629.59</v>
      </c>
      <c r="R30">
        <v>2478.64</v>
      </c>
      <c r="S30">
        <v>0</v>
      </c>
      <c r="T30">
        <v>0</v>
      </c>
      <c r="U30">
        <v>310.77999999999997</v>
      </c>
      <c r="V30">
        <v>17.25</v>
      </c>
      <c r="W30">
        <v>331.82</v>
      </c>
      <c r="X30">
        <v>109.78</v>
      </c>
      <c r="Y30">
        <v>108.62</v>
      </c>
      <c r="Z30">
        <v>86</v>
      </c>
      <c r="AA30">
        <v>641.16999999999996</v>
      </c>
      <c r="AB30">
        <v>0</v>
      </c>
      <c r="AC30">
        <v>839.09</v>
      </c>
      <c r="AD30">
        <v>65.3</v>
      </c>
      <c r="AE30">
        <v>839</v>
      </c>
      <c r="AF30">
        <v>3.76</v>
      </c>
      <c r="AG30">
        <v>90.33</v>
      </c>
      <c r="AH30">
        <v>1837.47</v>
      </c>
      <c r="AI30">
        <v>2478.64</v>
      </c>
      <c r="AJ30">
        <v>0</v>
      </c>
      <c r="AK30">
        <v>0</v>
      </c>
      <c r="AL30">
        <v>73.38</v>
      </c>
      <c r="AM30">
        <v>0</v>
      </c>
      <c r="AN30" t="s">
        <v>53</v>
      </c>
      <c r="AO30" t="s">
        <v>53</v>
      </c>
      <c r="AP30" t="e">
        <v>#N/A</v>
      </c>
      <c r="AQ30">
        <v>2929.06</v>
      </c>
      <c r="AR30">
        <v>2929.06</v>
      </c>
      <c r="AS30">
        <v>2.04</v>
      </c>
      <c r="AT30">
        <v>2931.1</v>
      </c>
      <c r="AU30">
        <v>68.22</v>
      </c>
      <c r="AV30">
        <v>2999.32</v>
      </c>
      <c r="AW30">
        <v>0</v>
      </c>
      <c r="AX30">
        <v>280.72000000000003</v>
      </c>
      <c r="AY30">
        <v>1086.1300000000001</v>
      </c>
      <c r="AZ30">
        <v>-79.739999999999995</v>
      </c>
      <c r="BA30">
        <v>331.08</v>
      </c>
      <c r="BB30">
        <v>3.55</v>
      </c>
      <c r="BC30" t="e">
        <v>#N/A</v>
      </c>
      <c r="BD30">
        <v>64.05</v>
      </c>
      <c r="BE30">
        <v>835.85</v>
      </c>
      <c r="BF30">
        <v>2521.64</v>
      </c>
      <c r="BG30">
        <v>477.69</v>
      </c>
      <c r="BH30">
        <v>477.69</v>
      </c>
      <c r="BI30">
        <v>0</v>
      </c>
      <c r="BJ30">
        <v>173.01</v>
      </c>
      <c r="BK30">
        <v>-4.3899999999999997</v>
      </c>
      <c r="BL30">
        <v>-19.93</v>
      </c>
      <c r="BM30">
        <v>148.69</v>
      </c>
      <c r="BN30">
        <v>328.99</v>
      </c>
      <c r="BO30">
        <v>328.99</v>
      </c>
      <c r="BP30">
        <v>328.99</v>
      </c>
      <c r="BQ30">
        <v>51.41</v>
      </c>
      <c r="BR30">
        <v>10.57</v>
      </c>
      <c r="BS30" t="e">
        <v>#N/A</v>
      </c>
    </row>
    <row r="31" spans="1:71" x14ac:dyDescent="0.25">
      <c r="A31" t="s">
        <v>123</v>
      </c>
      <c r="B31">
        <v>6</v>
      </c>
      <c r="C31">
        <v>2018</v>
      </c>
      <c r="D31">
        <v>64.260000000000005</v>
      </c>
      <c r="E31">
        <v>64.260000000000005</v>
      </c>
      <c r="F31">
        <v>1414.45</v>
      </c>
      <c r="G31">
        <v>1414.45</v>
      </c>
      <c r="H31">
        <v>1478.71</v>
      </c>
      <c r="I31">
        <v>0</v>
      </c>
      <c r="J31">
        <v>103.74</v>
      </c>
      <c r="K31">
        <v>2.19</v>
      </c>
      <c r="L31">
        <v>105.93</v>
      </c>
      <c r="M31">
        <v>0</v>
      </c>
      <c r="N31">
        <v>479.23</v>
      </c>
      <c r="O31">
        <v>70.67</v>
      </c>
      <c r="P31">
        <v>10.32</v>
      </c>
      <c r="Q31">
        <v>560.22</v>
      </c>
      <c r="R31">
        <v>2144.87</v>
      </c>
      <c r="S31">
        <v>0</v>
      </c>
      <c r="T31">
        <v>0</v>
      </c>
      <c r="U31">
        <v>292.91000000000003</v>
      </c>
      <c r="V31">
        <v>12.12</v>
      </c>
      <c r="W31">
        <v>306.58</v>
      </c>
      <c r="X31">
        <v>105.39</v>
      </c>
      <c r="Y31">
        <v>99.31</v>
      </c>
      <c r="Z31">
        <v>81.06</v>
      </c>
      <c r="AA31">
        <v>597.28</v>
      </c>
      <c r="AB31">
        <v>0</v>
      </c>
      <c r="AC31">
        <v>762.11</v>
      </c>
      <c r="AD31">
        <v>88.63</v>
      </c>
      <c r="AE31">
        <v>588.49</v>
      </c>
      <c r="AF31">
        <v>3.77</v>
      </c>
      <c r="AG31">
        <v>104.58</v>
      </c>
      <c r="AH31">
        <v>1547.58</v>
      </c>
      <c r="AI31">
        <v>2144.87</v>
      </c>
      <c r="AJ31">
        <v>0</v>
      </c>
      <c r="AK31">
        <v>0</v>
      </c>
      <c r="AL31">
        <v>77.33</v>
      </c>
      <c r="AM31">
        <v>0</v>
      </c>
      <c r="AN31" t="s">
        <v>53</v>
      </c>
      <c r="AO31" t="s">
        <v>53</v>
      </c>
      <c r="AP31" t="e">
        <v>#N/A</v>
      </c>
      <c r="AQ31">
        <v>2639.8</v>
      </c>
      <c r="AR31">
        <v>2632.76</v>
      </c>
      <c r="AS31">
        <v>1.41</v>
      </c>
      <c r="AT31">
        <v>2634.17</v>
      </c>
      <c r="AU31">
        <v>50.33</v>
      </c>
      <c r="AV31">
        <v>2684.5</v>
      </c>
      <c r="AW31">
        <v>0</v>
      </c>
      <c r="AX31">
        <v>269.52</v>
      </c>
      <c r="AY31">
        <v>985.47</v>
      </c>
      <c r="AZ31">
        <v>-52.6</v>
      </c>
      <c r="BA31">
        <v>295.61</v>
      </c>
      <c r="BB31">
        <v>4.2</v>
      </c>
      <c r="BC31" t="e">
        <v>#N/A</v>
      </c>
      <c r="BD31">
        <v>60.45</v>
      </c>
      <c r="BE31">
        <v>784.8</v>
      </c>
      <c r="BF31">
        <v>2347.46</v>
      </c>
      <c r="BG31">
        <v>337.04</v>
      </c>
      <c r="BH31">
        <v>337.04</v>
      </c>
      <c r="BI31">
        <v>0</v>
      </c>
      <c r="BJ31">
        <v>121.47</v>
      </c>
      <c r="BK31">
        <v>-4.96</v>
      </c>
      <c r="BL31">
        <v>0.01</v>
      </c>
      <c r="BM31">
        <v>116.53</v>
      </c>
      <c r="BN31">
        <v>220.51</v>
      </c>
      <c r="BO31">
        <v>220.51</v>
      </c>
      <c r="BP31">
        <v>220.51</v>
      </c>
      <c r="BQ31">
        <v>44.99</v>
      </c>
      <c r="BR31">
        <v>9.16</v>
      </c>
      <c r="BS31" t="e">
        <v>#N/A</v>
      </c>
    </row>
    <row r="32" spans="1:71" x14ac:dyDescent="0.25">
      <c r="A32" t="s">
        <v>124</v>
      </c>
      <c r="B32">
        <v>2</v>
      </c>
      <c r="C32">
        <v>2022</v>
      </c>
      <c r="D32">
        <v>24.06</v>
      </c>
      <c r="E32">
        <v>24.06</v>
      </c>
      <c r="F32">
        <v>730.88</v>
      </c>
      <c r="G32">
        <v>730.88</v>
      </c>
      <c r="H32">
        <v>754.94</v>
      </c>
      <c r="I32">
        <v>0</v>
      </c>
      <c r="J32">
        <v>230.44</v>
      </c>
      <c r="K32">
        <v>13.71</v>
      </c>
      <c r="L32">
        <v>274.83999999999997</v>
      </c>
      <c r="M32">
        <v>0</v>
      </c>
      <c r="N32">
        <v>252.04</v>
      </c>
      <c r="O32">
        <v>71.69</v>
      </c>
      <c r="P32">
        <v>0.88</v>
      </c>
      <c r="Q32">
        <v>387.21</v>
      </c>
      <c r="R32">
        <v>1416.99</v>
      </c>
      <c r="S32">
        <v>0</v>
      </c>
      <c r="T32">
        <v>0</v>
      </c>
      <c r="U32">
        <v>591.75</v>
      </c>
      <c r="V32">
        <v>16.27</v>
      </c>
      <c r="W32">
        <v>612.85</v>
      </c>
      <c r="X32" t="e">
        <v>#N/A</v>
      </c>
      <c r="Y32" t="e">
        <v>#N/A</v>
      </c>
      <c r="Z32">
        <v>22.92</v>
      </c>
      <c r="AA32">
        <v>638.74</v>
      </c>
      <c r="AB32">
        <v>0</v>
      </c>
      <c r="AC32">
        <v>525.91999999999996</v>
      </c>
      <c r="AD32">
        <v>155.49</v>
      </c>
      <c r="AE32">
        <v>14.86</v>
      </c>
      <c r="AF32" t="e">
        <v>#N/A</v>
      </c>
      <c r="AG32">
        <v>81.98</v>
      </c>
      <c r="AH32">
        <v>778.25</v>
      </c>
      <c r="AI32">
        <v>1416.99</v>
      </c>
      <c r="AJ32">
        <v>0</v>
      </c>
      <c r="AK32">
        <v>0</v>
      </c>
      <c r="AL32">
        <v>195.7</v>
      </c>
      <c r="AM32">
        <v>0</v>
      </c>
      <c r="AN32" t="s">
        <v>53</v>
      </c>
      <c r="AO32" t="s">
        <v>53</v>
      </c>
      <c r="AP32" t="e">
        <v>#N/A</v>
      </c>
      <c r="AQ32">
        <v>1649.02</v>
      </c>
      <c r="AR32">
        <v>1649.02</v>
      </c>
      <c r="AS32">
        <v>29.65</v>
      </c>
      <c r="AT32">
        <v>1678.67</v>
      </c>
      <c r="AU32">
        <v>5.72</v>
      </c>
      <c r="AV32">
        <v>1684.39</v>
      </c>
      <c r="AW32">
        <v>0</v>
      </c>
      <c r="AX32">
        <v>294.58</v>
      </c>
      <c r="AY32">
        <v>707.16</v>
      </c>
      <c r="AZ32">
        <v>-57.42</v>
      </c>
      <c r="BA32">
        <v>105.2</v>
      </c>
      <c r="BB32">
        <v>26.98</v>
      </c>
      <c r="BC32" t="e">
        <v>#N/A</v>
      </c>
      <c r="BD32">
        <v>60.26</v>
      </c>
      <c r="BE32">
        <v>394.08</v>
      </c>
      <c r="BF32">
        <v>1530.84</v>
      </c>
      <c r="BG32">
        <v>153.55000000000001</v>
      </c>
      <c r="BH32">
        <v>153.55000000000001</v>
      </c>
      <c r="BI32">
        <v>0</v>
      </c>
      <c r="BJ32">
        <v>39.659999999999997</v>
      </c>
      <c r="BK32">
        <v>0.91</v>
      </c>
      <c r="BL32" t="e">
        <v>#N/A</v>
      </c>
      <c r="BM32">
        <v>40.57</v>
      </c>
      <c r="BN32">
        <v>112.98</v>
      </c>
      <c r="BO32">
        <v>112.98</v>
      </c>
      <c r="BP32">
        <v>112.98</v>
      </c>
      <c r="BQ32">
        <v>0</v>
      </c>
      <c r="BR32">
        <v>0</v>
      </c>
      <c r="BS32" t="e">
        <v>#N/A</v>
      </c>
    </row>
    <row r="33" spans="1:71" x14ac:dyDescent="0.25">
      <c r="A33" t="s">
        <v>124</v>
      </c>
      <c r="B33">
        <v>3</v>
      </c>
      <c r="C33">
        <v>2021</v>
      </c>
      <c r="D33">
        <v>24.06</v>
      </c>
      <c r="E33">
        <v>24.06</v>
      </c>
      <c r="F33">
        <v>613.12</v>
      </c>
      <c r="G33">
        <v>613.12</v>
      </c>
      <c r="H33">
        <v>637.17999999999995</v>
      </c>
      <c r="I33">
        <v>0</v>
      </c>
      <c r="J33">
        <v>193.73</v>
      </c>
      <c r="K33">
        <v>13.33</v>
      </c>
      <c r="L33">
        <v>226.08</v>
      </c>
      <c r="M33">
        <v>0</v>
      </c>
      <c r="N33">
        <v>108.91</v>
      </c>
      <c r="O33">
        <v>77.69</v>
      </c>
      <c r="P33">
        <v>1.33</v>
      </c>
      <c r="Q33">
        <v>304.82</v>
      </c>
      <c r="R33">
        <v>1168.08</v>
      </c>
      <c r="S33">
        <v>0</v>
      </c>
      <c r="T33">
        <v>0</v>
      </c>
      <c r="U33">
        <v>563.14</v>
      </c>
      <c r="V33">
        <v>11.23</v>
      </c>
      <c r="W33">
        <v>574.37</v>
      </c>
      <c r="X33" t="e">
        <v>#N/A</v>
      </c>
      <c r="Y33" t="e">
        <v>#N/A</v>
      </c>
      <c r="Z33">
        <v>13</v>
      </c>
      <c r="AA33">
        <v>590.29</v>
      </c>
      <c r="AB33">
        <v>0</v>
      </c>
      <c r="AC33">
        <v>426.27</v>
      </c>
      <c r="AD33">
        <v>79.67</v>
      </c>
      <c r="AE33">
        <v>10.050000000000001</v>
      </c>
      <c r="AF33" t="e">
        <v>#N/A</v>
      </c>
      <c r="AG33">
        <v>61.8</v>
      </c>
      <c r="AH33">
        <v>577.79</v>
      </c>
      <c r="AI33">
        <v>1168.08</v>
      </c>
      <c r="AJ33">
        <v>0</v>
      </c>
      <c r="AK33">
        <v>0</v>
      </c>
      <c r="AL33">
        <v>86.09</v>
      </c>
      <c r="AM33">
        <v>0</v>
      </c>
      <c r="AN33" t="s">
        <v>53</v>
      </c>
      <c r="AO33" t="s">
        <v>53</v>
      </c>
      <c r="AP33" t="e">
        <v>#N/A</v>
      </c>
      <c r="AQ33">
        <v>1026.47</v>
      </c>
      <c r="AR33">
        <v>1026.47</v>
      </c>
      <c r="AS33">
        <v>22.46</v>
      </c>
      <c r="AT33">
        <v>1048.93</v>
      </c>
      <c r="AU33">
        <v>1.2</v>
      </c>
      <c r="AV33">
        <v>1050.1300000000001</v>
      </c>
      <c r="AW33">
        <v>0</v>
      </c>
      <c r="AX33">
        <v>180.8</v>
      </c>
      <c r="AY33">
        <v>440.53</v>
      </c>
      <c r="AZ33">
        <v>-32.65</v>
      </c>
      <c r="BA33">
        <v>89.4</v>
      </c>
      <c r="BB33">
        <v>41.01</v>
      </c>
      <c r="BC33" t="e">
        <v>#N/A</v>
      </c>
      <c r="BD33">
        <v>66.540000000000006</v>
      </c>
      <c r="BE33">
        <v>252.57</v>
      </c>
      <c r="BF33">
        <v>1038.2</v>
      </c>
      <c r="BG33">
        <v>11.93</v>
      </c>
      <c r="BH33">
        <v>11.93</v>
      </c>
      <c r="BI33">
        <v>0</v>
      </c>
      <c r="BJ33">
        <v>6.57</v>
      </c>
      <c r="BK33">
        <v>-3.02</v>
      </c>
      <c r="BL33" t="e">
        <v>#N/A</v>
      </c>
      <c r="BM33">
        <v>3.55</v>
      </c>
      <c r="BN33">
        <v>8.3800000000000008</v>
      </c>
      <c r="BO33">
        <v>8.3800000000000008</v>
      </c>
      <c r="BP33">
        <v>8.3800000000000008</v>
      </c>
      <c r="BQ33">
        <v>0</v>
      </c>
      <c r="BR33">
        <v>0</v>
      </c>
      <c r="BS33" t="e">
        <v>#N/A</v>
      </c>
    </row>
    <row r="34" spans="1:71" x14ac:dyDescent="0.25">
      <c r="A34" t="s">
        <v>124</v>
      </c>
      <c r="B34">
        <v>4</v>
      </c>
      <c r="C34">
        <v>2020</v>
      </c>
      <c r="D34">
        <v>24.06</v>
      </c>
      <c r="E34">
        <v>24.06</v>
      </c>
      <c r="F34">
        <v>603.79</v>
      </c>
      <c r="G34">
        <v>603.79</v>
      </c>
      <c r="H34">
        <v>627.85</v>
      </c>
      <c r="I34">
        <v>0</v>
      </c>
      <c r="J34">
        <v>160.12</v>
      </c>
      <c r="K34">
        <v>13.93</v>
      </c>
      <c r="L34">
        <v>209.7</v>
      </c>
      <c r="M34">
        <v>0</v>
      </c>
      <c r="N34">
        <v>95.42</v>
      </c>
      <c r="O34">
        <v>72.95</v>
      </c>
      <c r="P34">
        <v>2.0499999999999998</v>
      </c>
      <c r="Q34">
        <v>422.56</v>
      </c>
      <c r="R34">
        <v>1260.1099999999999</v>
      </c>
      <c r="S34">
        <v>0</v>
      </c>
      <c r="T34">
        <v>0</v>
      </c>
      <c r="U34">
        <v>584.94000000000005</v>
      </c>
      <c r="V34">
        <v>10.65</v>
      </c>
      <c r="W34">
        <v>595.59</v>
      </c>
      <c r="X34" t="e">
        <v>#N/A</v>
      </c>
      <c r="Y34" t="e">
        <v>#N/A</v>
      </c>
      <c r="Z34">
        <v>14.81</v>
      </c>
      <c r="AA34">
        <v>611.91</v>
      </c>
      <c r="AB34">
        <v>0</v>
      </c>
      <c r="AC34">
        <v>413.24</v>
      </c>
      <c r="AD34">
        <v>140.51</v>
      </c>
      <c r="AE34">
        <v>15.32</v>
      </c>
      <c r="AF34" t="e">
        <v>#N/A</v>
      </c>
      <c r="AG34">
        <v>79.13</v>
      </c>
      <c r="AH34">
        <v>648.20000000000005</v>
      </c>
      <c r="AI34">
        <v>1260.1099999999999</v>
      </c>
      <c r="AJ34">
        <v>0</v>
      </c>
      <c r="AK34">
        <v>0</v>
      </c>
      <c r="AL34">
        <v>190.36</v>
      </c>
      <c r="AM34">
        <v>0</v>
      </c>
      <c r="AN34" t="s">
        <v>53</v>
      </c>
      <c r="AO34" t="s">
        <v>53</v>
      </c>
      <c r="AP34" t="e">
        <v>#N/A</v>
      </c>
      <c r="AQ34">
        <v>1219.95</v>
      </c>
      <c r="AR34">
        <v>1219.95</v>
      </c>
      <c r="AS34">
        <v>41.25</v>
      </c>
      <c r="AT34">
        <v>1261.2</v>
      </c>
      <c r="AU34">
        <v>1.67</v>
      </c>
      <c r="AV34">
        <v>1262.8699999999999</v>
      </c>
      <c r="AW34">
        <v>0</v>
      </c>
      <c r="AX34">
        <v>317.56</v>
      </c>
      <c r="AY34">
        <v>375.79</v>
      </c>
      <c r="AZ34">
        <v>9.94</v>
      </c>
      <c r="BA34">
        <v>107.8</v>
      </c>
      <c r="BB34">
        <v>45.58</v>
      </c>
      <c r="BC34" t="e">
        <v>#N/A</v>
      </c>
      <c r="BD34">
        <v>63.44</v>
      </c>
      <c r="BE34">
        <v>278.32</v>
      </c>
      <c r="BF34">
        <v>1198.43</v>
      </c>
      <c r="BG34">
        <v>64.44</v>
      </c>
      <c r="BH34">
        <v>64.44</v>
      </c>
      <c r="BI34">
        <v>0</v>
      </c>
      <c r="BJ34">
        <v>18.27</v>
      </c>
      <c r="BK34">
        <v>-1.54</v>
      </c>
      <c r="BL34" t="e">
        <v>#N/A</v>
      </c>
      <c r="BM34">
        <v>16.73</v>
      </c>
      <c r="BN34">
        <v>47.71</v>
      </c>
      <c r="BO34">
        <v>47.71</v>
      </c>
      <c r="BP34">
        <v>47.71</v>
      </c>
      <c r="BQ34">
        <v>21.66</v>
      </c>
      <c r="BR34">
        <v>4.45</v>
      </c>
      <c r="BS34" t="e">
        <v>#N/A</v>
      </c>
    </row>
    <row r="35" spans="1:71" x14ac:dyDescent="0.25">
      <c r="A35" t="s">
        <v>124</v>
      </c>
      <c r="B35">
        <v>5</v>
      </c>
      <c r="C35">
        <v>2019</v>
      </c>
      <c r="D35">
        <v>24.06</v>
      </c>
      <c r="E35">
        <v>24.06</v>
      </c>
      <c r="F35">
        <v>587.58000000000004</v>
      </c>
      <c r="G35">
        <v>587.58000000000004</v>
      </c>
      <c r="H35">
        <v>611.64</v>
      </c>
      <c r="I35">
        <v>0</v>
      </c>
      <c r="J35">
        <v>10.58</v>
      </c>
      <c r="K35">
        <v>12.73</v>
      </c>
      <c r="L35">
        <v>64.150000000000006</v>
      </c>
      <c r="M35">
        <v>0</v>
      </c>
      <c r="N35">
        <v>81.239999999999995</v>
      </c>
      <c r="O35">
        <v>40.47</v>
      </c>
      <c r="P35">
        <v>0.98</v>
      </c>
      <c r="Q35">
        <v>439.25</v>
      </c>
      <c r="R35">
        <v>1115.04</v>
      </c>
      <c r="S35">
        <v>0</v>
      </c>
      <c r="T35">
        <v>0</v>
      </c>
      <c r="U35">
        <v>408.53</v>
      </c>
      <c r="V35">
        <v>5.39</v>
      </c>
      <c r="W35">
        <v>413.92</v>
      </c>
      <c r="X35" t="e">
        <v>#N/A</v>
      </c>
      <c r="Y35" t="e">
        <v>#N/A</v>
      </c>
      <c r="Z35">
        <v>14.3</v>
      </c>
      <c r="AA35">
        <v>428.82</v>
      </c>
      <c r="AB35">
        <v>0</v>
      </c>
      <c r="AC35">
        <v>433.6</v>
      </c>
      <c r="AD35">
        <v>155.68</v>
      </c>
      <c r="AE35">
        <v>7.22</v>
      </c>
      <c r="AF35" t="e">
        <v>#N/A</v>
      </c>
      <c r="AG35">
        <v>89.72</v>
      </c>
      <c r="AH35">
        <v>686.22</v>
      </c>
      <c r="AI35">
        <v>1115.04</v>
      </c>
      <c r="AJ35">
        <v>0</v>
      </c>
      <c r="AK35">
        <v>0</v>
      </c>
      <c r="AL35">
        <v>102.25</v>
      </c>
      <c r="AM35">
        <v>0</v>
      </c>
      <c r="AN35" t="s">
        <v>53</v>
      </c>
      <c r="AO35" t="s">
        <v>53</v>
      </c>
      <c r="AP35" t="e">
        <v>#N/A</v>
      </c>
      <c r="AQ35">
        <v>1113.3900000000001</v>
      </c>
      <c r="AR35">
        <v>1113.3900000000001</v>
      </c>
      <c r="AS35">
        <v>38.31</v>
      </c>
      <c r="AT35">
        <v>1151.7</v>
      </c>
      <c r="AU35">
        <v>2.09</v>
      </c>
      <c r="AV35">
        <v>1153.79</v>
      </c>
      <c r="AW35">
        <v>0</v>
      </c>
      <c r="AX35">
        <v>306.23</v>
      </c>
      <c r="AY35">
        <v>393.47</v>
      </c>
      <c r="AZ35">
        <v>-40.229999999999997</v>
      </c>
      <c r="BA35">
        <v>95.15</v>
      </c>
      <c r="BB35">
        <v>34.31</v>
      </c>
      <c r="BC35" t="e">
        <v>#N/A</v>
      </c>
      <c r="BD35">
        <v>35.46</v>
      </c>
      <c r="BE35">
        <v>253.42</v>
      </c>
      <c r="BF35">
        <v>1077.81</v>
      </c>
      <c r="BG35">
        <v>75.98</v>
      </c>
      <c r="BH35">
        <v>75.98</v>
      </c>
      <c r="BI35">
        <v>0</v>
      </c>
      <c r="BJ35">
        <v>25.63</v>
      </c>
      <c r="BK35">
        <v>1.56</v>
      </c>
      <c r="BL35" t="e">
        <v>#N/A</v>
      </c>
      <c r="BM35">
        <v>27.19</v>
      </c>
      <c r="BN35">
        <v>48.79</v>
      </c>
      <c r="BO35">
        <v>48.79</v>
      </c>
      <c r="BP35">
        <v>48.79</v>
      </c>
      <c r="BQ35">
        <v>10.83</v>
      </c>
      <c r="BR35">
        <v>2.23</v>
      </c>
      <c r="BS35" t="e">
        <v>#N/A</v>
      </c>
    </row>
    <row r="36" spans="1:71" x14ac:dyDescent="0.25">
      <c r="A36" t="s">
        <v>124</v>
      </c>
      <c r="B36">
        <v>6</v>
      </c>
      <c r="C36">
        <v>2018</v>
      </c>
      <c r="D36">
        <v>24.06</v>
      </c>
      <c r="E36">
        <v>24.06</v>
      </c>
      <c r="F36">
        <v>547.74</v>
      </c>
      <c r="G36">
        <v>547.74</v>
      </c>
      <c r="H36">
        <v>571.79999999999995</v>
      </c>
      <c r="I36">
        <v>0</v>
      </c>
      <c r="J36">
        <v>6.65</v>
      </c>
      <c r="K36">
        <v>11.98</v>
      </c>
      <c r="L36">
        <v>52.37</v>
      </c>
      <c r="M36">
        <v>0</v>
      </c>
      <c r="N36">
        <v>85.42</v>
      </c>
      <c r="O36">
        <v>37.54</v>
      </c>
      <c r="P36">
        <v>0.86</v>
      </c>
      <c r="Q36">
        <v>377.34</v>
      </c>
      <c r="R36">
        <v>1001.51</v>
      </c>
      <c r="S36">
        <v>0</v>
      </c>
      <c r="T36">
        <v>0</v>
      </c>
      <c r="U36">
        <v>356.98</v>
      </c>
      <c r="V36">
        <v>24.62</v>
      </c>
      <c r="W36">
        <v>381.6</v>
      </c>
      <c r="X36" t="e">
        <v>#N/A</v>
      </c>
      <c r="Y36" t="e">
        <v>#N/A</v>
      </c>
      <c r="Z36">
        <v>10.46</v>
      </c>
      <c r="AA36">
        <v>392.65</v>
      </c>
      <c r="AB36">
        <v>0</v>
      </c>
      <c r="AC36">
        <v>382.68</v>
      </c>
      <c r="AD36">
        <v>132.5</v>
      </c>
      <c r="AE36">
        <v>12.82</v>
      </c>
      <c r="AF36" t="e">
        <v>#N/A</v>
      </c>
      <c r="AG36">
        <v>80.86</v>
      </c>
      <c r="AH36">
        <v>608.86</v>
      </c>
      <c r="AI36">
        <v>1001.51</v>
      </c>
      <c r="AJ36">
        <v>0</v>
      </c>
      <c r="AK36">
        <v>0</v>
      </c>
      <c r="AL36">
        <v>211.45</v>
      </c>
      <c r="AM36">
        <v>0</v>
      </c>
      <c r="AN36" t="s">
        <v>53</v>
      </c>
      <c r="AO36" t="s">
        <v>53</v>
      </c>
      <c r="AP36" t="e">
        <v>#N/A</v>
      </c>
      <c r="AQ36">
        <v>931.63</v>
      </c>
      <c r="AR36">
        <v>929.48</v>
      </c>
      <c r="AS36">
        <v>42.61</v>
      </c>
      <c r="AT36">
        <v>972.09</v>
      </c>
      <c r="AU36">
        <v>0.41</v>
      </c>
      <c r="AV36">
        <v>972.5</v>
      </c>
      <c r="AW36">
        <v>0</v>
      </c>
      <c r="AX36">
        <v>310.33</v>
      </c>
      <c r="AY36">
        <v>278.35000000000002</v>
      </c>
      <c r="AZ36">
        <v>-107.91</v>
      </c>
      <c r="BA36">
        <v>90.18</v>
      </c>
      <c r="BB36">
        <v>24.96</v>
      </c>
      <c r="BC36" t="e">
        <v>#N/A</v>
      </c>
      <c r="BD36">
        <v>31.61</v>
      </c>
      <c r="BE36">
        <v>227.14</v>
      </c>
      <c r="BF36">
        <v>854.66</v>
      </c>
      <c r="BG36">
        <v>117.84</v>
      </c>
      <c r="BH36">
        <v>117.84</v>
      </c>
      <c r="BI36">
        <v>0</v>
      </c>
      <c r="BJ36">
        <v>38.380000000000003</v>
      </c>
      <c r="BK36">
        <v>1.04</v>
      </c>
      <c r="BL36" t="e">
        <v>#N/A</v>
      </c>
      <c r="BM36">
        <v>39.42</v>
      </c>
      <c r="BN36">
        <v>78.42</v>
      </c>
      <c r="BO36">
        <v>78.42</v>
      </c>
      <c r="BP36">
        <v>78.42</v>
      </c>
      <c r="BQ36">
        <v>0</v>
      </c>
      <c r="BR36">
        <v>0</v>
      </c>
      <c r="BS36" t="e">
        <v>#N/A</v>
      </c>
    </row>
    <row r="37" spans="1:71" x14ac:dyDescent="0.25">
      <c r="A37" t="s">
        <v>125</v>
      </c>
      <c r="B37">
        <v>2</v>
      </c>
      <c r="C37">
        <v>2022</v>
      </c>
      <c r="D37">
        <v>235</v>
      </c>
      <c r="E37">
        <v>235</v>
      </c>
      <c r="F37">
        <v>48525</v>
      </c>
      <c r="G37">
        <v>48525</v>
      </c>
      <c r="H37">
        <v>48760</v>
      </c>
      <c r="I37">
        <v>0</v>
      </c>
      <c r="J37">
        <v>2339</v>
      </c>
      <c r="K37">
        <v>1553</v>
      </c>
      <c r="L37">
        <v>10033</v>
      </c>
      <c r="M37">
        <v>0</v>
      </c>
      <c r="N37">
        <v>8864</v>
      </c>
      <c r="O37">
        <v>1746</v>
      </c>
      <c r="P37">
        <v>334</v>
      </c>
      <c r="Q37">
        <v>10944</v>
      </c>
      <c r="R37">
        <v>69737</v>
      </c>
      <c r="S37">
        <v>0</v>
      </c>
      <c r="T37">
        <v>0</v>
      </c>
      <c r="U37">
        <v>5813</v>
      </c>
      <c r="V37">
        <v>901</v>
      </c>
      <c r="W37">
        <v>51935</v>
      </c>
      <c r="X37">
        <v>0</v>
      </c>
      <c r="Y37">
        <v>541</v>
      </c>
      <c r="Z37">
        <v>2002</v>
      </c>
      <c r="AA37">
        <v>55090</v>
      </c>
      <c r="AB37">
        <v>0</v>
      </c>
      <c r="AC37">
        <v>3890</v>
      </c>
      <c r="AD37">
        <v>1932</v>
      </c>
      <c r="AE37">
        <v>3618</v>
      </c>
      <c r="AF37">
        <v>34</v>
      </c>
      <c r="AG37">
        <v>1663</v>
      </c>
      <c r="AH37">
        <v>14647</v>
      </c>
      <c r="AI37">
        <v>69737</v>
      </c>
      <c r="AJ37">
        <v>0</v>
      </c>
      <c r="AK37">
        <v>0</v>
      </c>
      <c r="AL37">
        <v>2814</v>
      </c>
      <c r="AM37">
        <v>3510</v>
      </c>
      <c r="AN37">
        <v>3510</v>
      </c>
      <c r="AO37" t="s">
        <v>53</v>
      </c>
      <c r="AP37" t="e">
        <v>#N/A</v>
      </c>
      <c r="AQ37">
        <v>51548</v>
      </c>
      <c r="AR37">
        <v>51548</v>
      </c>
      <c r="AS37">
        <v>898</v>
      </c>
      <c r="AT37">
        <v>52446</v>
      </c>
      <c r="AU37">
        <v>258</v>
      </c>
      <c r="AV37">
        <v>52704</v>
      </c>
      <c r="AW37">
        <v>0</v>
      </c>
      <c r="AX37">
        <v>16446</v>
      </c>
      <c r="AY37">
        <v>9311</v>
      </c>
      <c r="AZ37">
        <v>-22</v>
      </c>
      <c r="BA37">
        <v>2545</v>
      </c>
      <c r="BB37">
        <v>106</v>
      </c>
      <c r="BC37" t="e">
        <v>#N/A</v>
      </c>
      <c r="BD37">
        <v>1091</v>
      </c>
      <c r="BE37">
        <v>11309</v>
      </c>
      <c r="BF37">
        <v>40786</v>
      </c>
      <c r="BG37">
        <v>11918</v>
      </c>
      <c r="BH37">
        <v>11874</v>
      </c>
      <c r="BI37">
        <v>0</v>
      </c>
      <c r="BJ37">
        <v>2840</v>
      </c>
      <c r="BK37">
        <v>147</v>
      </c>
      <c r="BL37" t="e">
        <v>#N/A</v>
      </c>
      <c r="BM37">
        <v>2987</v>
      </c>
      <c r="BN37">
        <v>8887</v>
      </c>
      <c r="BO37">
        <v>8887</v>
      </c>
      <c r="BP37">
        <v>8892</v>
      </c>
      <c r="BQ37">
        <v>7519</v>
      </c>
      <c r="BR37">
        <v>0</v>
      </c>
      <c r="BS37" t="e">
        <v>#N/A</v>
      </c>
    </row>
    <row r="38" spans="1:71" x14ac:dyDescent="0.25">
      <c r="A38" t="s">
        <v>125</v>
      </c>
      <c r="B38">
        <v>3</v>
      </c>
      <c r="C38">
        <v>2021</v>
      </c>
      <c r="D38">
        <v>235</v>
      </c>
      <c r="E38">
        <v>235</v>
      </c>
      <c r="F38">
        <v>47199</v>
      </c>
      <c r="G38">
        <v>47199</v>
      </c>
      <c r="H38">
        <v>47434</v>
      </c>
      <c r="I38">
        <v>0</v>
      </c>
      <c r="J38">
        <v>2304</v>
      </c>
      <c r="K38">
        <v>1551</v>
      </c>
      <c r="L38">
        <v>9841</v>
      </c>
      <c r="M38">
        <v>0</v>
      </c>
      <c r="N38">
        <v>8627</v>
      </c>
      <c r="O38">
        <v>1723</v>
      </c>
      <c r="P38">
        <v>491</v>
      </c>
      <c r="Q38">
        <v>10841</v>
      </c>
      <c r="R38">
        <v>68116</v>
      </c>
      <c r="S38">
        <v>0</v>
      </c>
      <c r="T38">
        <v>0</v>
      </c>
      <c r="U38">
        <v>5786</v>
      </c>
      <c r="V38">
        <v>623</v>
      </c>
      <c r="W38">
        <v>51650</v>
      </c>
      <c r="X38">
        <v>0</v>
      </c>
      <c r="Y38">
        <v>520</v>
      </c>
      <c r="Z38">
        <v>1994</v>
      </c>
      <c r="AA38">
        <v>54476</v>
      </c>
      <c r="AB38">
        <v>0</v>
      </c>
      <c r="AC38">
        <v>3383</v>
      </c>
      <c r="AD38">
        <v>1648</v>
      </c>
      <c r="AE38">
        <v>4321</v>
      </c>
      <c r="AF38">
        <v>0</v>
      </c>
      <c r="AG38">
        <v>1605</v>
      </c>
      <c r="AH38">
        <v>13640</v>
      </c>
      <c r="AI38">
        <v>68116</v>
      </c>
      <c r="AJ38">
        <v>0</v>
      </c>
      <c r="AK38">
        <v>0</v>
      </c>
      <c r="AL38">
        <v>2692</v>
      </c>
      <c r="AM38">
        <v>2683</v>
      </c>
      <c r="AN38">
        <v>2683</v>
      </c>
      <c r="AO38" t="s">
        <v>53</v>
      </c>
      <c r="AP38" t="e">
        <v>#N/A</v>
      </c>
      <c r="AQ38">
        <v>46321</v>
      </c>
      <c r="AR38">
        <v>46321</v>
      </c>
      <c r="AS38">
        <v>707</v>
      </c>
      <c r="AT38">
        <v>47028</v>
      </c>
      <c r="AU38">
        <v>410</v>
      </c>
      <c r="AV38">
        <v>47438</v>
      </c>
      <c r="AW38">
        <v>0</v>
      </c>
      <c r="AX38">
        <v>15432</v>
      </c>
      <c r="AY38">
        <v>7121</v>
      </c>
      <c r="AZ38">
        <v>-405</v>
      </c>
      <c r="BA38">
        <v>2358</v>
      </c>
      <c r="BB38">
        <v>117</v>
      </c>
      <c r="BC38" t="e">
        <v>#N/A</v>
      </c>
      <c r="BD38">
        <v>1074</v>
      </c>
      <c r="BE38">
        <v>10896</v>
      </c>
      <c r="BF38">
        <v>36593</v>
      </c>
      <c r="BG38">
        <v>10845</v>
      </c>
      <c r="BH38">
        <v>10606</v>
      </c>
      <c r="BI38">
        <v>0</v>
      </c>
      <c r="BJ38">
        <v>2520</v>
      </c>
      <c r="BK38">
        <v>86</v>
      </c>
      <c r="BL38" t="e">
        <v>#N/A</v>
      </c>
      <c r="BM38">
        <v>2606</v>
      </c>
      <c r="BN38">
        <v>8000</v>
      </c>
      <c r="BO38">
        <v>8000</v>
      </c>
      <c r="BP38">
        <v>7999</v>
      </c>
      <c r="BQ38">
        <v>8811</v>
      </c>
      <c r="BR38">
        <v>0</v>
      </c>
      <c r="BS38" t="e">
        <v>#N/A</v>
      </c>
    </row>
    <row r="39" spans="1:71" x14ac:dyDescent="0.25">
      <c r="A39" t="s">
        <v>125</v>
      </c>
      <c r="B39">
        <v>4</v>
      </c>
      <c r="C39">
        <v>2020</v>
      </c>
      <c r="D39">
        <v>216</v>
      </c>
      <c r="E39">
        <v>216</v>
      </c>
      <c r="F39">
        <v>7815</v>
      </c>
      <c r="G39">
        <v>7815</v>
      </c>
      <c r="H39">
        <v>8031</v>
      </c>
      <c r="I39">
        <v>0</v>
      </c>
      <c r="J39">
        <v>1269</v>
      </c>
      <c r="K39">
        <v>1198</v>
      </c>
      <c r="L39">
        <v>2467</v>
      </c>
      <c r="M39">
        <v>0</v>
      </c>
      <c r="N39">
        <v>7399</v>
      </c>
      <c r="O39">
        <v>1287</v>
      </c>
      <c r="P39">
        <v>418</v>
      </c>
      <c r="Q39">
        <v>9104</v>
      </c>
      <c r="R39">
        <v>19602</v>
      </c>
      <c r="S39">
        <v>0</v>
      </c>
      <c r="T39">
        <v>0</v>
      </c>
      <c r="U39">
        <v>4625</v>
      </c>
      <c r="V39">
        <v>513</v>
      </c>
      <c r="W39">
        <v>5569</v>
      </c>
      <c r="X39">
        <v>261</v>
      </c>
      <c r="Y39">
        <v>453</v>
      </c>
      <c r="Z39">
        <v>1159</v>
      </c>
      <c r="AA39">
        <v>7694</v>
      </c>
      <c r="AB39">
        <v>0</v>
      </c>
      <c r="AC39">
        <v>2636</v>
      </c>
      <c r="AD39">
        <v>1046</v>
      </c>
      <c r="AE39">
        <v>5017</v>
      </c>
      <c r="AF39">
        <v>0</v>
      </c>
      <c r="AG39">
        <v>1961</v>
      </c>
      <c r="AH39">
        <v>11908</v>
      </c>
      <c r="AI39">
        <v>19602</v>
      </c>
      <c r="AJ39">
        <v>0</v>
      </c>
      <c r="AK39">
        <v>0</v>
      </c>
      <c r="AL39">
        <v>2809</v>
      </c>
      <c r="AM39">
        <v>1248</v>
      </c>
      <c r="AN39">
        <v>1248</v>
      </c>
      <c r="AO39" t="s">
        <v>53</v>
      </c>
      <c r="AP39" t="e">
        <v>#N/A</v>
      </c>
      <c r="AQ39">
        <v>39238</v>
      </c>
      <c r="AR39">
        <v>39238</v>
      </c>
      <c r="AS39">
        <v>545</v>
      </c>
      <c r="AT39">
        <v>39783</v>
      </c>
      <c r="AU39">
        <v>632</v>
      </c>
      <c r="AV39">
        <v>40415</v>
      </c>
      <c r="AW39">
        <v>0</v>
      </c>
      <c r="AX39">
        <v>11976</v>
      </c>
      <c r="AY39">
        <v>6391</v>
      </c>
      <c r="AZ39">
        <v>-108</v>
      </c>
      <c r="BA39">
        <v>1820</v>
      </c>
      <c r="BB39">
        <v>118</v>
      </c>
      <c r="BC39" t="e">
        <v>#N/A</v>
      </c>
      <c r="BD39">
        <v>1002</v>
      </c>
      <c r="BE39">
        <v>9843</v>
      </c>
      <c r="BF39">
        <v>31042</v>
      </c>
      <c r="BG39">
        <v>9373</v>
      </c>
      <c r="BH39">
        <v>9173</v>
      </c>
      <c r="BI39">
        <v>0</v>
      </c>
      <c r="BJ39">
        <v>2243</v>
      </c>
      <c r="BK39">
        <v>166</v>
      </c>
      <c r="BL39" t="e">
        <v>#N/A</v>
      </c>
      <c r="BM39">
        <v>2409</v>
      </c>
      <c r="BN39">
        <v>6764</v>
      </c>
      <c r="BO39">
        <v>6764</v>
      </c>
      <c r="BP39">
        <v>6756</v>
      </c>
      <c r="BQ39">
        <v>5196</v>
      </c>
      <c r="BR39">
        <v>1061</v>
      </c>
      <c r="BS39" t="e">
        <v>#N/A</v>
      </c>
    </row>
    <row r="40" spans="1:71" x14ac:dyDescent="0.25">
      <c r="A40" t="s">
        <v>125</v>
      </c>
      <c r="B40">
        <v>5</v>
      </c>
      <c r="C40">
        <v>2019</v>
      </c>
      <c r="D40">
        <v>216</v>
      </c>
      <c r="E40">
        <v>216</v>
      </c>
      <c r="F40">
        <v>7443</v>
      </c>
      <c r="G40">
        <v>7443</v>
      </c>
      <c r="H40">
        <v>7659</v>
      </c>
      <c r="I40">
        <v>0</v>
      </c>
      <c r="J40">
        <v>804</v>
      </c>
      <c r="K40">
        <v>1049</v>
      </c>
      <c r="L40">
        <v>1853</v>
      </c>
      <c r="M40">
        <v>0</v>
      </c>
      <c r="N40">
        <v>7070</v>
      </c>
      <c r="O40">
        <v>782</v>
      </c>
      <c r="P40">
        <v>501</v>
      </c>
      <c r="Q40">
        <v>8353</v>
      </c>
      <c r="R40">
        <v>17865</v>
      </c>
      <c r="S40">
        <v>0</v>
      </c>
      <c r="T40">
        <v>0</v>
      </c>
      <c r="U40">
        <v>3907</v>
      </c>
      <c r="V40">
        <v>373</v>
      </c>
      <c r="W40">
        <v>4716</v>
      </c>
      <c r="X40">
        <v>339</v>
      </c>
      <c r="Y40">
        <v>396</v>
      </c>
      <c r="Z40">
        <v>784</v>
      </c>
      <c r="AA40">
        <v>6491</v>
      </c>
      <c r="AB40">
        <v>0</v>
      </c>
      <c r="AC40">
        <v>2422</v>
      </c>
      <c r="AD40">
        <v>1673</v>
      </c>
      <c r="AE40">
        <v>3688</v>
      </c>
      <c r="AF40">
        <v>0</v>
      </c>
      <c r="AG40">
        <v>898</v>
      </c>
      <c r="AH40">
        <v>11374</v>
      </c>
      <c r="AI40">
        <v>17865</v>
      </c>
      <c r="AJ40">
        <v>0</v>
      </c>
      <c r="AK40">
        <v>0</v>
      </c>
      <c r="AL40">
        <v>2009</v>
      </c>
      <c r="AM40">
        <v>2693</v>
      </c>
      <c r="AN40">
        <v>2693</v>
      </c>
      <c r="AO40">
        <v>2</v>
      </c>
      <c r="AP40" t="e">
        <v>#N/A</v>
      </c>
      <c r="AQ40">
        <v>38684</v>
      </c>
      <c r="AR40">
        <v>38684</v>
      </c>
      <c r="AS40">
        <v>626</v>
      </c>
      <c r="AT40">
        <v>39310</v>
      </c>
      <c r="AU40">
        <v>550</v>
      </c>
      <c r="AV40">
        <v>39860</v>
      </c>
      <c r="AW40">
        <v>0</v>
      </c>
      <c r="AX40">
        <v>13707</v>
      </c>
      <c r="AY40">
        <v>4755</v>
      </c>
      <c r="AZ40">
        <v>12</v>
      </c>
      <c r="BA40">
        <v>1875</v>
      </c>
      <c r="BB40">
        <v>33</v>
      </c>
      <c r="BC40" t="e">
        <v>#N/A</v>
      </c>
      <c r="BD40">
        <v>565</v>
      </c>
      <c r="BE40">
        <v>10081</v>
      </c>
      <c r="BF40">
        <v>31028</v>
      </c>
      <c r="BG40">
        <v>8832</v>
      </c>
      <c r="BH40">
        <v>8604</v>
      </c>
      <c r="BI40">
        <v>0</v>
      </c>
      <c r="BJ40">
        <v>2610</v>
      </c>
      <c r="BK40">
        <v>-66</v>
      </c>
      <c r="BL40" t="e">
        <v>#N/A</v>
      </c>
      <c r="BM40">
        <v>2544</v>
      </c>
      <c r="BN40">
        <v>6060</v>
      </c>
      <c r="BO40">
        <v>6060</v>
      </c>
      <c r="BP40">
        <v>6060</v>
      </c>
      <c r="BQ40">
        <v>4546</v>
      </c>
      <c r="BR40">
        <v>928</v>
      </c>
      <c r="BS40" t="e">
        <v>#N/A</v>
      </c>
    </row>
    <row r="41" spans="1:71" x14ac:dyDescent="0.25">
      <c r="A41" t="s">
        <v>125</v>
      </c>
      <c r="B41">
        <v>6</v>
      </c>
      <c r="C41">
        <v>2018</v>
      </c>
      <c r="D41">
        <v>216</v>
      </c>
      <c r="E41">
        <v>216</v>
      </c>
      <c r="F41">
        <v>6859</v>
      </c>
      <c r="G41">
        <v>6859</v>
      </c>
      <c r="H41">
        <v>7075</v>
      </c>
      <c r="I41">
        <v>0</v>
      </c>
      <c r="J41">
        <v>666</v>
      </c>
      <c r="K41">
        <v>772</v>
      </c>
      <c r="L41">
        <v>1438</v>
      </c>
      <c r="M41">
        <v>0</v>
      </c>
      <c r="N41">
        <v>7013</v>
      </c>
      <c r="O41">
        <v>972</v>
      </c>
      <c r="P41">
        <v>651</v>
      </c>
      <c r="Q41">
        <v>8636</v>
      </c>
      <c r="R41">
        <v>17149</v>
      </c>
      <c r="S41">
        <v>0</v>
      </c>
      <c r="T41">
        <v>0</v>
      </c>
      <c r="U41">
        <v>3776</v>
      </c>
      <c r="V41">
        <v>430</v>
      </c>
      <c r="W41">
        <v>4572</v>
      </c>
      <c r="X41">
        <v>255</v>
      </c>
      <c r="Y41">
        <v>404</v>
      </c>
      <c r="Z41">
        <v>523</v>
      </c>
      <c r="AA41">
        <v>6010</v>
      </c>
      <c r="AB41">
        <v>0</v>
      </c>
      <c r="AC41">
        <v>2359</v>
      </c>
      <c r="AD41">
        <v>1147</v>
      </c>
      <c r="AE41">
        <v>3373</v>
      </c>
      <c r="AF41">
        <v>0</v>
      </c>
      <c r="AG41">
        <v>1405</v>
      </c>
      <c r="AH41">
        <v>11139</v>
      </c>
      <c r="AI41">
        <v>17149</v>
      </c>
      <c r="AJ41">
        <v>0</v>
      </c>
      <c r="AK41">
        <v>0</v>
      </c>
      <c r="AL41">
        <v>1699</v>
      </c>
      <c r="AM41">
        <v>2855</v>
      </c>
      <c r="AN41">
        <v>2855</v>
      </c>
      <c r="AO41">
        <v>2</v>
      </c>
      <c r="AP41" t="e">
        <v>#N/A</v>
      </c>
      <c r="AQ41">
        <v>35571</v>
      </c>
      <c r="AR41">
        <v>34878</v>
      </c>
      <c r="AS41">
        <v>667</v>
      </c>
      <c r="AT41">
        <v>35545</v>
      </c>
      <c r="AU41">
        <v>384</v>
      </c>
      <c r="AV41">
        <v>35929</v>
      </c>
      <c r="AW41">
        <v>0</v>
      </c>
      <c r="AX41">
        <v>12927</v>
      </c>
      <c r="AY41">
        <v>3875</v>
      </c>
      <c r="AZ41">
        <v>-72</v>
      </c>
      <c r="BA41">
        <v>1860</v>
      </c>
      <c r="BB41">
        <v>26</v>
      </c>
      <c r="BC41" t="e">
        <v>#N/A</v>
      </c>
      <c r="BD41">
        <v>520</v>
      </c>
      <c r="BE41">
        <v>9456</v>
      </c>
      <c r="BF41">
        <v>28592</v>
      </c>
      <c r="BG41">
        <v>7337</v>
      </c>
      <c r="BH41">
        <v>7304</v>
      </c>
      <c r="BI41">
        <v>0</v>
      </c>
      <c r="BJ41">
        <v>2216</v>
      </c>
      <c r="BK41">
        <v>-137</v>
      </c>
      <c r="BL41" t="e">
        <v>#N/A</v>
      </c>
      <c r="BM41">
        <v>2079</v>
      </c>
      <c r="BN41">
        <v>5225</v>
      </c>
      <c r="BO41">
        <v>5225</v>
      </c>
      <c r="BP41">
        <v>5227</v>
      </c>
      <c r="BQ41">
        <v>3896</v>
      </c>
      <c r="BR41">
        <v>781</v>
      </c>
      <c r="BS41" t="e">
        <v>#N/A</v>
      </c>
    </row>
    <row r="42" spans="1:71" x14ac:dyDescent="0.25">
      <c r="A42" t="s">
        <v>129</v>
      </c>
      <c r="B42">
        <v>2</v>
      </c>
      <c r="C42">
        <v>2022</v>
      </c>
      <c r="D42">
        <v>176.79</v>
      </c>
      <c r="E42">
        <v>176.79</v>
      </c>
      <c r="F42">
        <v>5687.08</v>
      </c>
      <c r="G42">
        <v>5687.08</v>
      </c>
      <c r="H42">
        <v>5863.87</v>
      </c>
      <c r="I42">
        <v>0</v>
      </c>
      <c r="J42">
        <v>44.59</v>
      </c>
      <c r="K42">
        <v>56.57</v>
      </c>
      <c r="L42">
        <v>420.3</v>
      </c>
      <c r="M42">
        <v>0</v>
      </c>
      <c r="N42">
        <v>1581.47</v>
      </c>
      <c r="O42">
        <v>342.14</v>
      </c>
      <c r="P42">
        <v>122.34</v>
      </c>
      <c r="Q42">
        <v>2307.83</v>
      </c>
      <c r="R42">
        <v>8592</v>
      </c>
      <c r="S42">
        <v>0</v>
      </c>
      <c r="T42">
        <v>0</v>
      </c>
      <c r="U42">
        <v>1329.19</v>
      </c>
      <c r="V42">
        <v>128.47999999999999</v>
      </c>
      <c r="W42">
        <v>1527.48</v>
      </c>
      <c r="X42">
        <v>0</v>
      </c>
      <c r="Y42">
        <v>0</v>
      </c>
      <c r="Z42">
        <v>102.66</v>
      </c>
      <c r="AA42">
        <v>5957.84</v>
      </c>
      <c r="AB42">
        <v>0</v>
      </c>
      <c r="AC42">
        <v>1237.96</v>
      </c>
      <c r="AD42">
        <v>454.55</v>
      </c>
      <c r="AE42">
        <v>136.18</v>
      </c>
      <c r="AF42">
        <v>0</v>
      </c>
      <c r="AG42">
        <v>126.09</v>
      </c>
      <c r="AH42">
        <v>2634.16</v>
      </c>
      <c r="AI42">
        <v>8592</v>
      </c>
      <c r="AJ42">
        <v>0</v>
      </c>
      <c r="AK42">
        <v>0</v>
      </c>
      <c r="AL42">
        <v>440.96</v>
      </c>
      <c r="AM42">
        <v>679.38</v>
      </c>
      <c r="AN42">
        <v>726.67</v>
      </c>
      <c r="AO42" t="s">
        <v>53</v>
      </c>
      <c r="AP42" t="e">
        <v>#N/A</v>
      </c>
      <c r="AQ42">
        <v>10808.03</v>
      </c>
      <c r="AR42">
        <v>10808.03</v>
      </c>
      <c r="AS42">
        <v>80.650000000000006</v>
      </c>
      <c r="AT42">
        <v>10888.68</v>
      </c>
      <c r="AU42">
        <v>393.16</v>
      </c>
      <c r="AV42">
        <v>11281.84</v>
      </c>
      <c r="AW42">
        <v>0</v>
      </c>
      <c r="AX42">
        <v>4766.12</v>
      </c>
      <c r="AY42">
        <v>882.12</v>
      </c>
      <c r="AZ42">
        <v>-8.5500000000000007</v>
      </c>
      <c r="BA42">
        <v>1079.95</v>
      </c>
      <c r="BB42">
        <v>38.6</v>
      </c>
      <c r="BC42" t="e">
        <v>#N/A</v>
      </c>
      <c r="BD42">
        <v>252.89</v>
      </c>
      <c r="BE42">
        <v>1915.23</v>
      </c>
      <c r="BF42">
        <v>8926.36</v>
      </c>
      <c r="BG42">
        <v>2355.48</v>
      </c>
      <c r="BH42">
        <v>2270.48</v>
      </c>
      <c r="BI42">
        <v>0</v>
      </c>
      <c r="BJ42">
        <v>442.17</v>
      </c>
      <c r="BK42">
        <v>84.21</v>
      </c>
      <c r="BL42" t="e">
        <v>#N/A</v>
      </c>
      <c r="BM42">
        <v>526.38</v>
      </c>
      <c r="BN42">
        <v>1744.1</v>
      </c>
      <c r="BO42">
        <v>1744.1</v>
      </c>
      <c r="BP42">
        <v>1744.1</v>
      </c>
      <c r="BQ42">
        <v>972.32</v>
      </c>
      <c r="BR42">
        <v>0</v>
      </c>
      <c r="BS42" t="e">
        <v>#N/A</v>
      </c>
    </row>
    <row r="43" spans="1:71" x14ac:dyDescent="0.25">
      <c r="A43" t="s">
        <v>129</v>
      </c>
      <c r="B43">
        <v>3</v>
      </c>
      <c r="C43">
        <v>2021</v>
      </c>
      <c r="D43">
        <v>176.74</v>
      </c>
      <c r="E43">
        <v>176.74</v>
      </c>
      <c r="F43">
        <v>5214.4799999999996</v>
      </c>
      <c r="G43">
        <v>5214.4799999999996</v>
      </c>
      <c r="H43">
        <v>5391.22</v>
      </c>
      <c r="I43">
        <v>0</v>
      </c>
      <c r="J43">
        <v>1.37</v>
      </c>
      <c r="K43">
        <v>55.55</v>
      </c>
      <c r="L43">
        <v>76.540000000000006</v>
      </c>
      <c r="M43">
        <v>0</v>
      </c>
      <c r="N43">
        <v>1480.7</v>
      </c>
      <c r="O43">
        <v>269.31</v>
      </c>
      <c r="P43">
        <v>134.43</v>
      </c>
      <c r="Q43">
        <v>2036.4</v>
      </c>
      <c r="R43">
        <v>7504.16</v>
      </c>
      <c r="S43">
        <v>0</v>
      </c>
      <c r="T43">
        <v>0</v>
      </c>
      <c r="U43">
        <v>1131</v>
      </c>
      <c r="V43">
        <v>107.26</v>
      </c>
      <c r="W43">
        <v>1312.07</v>
      </c>
      <c r="X43">
        <v>17.45</v>
      </c>
      <c r="Y43">
        <v>16.37</v>
      </c>
      <c r="Z43">
        <v>205.52</v>
      </c>
      <c r="AA43">
        <v>4674.17</v>
      </c>
      <c r="AB43">
        <v>0</v>
      </c>
      <c r="AC43">
        <v>1114.1600000000001</v>
      </c>
      <c r="AD43">
        <v>281.24</v>
      </c>
      <c r="AE43">
        <v>834.74</v>
      </c>
      <c r="AF43">
        <v>1.75</v>
      </c>
      <c r="AG43">
        <v>146.96</v>
      </c>
      <c r="AH43">
        <v>2829.99</v>
      </c>
      <c r="AI43">
        <v>7504.16</v>
      </c>
      <c r="AJ43">
        <v>0</v>
      </c>
      <c r="AK43">
        <v>0</v>
      </c>
      <c r="AL43">
        <v>586.95000000000005</v>
      </c>
      <c r="AM43">
        <v>451.14</v>
      </c>
      <c r="AN43">
        <v>451.14</v>
      </c>
      <c r="AO43">
        <v>25</v>
      </c>
      <c r="AP43" t="e">
        <v>#N/A</v>
      </c>
      <c r="AQ43">
        <v>9507.81</v>
      </c>
      <c r="AR43">
        <v>9492.76</v>
      </c>
      <c r="AS43">
        <v>53.84</v>
      </c>
      <c r="AT43">
        <v>9546.6</v>
      </c>
      <c r="AU43">
        <v>325.29000000000002</v>
      </c>
      <c r="AV43">
        <v>9871.89</v>
      </c>
      <c r="AW43">
        <v>0</v>
      </c>
      <c r="AX43">
        <v>3998.58</v>
      </c>
      <c r="AY43">
        <v>982.53</v>
      </c>
      <c r="AZ43">
        <v>-207.2</v>
      </c>
      <c r="BA43">
        <v>1033.46</v>
      </c>
      <c r="BB43">
        <v>30.81</v>
      </c>
      <c r="BC43" t="e">
        <v>#N/A</v>
      </c>
      <c r="BD43">
        <v>240.13</v>
      </c>
      <c r="BE43">
        <v>1736.55</v>
      </c>
      <c r="BF43">
        <v>7814.86</v>
      </c>
      <c r="BG43">
        <v>2057.0300000000002</v>
      </c>
      <c r="BH43">
        <v>2057.0300000000002</v>
      </c>
      <c r="BI43">
        <v>0</v>
      </c>
      <c r="BJ43">
        <v>505.18</v>
      </c>
      <c r="BK43">
        <v>-144.11000000000001</v>
      </c>
      <c r="BL43" t="e">
        <v>#N/A</v>
      </c>
      <c r="BM43">
        <v>361.07</v>
      </c>
      <c r="BN43">
        <v>1695.96</v>
      </c>
      <c r="BO43">
        <v>1695.96</v>
      </c>
      <c r="BP43">
        <v>1695.96</v>
      </c>
      <c r="BQ43">
        <v>592.09</v>
      </c>
      <c r="BR43">
        <v>0</v>
      </c>
      <c r="BS43" t="e">
        <v>#N/A</v>
      </c>
    </row>
    <row r="44" spans="1:71" x14ac:dyDescent="0.25">
      <c r="A44" t="s">
        <v>129</v>
      </c>
      <c r="B44">
        <v>4</v>
      </c>
      <c r="C44">
        <v>2020</v>
      </c>
      <c r="D44">
        <v>176.71</v>
      </c>
      <c r="E44">
        <v>176.71</v>
      </c>
      <c r="F44">
        <v>4397.5200000000004</v>
      </c>
      <c r="G44">
        <v>4397.5200000000004</v>
      </c>
      <c r="H44">
        <v>4574.2299999999996</v>
      </c>
      <c r="I44">
        <v>0</v>
      </c>
      <c r="J44">
        <v>4.66</v>
      </c>
      <c r="K44">
        <v>54.69</v>
      </c>
      <c r="L44">
        <v>84.03</v>
      </c>
      <c r="M44">
        <v>0</v>
      </c>
      <c r="N44">
        <v>1032.45</v>
      </c>
      <c r="O44">
        <v>197.32</v>
      </c>
      <c r="P44">
        <v>122.8</v>
      </c>
      <c r="Q44">
        <v>1441.85</v>
      </c>
      <c r="R44">
        <v>6100.11</v>
      </c>
      <c r="S44">
        <v>0</v>
      </c>
      <c r="T44">
        <v>0</v>
      </c>
      <c r="U44">
        <v>1060.75</v>
      </c>
      <c r="V44">
        <v>105.83</v>
      </c>
      <c r="W44">
        <v>1240.1099999999999</v>
      </c>
      <c r="X44">
        <v>21.62</v>
      </c>
      <c r="Y44">
        <v>16.78</v>
      </c>
      <c r="Z44">
        <v>472.25</v>
      </c>
      <c r="AA44">
        <v>2834.92</v>
      </c>
      <c r="AB44">
        <v>0</v>
      </c>
      <c r="AC44">
        <v>809.14</v>
      </c>
      <c r="AD44">
        <v>379.63</v>
      </c>
      <c r="AE44">
        <v>525.6</v>
      </c>
      <c r="AF44">
        <v>1.22</v>
      </c>
      <c r="AG44">
        <v>166.93</v>
      </c>
      <c r="AH44">
        <v>3265.19</v>
      </c>
      <c r="AI44">
        <v>6100.11</v>
      </c>
      <c r="AJ44">
        <v>0</v>
      </c>
      <c r="AK44">
        <v>0</v>
      </c>
      <c r="AL44">
        <v>298.27999999999997</v>
      </c>
      <c r="AM44">
        <v>1382.67</v>
      </c>
      <c r="AN44">
        <v>1382.67</v>
      </c>
      <c r="AO44">
        <v>25</v>
      </c>
      <c r="AP44" t="e">
        <v>#N/A</v>
      </c>
      <c r="AQ44">
        <v>8622.8700000000008</v>
      </c>
      <c r="AR44">
        <v>8603.92</v>
      </c>
      <c r="AS44">
        <v>80.72</v>
      </c>
      <c r="AT44">
        <v>8684.64</v>
      </c>
      <c r="AU44">
        <v>305.29000000000002</v>
      </c>
      <c r="AV44">
        <v>8989.93</v>
      </c>
      <c r="AW44">
        <v>0</v>
      </c>
      <c r="AX44">
        <v>3731.71</v>
      </c>
      <c r="AY44">
        <v>674.62</v>
      </c>
      <c r="AZ44">
        <v>-65.040000000000006</v>
      </c>
      <c r="BA44">
        <v>947.74</v>
      </c>
      <c r="BB44">
        <v>49.54</v>
      </c>
      <c r="BC44" t="e">
        <v>#N/A</v>
      </c>
      <c r="BD44">
        <v>220.45</v>
      </c>
      <c r="BE44">
        <v>1603.26</v>
      </c>
      <c r="BF44">
        <v>7162.28</v>
      </c>
      <c r="BG44">
        <v>1827.65</v>
      </c>
      <c r="BH44">
        <v>1727.65</v>
      </c>
      <c r="BI44">
        <v>0</v>
      </c>
      <c r="BJ44">
        <v>465.42</v>
      </c>
      <c r="BK44">
        <v>-185.7</v>
      </c>
      <c r="BL44" t="e">
        <v>#N/A</v>
      </c>
      <c r="BM44">
        <v>279.72000000000003</v>
      </c>
      <c r="BN44">
        <v>1447.93</v>
      </c>
      <c r="BO44">
        <v>1447.93</v>
      </c>
      <c r="BP44">
        <v>1447.93</v>
      </c>
      <c r="BQ44">
        <v>617.78</v>
      </c>
      <c r="BR44">
        <v>0</v>
      </c>
      <c r="BS44" t="e">
        <v>#N/A</v>
      </c>
    </row>
    <row r="45" spans="1:71" x14ac:dyDescent="0.25">
      <c r="A45" t="s">
        <v>129</v>
      </c>
      <c r="B45">
        <v>5</v>
      </c>
      <c r="C45">
        <v>2019</v>
      </c>
      <c r="D45">
        <v>176.63</v>
      </c>
      <c r="E45">
        <v>176.63</v>
      </c>
      <c r="F45">
        <v>3792.19</v>
      </c>
      <c r="G45">
        <v>3792.19</v>
      </c>
      <c r="H45">
        <v>3968.82</v>
      </c>
      <c r="I45">
        <v>0</v>
      </c>
      <c r="J45">
        <v>4.5599999999999996</v>
      </c>
      <c r="K45">
        <v>52.76</v>
      </c>
      <c r="L45">
        <v>91.69</v>
      </c>
      <c r="M45">
        <v>0</v>
      </c>
      <c r="N45">
        <v>998.32</v>
      </c>
      <c r="O45">
        <v>330.14</v>
      </c>
      <c r="P45">
        <v>81.09</v>
      </c>
      <c r="Q45">
        <v>1518.27</v>
      </c>
      <c r="R45">
        <v>5578.78</v>
      </c>
      <c r="S45">
        <v>0</v>
      </c>
      <c r="T45">
        <v>0</v>
      </c>
      <c r="U45">
        <v>971.88</v>
      </c>
      <c r="V45">
        <v>21.69</v>
      </c>
      <c r="W45">
        <v>1058.31</v>
      </c>
      <c r="X45">
        <v>0</v>
      </c>
      <c r="Y45">
        <v>13.14</v>
      </c>
      <c r="Z45">
        <v>146.24</v>
      </c>
      <c r="AA45">
        <v>3454.43</v>
      </c>
      <c r="AB45">
        <v>0</v>
      </c>
      <c r="AC45">
        <v>732.9</v>
      </c>
      <c r="AD45">
        <v>431.46</v>
      </c>
      <c r="AE45">
        <v>124.71</v>
      </c>
      <c r="AF45">
        <v>4.5599999999999996</v>
      </c>
      <c r="AG45">
        <v>105.32</v>
      </c>
      <c r="AH45">
        <v>2124.35</v>
      </c>
      <c r="AI45">
        <v>5578.78</v>
      </c>
      <c r="AJ45">
        <v>0</v>
      </c>
      <c r="AK45">
        <v>0</v>
      </c>
      <c r="AL45">
        <v>618.30999999999995</v>
      </c>
      <c r="AM45">
        <v>725.4</v>
      </c>
      <c r="AN45">
        <v>700.4</v>
      </c>
      <c r="AO45">
        <v>25</v>
      </c>
      <c r="AP45" t="e">
        <v>#N/A</v>
      </c>
      <c r="AQ45">
        <v>8437.2999999999993</v>
      </c>
      <c r="AR45">
        <v>8419.24</v>
      </c>
      <c r="AS45">
        <v>95.75</v>
      </c>
      <c r="AT45">
        <v>8514.99</v>
      </c>
      <c r="AU45">
        <v>296.17</v>
      </c>
      <c r="AV45">
        <v>8811.16</v>
      </c>
      <c r="AW45">
        <v>0</v>
      </c>
      <c r="AX45">
        <v>3475.35</v>
      </c>
      <c r="AY45">
        <v>802.98</v>
      </c>
      <c r="AZ45">
        <v>12.64</v>
      </c>
      <c r="BA45">
        <v>937.91</v>
      </c>
      <c r="BB45">
        <v>59.58</v>
      </c>
      <c r="BC45" t="e">
        <v>#N/A</v>
      </c>
      <c r="BD45">
        <v>176.9</v>
      </c>
      <c r="BE45">
        <v>1546.55</v>
      </c>
      <c r="BF45">
        <v>7011.91</v>
      </c>
      <c r="BG45">
        <v>1799.25</v>
      </c>
      <c r="BH45">
        <v>1723.91</v>
      </c>
      <c r="BI45">
        <v>0</v>
      </c>
      <c r="BJ45">
        <v>406.99</v>
      </c>
      <c r="BK45">
        <v>-128.37</v>
      </c>
      <c r="BL45" t="e">
        <v>#N/A</v>
      </c>
      <c r="BM45">
        <v>278.62</v>
      </c>
      <c r="BN45">
        <v>1445.29</v>
      </c>
      <c r="BO45">
        <v>1445.29</v>
      </c>
      <c r="BP45">
        <v>1445.29</v>
      </c>
      <c r="BQ45">
        <v>1324.71</v>
      </c>
      <c r="BR45">
        <v>272.3</v>
      </c>
      <c r="BS45" t="e">
        <v>#N/A</v>
      </c>
    </row>
    <row r="46" spans="1:71" x14ac:dyDescent="0.25">
      <c r="A46" t="s">
        <v>129</v>
      </c>
      <c r="B46">
        <v>6</v>
      </c>
      <c r="C46">
        <v>2018</v>
      </c>
      <c r="D46">
        <v>176.15</v>
      </c>
      <c r="E46">
        <v>176.15</v>
      </c>
      <c r="F46">
        <v>4050.71</v>
      </c>
      <c r="G46">
        <v>4050.71</v>
      </c>
      <c r="H46">
        <v>4226.8599999999997</v>
      </c>
      <c r="I46">
        <v>0</v>
      </c>
      <c r="J46">
        <v>4.25</v>
      </c>
      <c r="K46">
        <v>50.04</v>
      </c>
      <c r="L46">
        <v>351.36</v>
      </c>
      <c r="M46">
        <v>0</v>
      </c>
      <c r="N46">
        <v>960.62</v>
      </c>
      <c r="O46">
        <v>123.98</v>
      </c>
      <c r="P46">
        <v>64.39</v>
      </c>
      <c r="Q46">
        <v>1234.48</v>
      </c>
      <c r="R46">
        <v>5812.7</v>
      </c>
      <c r="S46">
        <v>0</v>
      </c>
      <c r="T46">
        <v>0</v>
      </c>
      <c r="U46">
        <v>971.34</v>
      </c>
      <c r="V46">
        <v>26.82</v>
      </c>
      <c r="W46">
        <v>1057.3</v>
      </c>
      <c r="X46">
        <v>0</v>
      </c>
      <c r="Y46">
        <v>9.61</v>
      </c>
      <c r="Z46">
        <v>67.260000000000005</v>
      </c>
      <c r="AA46">
        <v>3853.86</v>
      </c>
      <c r="AB46">
        <v>0</v>
      </c>
      <c r="AC46">
        <v>704.79</v>
      </c>
      <c r="AD46">
        <v>321.33999999999997</v>
      </c>
      <c r="AE46">
        <v>87.02</v>
      </c>
      <c r="AF46">
        <v>1.41</v>
      </c>
      <c r="AG46">
        <v>130.88999999999999</v>
      </c>
      <c r="AH46">
        <v>1958.84</v>
      </c>
      <c r="AI46">
        <v>5812.7</v>
      </c>
      <c r="AJ46">
        <v>0</v>
      </c>
      <c r="AK46">
        <v>0</v>
      </c>
      <c r="AL46">
        <v>684.68</v>
      </c>
      <c r="AM46">
        <v>713.39</v>
      </c>
      <c r="AN46">
        <v>646.64</v>
      </c>
      <c r="AO46">
        <v>66.75</v>
      </c>
      <c r="AP46" t="e">
        <v>#N/A</v>
      </c>
      <c r="AQ46">
        <v>7680.31</v>
      </c>
      <c r="AR46">
        <v>7653.82</v>
      </c>
      <c r="AS46">
        <v>68.03</v>
      </c>
      <c r="AT46">
        <v>7721.85</v>
      </c>
      <c r="AU46">
        <v>305.18</v>
      </c>
      <c r="AV46">
        <v>8027.03</v>
      </c>
      <c r="AW46">
        <v>0</v>
      </c>
      <c r="AX46">
        <v>3220.05</v>
      </c>
      <c r="AY46">
        <v>665.8</v>
      </c>
      <c r="AZ46">
        <v>-65.930000000000007</v>
      </c>
      <c r="BA46">
        <v>792.79</v>
      </c>
      <c r="BB46">
        <v>53.05</v>
      </c>
      <c r="BC46" t="e">
        <v>#N/A</v>
      </c>
      <c r="BD46">
        <v>162.18</v>
      </c>
      <c r="BE46">
        <v>1491.7</v>
      </c>
      <c r="BF46">
        <v>6319.64</v>
      </c>
      <c r="BG46">
        <v>1707.39</v>
      </c>
      <c r="BH46">
        <v>1692.85</v>
      </c>
      <c r="BI46">
        <v>0</v>
      </c>
      <c r="BJ46">
        <v>371.34</v>
      </c>
      <c r="BK46">
        <v>-35.99</v>
      </c>
      <c r="BL46" t="e">
        <v>#N/A</v>
      </c>
      <c r="BM46">
        <v>335.35</v>
      </c>
      <c r="BN46">
        <v>1357.5</v>
      </c>
      <c r="BO46">
        <v>1357.5</v>
      </c>
      <c r="BP46">
        <v>1357.5</v>
      </c>
      <c r="BQ46">
        <v>396.34</v>
      </c>
      <c r="BR46">
        <v>80.69</v>
      </c>
      <c r="BS46" t="e">
        <v>#N/A</v>
      </c>
    </row>
    <row r="47" spans="1:71" x14ac:dyDescent="0.25">
      <c r="A47" t="s">
        <v>131</v>
      </c>
      <c r="B47">
        <v>2</v>
      </c>
      <c r="C47">
        <v>2022</v>
      </c>
      <c r="D47">
        <v>102.26</v>
      </c>
      <c r="E47">
        <v>102.26</v>
      </c>
      <c r="F47">
        <v>11453.67</v>
      </c>
      <c r="G47">
        <v>11453.67</v>
      </c>
      <c r="H47">
        <v>11555.93</v>
      </c>
      <c r="I47">
        <v>0</v>
      </c>
      <c r="J47">
        <v>66.73</v>
      </c>
      <c r="K47">
        <v>107</v>
      </c>
      <c r="L47">
        <v>606.52</v>
      </c>
      <c r="M47">
        <v>0</v>
      </c>
      <c r="N47">
        <v>2163.06</v>
      </c>
      <c r="O47">
        <v>505.53</v>
      </c>
      <c r="P47">
        <v>76.209999999999994</v>
      </c>
      <c r="Q47">
        <v>3971.61</v>
      </c>
      <c r="R47">
        <v>16134.06</v>
      </c>
      <c r="S47">
        <v>0</v>
      </c>
      <c r="T47">
        <v>0</v>
      </c>
      <c r="U47">
        <v>1373.36</v>
      </c>
      <c r="V47">
        <v>114.75</v>
      </c>
      <c r="W47">
        <v>3958.95</v>
      </c>
      <c r="X47">
        <v>731.51</v>
      </c>
      <c r="Y47">
        <v>0.03</v>
      </c>
      <c r="Z47">
        <v>208.39</v>
      </c>
      <c r="AA47">
        <v>10446.790000000001</v>
      </c>
      <c r="AB47">
        <v>0</v>
      </c>
      <c r="AC47">
        <v>2129.85</v>
      </c>
      <c r="AD47">
        <v>1116.32</v>
      </c>
      <c r="AE47">
        <v>1107.77</v>
      </c>
      <c r="AF47">
        <v>0.05</v>
      </c>
      <c r="AG47">
        <v>488.97</v>
      </c>
      <c r="AH47">
        <v>5687.27</v>
      </c>
      <c r="AI47">
        <v>16134.06</v>
      </c>
      <c r="AJ47">
        <v>0</v>
      </c>
      <c r="AK47">
        <v>0</v>
      </c>
      <c r="AL47">
        <v>950.96</v>
      </c>
      <c r="AM47">
        <v>844.31</v>
      </c>
      <c r="AN47">
        <v>127.19</v>
      </c>
      <c r="AO47">
        <v>717.12</v>
      </c>
      <c r="AP47" t="e">
        <v>#N/A</v>
      </c>
      <c r="AQ47">
        <v>12174.22</v>
      </c>
      <c r="AR47">
        <v>12174.22</v>
      </c>
      <c r="AS47">
        <v>102.28</v>
      </c>
      <c r="AT47">
        <v>12276.5</v>
      </c>
      <c r="AU47">
        <v>89.71</v>
      </c>
      <c r="AV47">
        <v>12366.21</v>
      </c>
      <c r="AW47">
        <v>0</v>
      </c>
      <c r="AX47">
        <v>5782.98</v>
      </c>
      <c r="AY47">
        <v>353.65</v>
      </c>
      <c r="AZ47">
        <v>-61.54</v>
      </c>
      <c r="BA47">
        <v>1104.1400000000001</v>
      </c>
      <c r="BB47">
        <v>110.16</v>
      </c>
      <c r="BC47" t="e">
        <v>#N/A</v>
      </c>
      <c r="BD47">
        <v>209.93</v>
      </c>
      <c r="BE47">
        <v>2702.16</v>
      </c>
      <c r="BF47">
        <v>10201.48</v>
      </c>
      <c r="BG47">
        <v>2164.73</v>
      </c>
      <c r="BH47">
        <v>2154.98</v>
      </c>
      <c r="BI47">
        <v>0</v>
      </c>
      <c r="BJ47">
        <v>397.31</v>
      </c>
      <c r="BK47">
        <v>-25.44</v>
      </c>
      <c r="BL47" t="e">
        <v>#N/A</v>
      </c>
      <c r="BM47">
        <v>371.87</v>
      </c>
      <c r="BN47">
        <v>1783.11</v>
      </c>
      <c r="BO47">
        <v>1783.11</v>
      </c>
      <c r="BP47">
        <v>1783.11</v>
      </c>
      <c r="BQ47">
        <v>0</v>
      </c>
      <c r="BR47">
        <v>0</v>
      </c>
      <c r="BS47" t="e">
        <v>#N/A</v>
      </c>
    </row>
    <row r="48" spans="1:71" x14ac:dyDescent="0.25">
      <c r="A48" t="s">
        <v>131</v>
      </c>
      <c r="B48">
        <v>3</v>
      </c>
      <c r="C48">
        <v>2021</v>
      </c>
      <c r="D48">
        <v>102.25</v>
      </c>
      <c r="E48">
        <v>102.25</v>
      </c>
      <c r="F48">
        <v>9336.65</v>
      </c>
      <c r="G48">
        <v>9336.65</v>
      </c>
      <c r="H48">
        <v>9438.9</v>
      </c>
      <c r="I48">
        <v>0</v>
      </c>
      <c r="J48">
        <v>74.37</v>
      </c>
      <c r="K48">
        <v>114.72</v>
      </c>
      <c r="L48">
        <v>708.23</v>
      </c>
      <c r="M48">
        <v>0</v>
      </c>
      <c r="N48">
        <v>2159.64</v>
      </c>
      <c r="O48">
        <v>1624.24</v>
      </c>
      <c r="P48">
        <v>72.400000000000006</v>
      </c>
      <c r="Q48">
        <v>4135.6899999999996</v>
      </c>
      <c r="R48">
        <v>14282.82</v>
      </c>
      <c r="S48">
        <v>0</v>
      </c>
      <c r="T48">
        <v>0</v>
      </c>
      <c r="U48">
        <v>1301.3499999999999</v>
      </c>
      <c r="V48">
        <v>52.97</v>
      </c>
      <c r="W48">
        <v>3832.35</v>
      </c>
      <c r="X48">
        <v>676.79</v>
      </c>
      <c r="Y48">
        <v>21.78</v>
      </c>
      <c r="Z48">
        <v>127.71</v>
      </c>
      <c r="AA48">
        <v>9810.41</v>
      </c>
      <c r="AB48">
        <v>0</v>
      </c>
      <c r="AC48">
        <v>1716.25</v>
      </c>
      <c r="AD48">
        <v>1004.5</v>
      </c>
      <c r="AE48">
        <v>672.21</v>
      </c>
      <c r="AF48">
        <v>4.6399999999999997</v>
      </c>
      <c r="AG48">
        <v>417.64</v>
      </c>
      <c r="AH48">
        <v>4472.41</v>
      </c>
      <c r="AI48">
        <v>14282.82</v>
      </c>
      <c r="AJ48">
        <v>0</v>
      </c>
      <c r="AK48">
        <v>0</v>
      </c>
      <c r="AL48">
        <v>1106.01</v>
      </c>
      <c r="AM48">
        <v>657.17</v>
      </c>
      <c r="AN48">
        <v>55.3</v>
      </c>
      <c r="AO48">
        <v>601.87</v>
      </c>
      <c r="AP48" t="e">
        <v>#N/A</v>
      </c>
      <c r="AQ48">
        <v>10936.01</v>
      </c>
      <c r="AR48">
        <v>10936.01</v>
      </c>
      <c r="AS48">
        <v>92.61</v>
      </c>
      <c r="AT48">
        <v>11028.62</v>
      </c>
      <c r="AU48">
        <v>67.069999999999993</v>
      </c>
      <c r="AV48">
        <v>11095.69</v>
      </c>
      <c r="AW48">
        <v>0</v>
      </c>
      <c r="AX48">
        <v>4606.76</v>
      </c>
      <c r="AY48">
        <v>365.01</v>
      </c>
      <c r="AZ48">
        <v>-42.35</v>
      </c>
      <c r="BA48">
        <v>1123.3399999999999</v>
      </c>
      <c r="BB48">
        <v>126.63</v>
      </c>
      <c r="BC48" t="e">
        <v>#N/A</v>
      </c>
      <c r="BD48">
        <v>203.85</v>
      </c>
      <c r="BE48">
        <v>2587.61</v>
      </c>
      <c r="BF48">
        <v>8970.85</v>
      </c>
      <c r="BG48">
        <v>2124.84</v>
      </c>
      <c r="BH48">
        <v>2080.37</v>
      </c>
      <c r="BI48">
        <v>0</v>
      </c>
      <c r="BJ48">
        <v>408.14</v>
      </c>
      <c r="BK48">
        <v>-48.6</v>
      </c>
      <c r="BL48" t="e">
        <v>#N/A</v>
      </c>
      <c r="BM48">
        <v>359.54</v>
      </c>
      <c r="BN48">
        <v>1720.83</v>
      </c>
      <c r="BO48">
        <v>1720.83</v>
      </c>
      <c r="BP48">
        <v>1720.83</v>
      </c>
      <c r="BQ48">
        <v>0</v>
      </c>
      <c r="BR48">
        <v>0</v>
      </c>
      <c r="BS48" t="e">
        <v>#N/A</v>
      </c>
    </row>
    <row r="49" spans="1:71" x14ac:dyDescent="0.25">
      <c r="A49" t="s">
        <v>131</v>
      </c>
      <c r="B49">
        <v>4</v>
      </c>
      <c r="C49">
        <v>2020</v>
      </c>
      <c r="D49">
        <v>102.23</v>
      </c>
      <c r="E49">
        <v>102.23</v>
      </c>
      <c r="F49">
        <v>7796.13</v>
      </c>
      <c r="G49">
        <v>7796.13</v>
      </c>
      <c r="H49">
        <v>7898.36</v>
      </c>
      <c r="I49">
        <v>0</v>
      </c>
      <c r="J49">
        <v>173.34</v>
      </c>
      <c r="K49">
        <v>116.98</v>
      </c>
      <c r="L49">
        <v>2512.09</v>
      </c>
      <c r="M49">
        <v>0</v>
      </c>
      <c r="N49">
        <v>2480.4899999999998</v>
      </c>
      <c r="O49">
        <v>1491.41</v>
      </c>
      <c r="P49">
        <v>55.96</v>
      </c>
      <c r="Q49">
        <v>4546.5600000000004</v>
      </c>
      <c r="R49">
        <v>14957.01</v>
      </c>
      <c r="S49">
        <v>0</v>
      </c>
      <c r="T49">
        <v>0</v>
      </c>
      <c r="U49">
        <v>1256.92</v>
      </c>
      <c r="V49">
        <v>55.67</v>
      </c>
      <c r="W49">
        <v>3949.12</v>
      </c>
      <c r="X49">
        <v>646.79</v>
      </c>
      <c r="Y49">
        <v>22.63</v>
      </c>
      <c r="Z49">
        <v>156.01</v>
      </c>
      <c r="AA49">
        <v>10148.67</v>
      </c>
      <c r="AB49">
        <v>0</v>
      </c>
      <c r="AC49">
        <v>1703.12</v>
      </c>
      <c r="AD49">
        <v>1157.25</v>
      </c>
      <c r="AE49">
        <v>770.16</v>
      </c>
      <c r="AF49">
        <v>3.27</v>
      </c>
      <c r="AG49">
        <v>537.36</v>
      </c>
      <c r="AH49">
        <v>4808.34</v>
      </c>
      <c r="AI49">
        <v>14957.01</v>
      </c>
      <c r="AJ49">
        <v>0</v>
      </c>
      <c r="AK49">
        <v>0</v>
      </c>
      <c r="AL49">
        <v>1089.97</v>
      </c>
      <c r="AM49">
        <v>637.17999999999995</v>
      </c>
      <c r="AN49">
        <v>80.099999999999994</v>
      </c>
      <c r="AO49">
        <v>557.12</v>
      </c>
      <c r="AP49" t="e">
        <v>#N/A</v>
      </c>
      <c r="AQ49">
        <v>9826.51</v>
      </c>
      <c r="AR49">
        <v>9826.51</v>
      </c>
      <c r="AS49">
        <v>84.29</v>
      </c>
      <c r="AT49">
        <v>9910.7999999999993</v>
      </c>
      <c r="AU49">
        <v>112.3</v>
      </c>
      <c r="AV49">
        <v>10023.1</v>
      </c>
      <c r="AW49">
        <v>0</v>
      </c>
      <c r="AX49">
        <v>4121.75</v>
      </c>
      <c r="AY49">
        <v>313.08</v>
      </c>
      <c r="AZ49">
        <v>-173.15</v>
      </c>
      <c r="BA49">
        <v>1018.82</v>
      </c>
      <c r="BB49">
        <v>217.41</v>
      </c>
      <c r="BC49" t="e">
        <v>#N/A</v>
      </c>
      <c r="BD49">
        <v>197.28</v>
      </c>
      <c r="BE49">
        <v>2487.27</v>
      </c>
      <c r="BF49">
        <v>8182.46</v>
      </c>
      <c r="BG49">
        <v>1840.64</v>
      </c>
      <c r="BH49">
        <v>1759.59</v>
      </c>
      <c r="BI49">
        <v>0</v>
      </c>
      <c r="BJ49">
        <v>378.66</v>
      </c>
      <c r="BK49">
        <v>-114.84</v>
      </c>
      <c r="BL49" t="e">
        <v>#N/A</v>
      </c>
      <c r="BM49">
        <v>263.82</v>
      </c>
      <c r="BN49">
        <v>1495.77</v>
      </c>
      <c r="BO49">
        <v>1495.77</v>
      </c>
      <c r="BP49">
        <v>1495.77</v>
      </c>
      <c r="BQ49">
        <v>817.82</v>
      </c>
      <c r="BR49">
        <v>168.11</v>
      </c>
      <c r="BS49" t="e">
        <v>#N/A</v>
      </c>
    </row>
    <row r="50" spans="1:71" x14ac:dyDescent="0.25">
      <c r="A50" t="s">
        <v>131</v>
      </c>
      <c r="B50">
        <v>5</v>
      </c>
      <c r="C50">
        <v>2019</v>
      </c>
      <c r="D50">
        <v>102.22</v>
      </c>
      <c r="E50">
        <v>102.22</v>
      </c>
      <c r="F50">
        <v>7164.7</v>
      </c>
      <c r="G50">
        <v>7164.7</v>
      </c>
      <c r="H50">
        <v>7266.92</v>
      </c>
      <c r="I50">
        <v>0</v>
      </c>
      <c r="J50">
        <v>221.82</v>
      </c>
      <c r="K50">
        <v>108.25</v>
      </c>
      <c r="L50">
        <v>3011.38</v>
      </c>
      <c r="M50">
        <v>0</v>
      </c>
      <c r="N50">
        <v>2539.88</v>
      </c>
      <c r="O50">
        <v>1030.1099999999999</v>
      </c>
      <c r="P50">
        <v>50.85</v>
      </c>
      <c r="Q50">
        <v>3891.78</v>
      </c>
      <c r="R50">
        <v>14170.08</v>
      </c>
      <c r="S50">
        <v>0</v>
      </c>
      <c r="T50">
        <v>0</v>
      </c>
      <c r="U50">
        <v>1192.29</v>
      </c>
      <c r="V50">
        <v>50.9</v>
      </c>
      <c r="W50">
        <v>3804.29</v>
      </c>
      <c r="X50">
        <v>549.32000000000005</v>
      </c>
      <c r="Y50">
        <v>18.77</v>
      </c>
      <c r="Z50">
        <v>156.59</v>
      </c>
      <c r="AA50">
        <v>9481.67</v>
      </c>
      <c r="AB50">
        <v>0</v>
      </c>
      <c r="AC50">
        <v>1558.59</v>
      </c>
      <c r="AD50">
        <v>1292.9000000000001</v>
      </c>
      <c r="AE50">
        <v>894.72</v>
      </c>
      <c r="AF50">
        <v>3.73</v>
      </c>
      <c r="AG50">
        <v>457.16</v>
      </c>
      <c r="AH50">
        <v>4688.41</v>
      </c>
      <c r="AI50">
        <v>14170.08</v>
      </c>
      <c r="AJ50">
        <v>0</v>
      </c>
      <c r="AK50">
        <v>0</v>
      </c>
      <c r="AL50">
        <v>911.53</v>
      </c>
      <c r="AM50">
        <v>481.31</v>
      </c>
      <c r="AN50">
        <v>329.94</v>
      </c>
      <c r="AO50">
        <v>152.04</v>
      </c>
      <c r="AP50" t="e">
        <v>#N/A</v>
      </c>
      <c r="AQ50">
        <v>10221.07</v>
      </c>
      <c r="AR50">
        <v>10221.07</v>
      </c>
      <c r="AS50">
        <v>93.27</v>
      </c>
      <c r="AT50">
        <v>10314.34</v>
      </c>
      <c r="AU50">
        <v>108.76</v>
      </c>
      <c r="AV50">
        <v>10423.1</v>
      </c>
      <c r="AW50">
        <v>0</v>
      </c>
      <c r="AX50">
        <v>4062.43</v>
      </c>
      <c r="AY50">
        <v>337.36</v>
      </c>
      <c r="AZ50">
        <v>154.54</v>
      </c>
      <c r="BA50">
        <v>1068.4100000000001</v>
      </c>
      <c r="BB50">
        <v>224.25</v>
      </c>
      <c r="BC50" t="e">
        <v>#N/A</v>
      </c>
      <c r="BD50">
        <v>169.98</v>
      </c>
      <c r="BE50">
        <v>2573.9899999999998</v>
      </c>
      <c r="BF50">
        <v>8590.9599999999991</v>
      </c>
      <c r="BG50">
        <v>1832.14</v>
      </c>
      <c r="BH50">
        <v>2084.6999999999998</v>
      </c>
      <c r="BI50">
        <v>0</v>
      </c>
      <c r="BJ50">
        <v>417.9</v>
      </c>
      <c r="BK50">
        <v>-674.1</v>
      </c>
      <c r="BL50" t="e">
        <v>#N/A</v>
      </c>
      <c r="BM50">
        <v>-256.2</v>
      </c>
      <c r="BN50">
        <v>2340.9</v>
      </c>
      <c r="BO50">
        <v>2340.9</v>
      </c>
      <c r="BP50">
        <v>2340.9</v>
      </c>
      <c r="BQ50">
        <v>1226.52</v>
      </c>
      <c r="BR50">
        <v>252.11</v>
      </c>
      <c r="BS50" t="e">
        <v>#N/A</v>
      </c>
    </row>
    <row r="51" spans="1:71" x14ac:dyDescent="0.25">
      <c r="A51" t="s">
        <v>131</v>
      </c>
      <c r="B51">
        <v>6</v>
      </c>
      <c r="C51">
        <v>2018</v>
      </c>
      <c r="D51">
        <v>68.13</v>
      </c>
      <c r="E51">
        <v>68.13</v>
      </c>
      <c r="F51">
        <v>6190.18</v>
      </c>
      <c r="G51">
        <v>6190.18</v>
      </c>
      <c r="H51">
        <v>6258.31</v>
      </c>
      <c r="I51">
        <v>0</v>
      </c>
      <c r="J51">
        <v>756.32</v>
      </c>
      <c r="K51">
        <v>98.24</v>
      </c>
      <c r="L51">
        <v>3539.6</v>
      </c>
      <c r="M51">
        <v>0</v>
      </c>
      <c r="N51">
        <v>2356.85</v>
      </c>
      <c r="O51">
        <v>1619.62</v>
      </c>
      <c r="P51">
        <v>47.82</v>
      </c>
      <c r="Q51">
        <v>4164.8</v>
      </c>
      <c r="R51">
        <v>13962.71</v>
      </c>
      <c r="S51">
        <v>0</v>
      </c>
      <c r="T51">
        <v>0</v>
      </c>
      <c r="U51">
        <v>1066.3599999999999</v>
      </c>
      <c r="V51">
        <v>82.08</v>
      </c>
      <c r="W51">
        <v>3680.01</v>
      </c>
      <c r="X51">
        <v>100.04</v>
      </c>
      <c r="Y51">
        <v>18.87</v>
      </c>
      <c r="Z51">
        <v>135.72</v>
      </c>
      <c r="AA51">
        <v>8795.0300000000007</v>
      </c>
      <c r="AB51">
        <v>0</v>
      </c>
      <c r="AC51">
        <v>1577.72</v>
      </c>
      <c r="AD51">
        <v>1245.5</v>
      </c>
      <c r="AE51">
        <v>960.21</v>
      </c>
      <c r="AF51">
        <v>2.89</v>
      </c>
      <c r="AG51">
        <v>525.6</v>
      </c>
      <c r="AH51">
        <v>5167.68</v>
      </c>
      <c r="AI51">
        <v>13962.71</v>
      </c>
      <c r="AJ51">
        <v>0</v>
      </c>
      <c r="AK51">
        <v>0</v>
      </c>
      <c r="AL51">
        <v>872.44</v>
      </c>
      <c r="AM51">
        <v>855.76</v>
      </c>
      <c r="AN51">
        <v>339.38</v>
      </c>
      <c r="AO51">
        <v>519.75</v>
      </c>
      <c r="AP51" t="e">
        <v>#N/A</v>
      </c>
      <c r="AQ51">
        <v>9861.74</v>
      </c>
      <c r="AR51">
        <v>9768.02</v>
      </c>
      <c r="AS51">
        <v>75.25</v>
      </c>
      <c r="AT51">
        <v>9843.27</v>
      </c>
      <c r="AU51">
        <v>107.55</v>
      </c>
      <c r="AV51">
        <v>9950.82</v>
      </c>
      <c r="AW51">
        <v>0</v>
      </c>
      <c r="AX51">
        <v>3646.23</v>
      </c>
      <c r="AY51">
        <v>572.13</v>
      </c>
      <c r="AZ51">
        <v>56</v>
      </c>
      <c r="BA51">
        <v>1057.4100000000001</v>
      </c>
      <c r="BB51">
        <v>160.74</v>
      </c>
      <c r="BC51" t="e">
        <v>#N/A</v>
      </c>
      <c r="BD51">
        <v>155.68</v>
      </c>
      <c r="BE51">
        <v>2444.39</v>
      </c>
      <c r="BF51">
        <v>8092.58</v>
      </c>
      <c r="BG51">
        <v>1858.24</v>
      </c>
      <c r="BH51">
        <v>2037.8</v>
      </c>
      <c r="BI51">
        <v>0</v>
      </c>
      <c r="BJ51">
        <v>392.5</v>
      </c>
      <c r="BK51">
        <v>12.2</v>
      </c>
      <c r="BL51" t="e">
        <v>#N/A</v>
      </c>
      <c r="BM51">
        <v>404.7</v>
      </c>
      <c r="BN51">
        <v>1633.1</v>
      </c>
      <c r="BO51">
        <v>1633.1</v>
      </c>
      <c r="BP51">
        <v>1633.1</v>
      </c>
      <c r="BQ51">
        <v>613.12</v>
      </c>
      <c r="BR51">
        <v>124.82</v>
      </c>
      <c r="BS51" t="e">
        <v>#N/A</v>
      </c>
    </row>
    <row r="52" spans="1:71" x14ac:dyDescent="0.25">
      <c r="A52" t="s">
        <v>132</v>
      </c>
      <c r="B52">
        <v>2</v>
      </c>
      <c r="C52">
        <v>2022</v>
      </c>
      <c r="D52">
        <v>129</v>
      </c>
      <c r="E52">
        <v>129</v>
      </c>
      <c r="F52">
        <v>3192</v>
      </c>
      <c r="G52">
        <v>3192</v>
      </c>
      <c r="H52">
        <v>3348</v>
      </c>
      <c r="I52">
        <v>0</v>
      </c>
      <c r="J52">
        <v>118</v>
      </c>
      <c r="K52">
        <v>1</v>
      </c>
      <c r="L52">
        <v>228</v>
      </c>
      <c r="M52">
        <v>0</v>
      </c>
      <c r="N52">
        <v>1344</v>
      </c>
      <c r="O52">
        <v>443</v>
      </c>
      <c r="P52">
        <v>21</v>
      </c>
      <c r="Q52">
        <v>2153</v>
      </c>
      <c r="R52">
        <v>5786</v>
      </c>
      <c r="S52">
        <v>0</v>
      </c>
      <c r="T52">
        <v>0</v>
      </c>
      <c r="U52">
        <v>800</v>
      </c>
      <c r="V52">
        <v>39</v>
      </c>
      <c r="W52">
        <v>1145</v>
      </c>
      <c r="X52">
        <v>187</v>
      </c>
      <c r="Y52">
        <v>4</v>
      </c>
      <c r="Z52">
        <v>104</v>
      </c>
      <c r="AA52">
        <v>2281</v>
      </c>
      <c r="AB52">
        <v>0</v>
      </c>
      <c r="AC52">
        <v>1412</v>
      </c>
      <c r="AD52">
        <v>652</v>
      </c>
      <c r="AE52">
        <v>579</v>
      </c>
      <c r="AF52">
        <v>5</v>
      </c>
      <c r="AG52">
        <v>216</v>
      </c>
      <c r="AH52">
        <v>3505</v>
      </c>
      <c r="AI52">
        <v>5786</v>
      </c>
      <c r="AJ52">
        <v>0</v>
      </c>
      <c r="AK52">
        <v>0</v>
      </c>
      <c r="AL52">
        <v>807</v>
      </c>
      <c r="AM52">
        <v>641</v>
      </c>
      <c r="AN52">
        <v>0</v>
      </c>
      <c r="AO52">
        <v>641</v>
      </c>
      <c r="AP52" t="e">
        <v>#N/A</v>
      </c>
      <c r="AQ52">
        <v>9452</v>
      </c>
      <c r="AR52">
        <v>9452</v>
      </c>
      <c r="AS52">
        <v>60</v>
      </c>
      <c r="AT52">
        <v>9512</v>
      </c>
      <c r="AU52">
        <v>98</v>
      </c>
      <c r="AV52">
        <v>9610</v>
      </c>
      <c r="AW52">
        <v>0</v>
      </c>
      <c r="AX52">
        <v>5061</v>
      </c>
      <c r="AY52">
        <v>491</v>
      </c>
      <c r="AZ52">
        <v>-116</v>
      </c>
      <c r="BA52">
        <v>586</v>
      </c>
      <c r="BB52">
        <v>39</v>
      </c>
      <c r="BC52" t="e">
        <v>#N/A</v>
      </c>
      <c r="BD52">
        <v>139</v>
      </c>
      <c r="BE52">
        <v>1809</v>
      </c>
      <c r="BF52">
        <v>8009</v>
      </c>
      <c r="BG52">
        <v>1601</v>
      </c>
      <c r="BH52">
        <v>1601</v>
      </c>
      <c r="BI52">
        <v>0</v>
      </c>
      <c r="BJ52">
        <v>343</v>
      </c>
      <c r="BK52">
        <v>3</v>
      </c>
      <c r="BL52">
        <v>0</v>
      </c>
      <c r="BM52">
        <v>346</v>
      </c>
      <c r="BN52">
        <v>1255</v>
      </c>
      <c r="BO52">
        <v>1255</v>
      </c>
      <c r="BP52">
        <v>1255</v>
      </c>
      <c r="BQ52">
        <v>1195</v>
      </c>
      <c r="BR52">
        <v>0</v>
      </c>
      <c r="BS52" t="e">
        <v>#N/A</v>
      </c>
    </row>
    <row r="53" spans="1:71" x14ac:dyDescent="0.25">
      <c r="A53" t="s">
        <v>132</v>
      </c>
      <c r="B53">
        <v>3</v>
      </c>
      <c r="C53">
        <v>2021</v>
      </c>
      <c r="D53">
        <v>129</v>
      </c>
      <c r="E53">
        <v>129</v>
      </c>
      <c r="F53">
        <v>3082</v>
      </c>
      <c r="G53">
        <v>3082</v>
      </c>
      <c r="H53">
        <v>3240</v>
      </c>
      <c r="I53">
        <v>0</v>
      </c>
      <c r="J53">
        <v>146</v>
      </c>
      <c r="K53">
        <v>1</v>
      </c>
      <c r="L53">
        <v>239</v>
      </c>
      <c r="M53">
        <v>0</v>
      </c>
      <c r="N53">
        <v>1134</v>
      </c>
      <c r="O53">
        <v>519</v>
      </c>
      <c r="P53">
        <v>20</v>
      </c>
      <c r="Q53">
        <v>2013</v>
      </c>
      <c r="R53">
        <v>5510</v>
      </c>
      <c r="S53">
        <v>0</v>
      </c>
      <c r="T53">
        <v>0</v>
      </c>
      <c r="U53">
        <v>769</v>
      </c>
      <c r="V53">
        <v>24</v>
      </c>
      <c r="W53">
        <v>1023</v>
      </c>
      <c r="X53">
        <v>186</v>
      </c>
      <c r="Y53">
        <v>18</v>
      </c>
      <c r="Z53">
        <v>108</v>
      </c>
      <c r="AA53">
        <v>2174</v>
      </c>
      <c r="AB53">
        <v>0</v>
      </c>
      <c r="AC53">
        <v>1126</v>
      </c>
      <c r="AD53">
        <v>388</v>
      </c>
      <c r="AE53">
        <v>944</v>
      </c>
      <c r="AF53">
        <v>6</v>
      </c>
      <c r="AG53">
        <v>244</v>
      </c>
      <c r="AH53">
        <v>3336</v>
      </c>
      <c r="AI53">
        <v>5510</v>
      </c>
      <c r="AJ53">
        <v>0</v>
      </c>
      <c r="AK53">
        <v>0</v>
      </c>
      <c r="AL53">
        <v>632</v>
      </c>
      <c r="AM53">
        <v>628</v>
      </c>
      <c r="AN53">
        <v>0</v>
      </c>
      <c r="AO53">
        <v>620</v>
      </c>
      <c r="AP53" t="e">
        <v>#N/A</v>
      </c>
      <c r="AQ53">
        <v>7991</v>
      </c>
      <c r="AR53">
        <v>7991</v>
      </c>
      <c r="AS53">
        <v>57</v>
      </c>
      <c r="AT53">
        <v>8048</v>
      </c>
      <c r="AU53">
        <v>94</v>
      </c>
      <c r="AV53">
        <v>8142</v>
      </c>
      <c r="AW53">
        <v>0</v>
      </c>
      <c r="AX53">
        <v>3884</v>
      </c>
      <c r="AY53">
        <v>339</v>
      </c>
      <c r="AZ53">
        <v>47</v>
      </c>
      <c r="BA53">
        <v>570</v>
      </c>
      <c r="BB53">
        <v>34</v>
      </c>
      <c r="BC53" t="e">
        <v>#N/A</v>
      </c>
      <c r="BD53">
        <v>139</v>
      </c>
      <c r="BE53">
        <v>1617</v>
      </c>
      <c r="BF53">
        <v>6630</v>
      </c>
      <c r="BG53">
        <v>1512</v>
      </c>
      <c r="BH53">
        <v>1525</v>
      </c>
      <c r="BI53">
        <v>0</v>
      </c>
      <c r="BJ53">
        <v>335</v>
      </c>
      <c r="BK53">
        <v>-11</v>
      </c>
      <c r="BL53">
        <v>0</v>
      </c>
      <c r="BM53">
        <v>324</v>
      </c>
      <c r="BN53">
        <v>1201</v>
      </c>
      <c r="BO53">
        <v>1201</v>
      </c>
      <c r="BP53">
        <v>1201</v>
      </c>
      <c r="BQ53">
        <v>968</v>
      </c>
      <c r="BR53">
        <v>0</v>
      </c>
      <c r="BS53" t="e">
        <v>#N/A</v>
      </c>
    </row>
    <row r="54" spans="1:71" x14ac:dyDescent="0.25">
      <c r="A54" t="s">
        <v>132</v>
      </c>
      <c r="B54">
        <v>4</v>
      </c>
      <c r="C54">
        <v>2020</v>
      </c>
      <c r="D54">
        <v>129</v>
      </c>
      <c r="E54">
        <v>129</v>
      </c>
      <c r="F54">
        <v>2869</v>
      </c>
      <c r="G54">
        <v>2869</v>
      </c>
      <c r="H54">
        <v>3023</v>
      </c>
      <c r="I54">
        <v>0</v>
      </c>
      <c r="J54">
        <v>165</v>
      </c>
      <c r="K54">
        <v>0</v>
      </c>
      <c r="L54">
        <v>181</v>
      </c>
      <c r="M54">
        <v>0</v>
      </c>
      <c r="N54">
        <v>950</v>
      </c>
      <c r="O54">
        <v>417</v>
      </c>
      <c r="P54">
        <v>61</v>
      </c>
      <c r="Q54">
        <v>1753</v>
      </c>
      <c r="R54">
        <v>4970</v>
      </c>
      <c r="S54">
        <v>0</v>
      </c>
      <c r="T54">
        <v>0</v>
      </c>
      <c r="U54">
        <v>817</v>
      </c>
      <c r="V54">
        <v>58</v>
      </c>
      <c r="W54">
        <v>916</v>
      </c>
      <c r="X54">
        <v>159</v>
      </c>
      <c r="Y54">
        <v>20</v>
      </c>
      <c r="Z54">
        <v>83</v>
      </c>
      <c r="AA54">
        <v>1821</v>
      </c>
      <c r="AB54">
        <v>0</v>
      </c>
      <c r="AC54">
        <v>1380</v>
      </c>
      <c r="AD54">
        <v>539</v>
      </c>
      <c r="AE54">
        <v>279</v>
      </c>
      <c r="AF54">
        <v>5</v>
      </c>
      <c r="AG54">
        <v>318</v>
      </c>
      <c r="AH54">
        <v>3149</v>
      </c>
      <c r="AI54">
        <v>4970</v>
      </c>
      <c r="AJ54">
        <v>0</v>
      </c>
      <c r="AK54">
        <v>0</v>
      </c>
      <c r="AL54">
        <v>666</v>
      </c>
      <c r="AM54">
        <v>628</v>
      </c>
      <c r="AN54">
        <v>0</v>
      </c>
      <c r="AO54">
        <v>513</v>
      </c>
      <c r="AP54" t="e">
        <v>#N/A</v>
      </c>
      <c r="AQ54">
        <v>7254</v>
      </c>
      <c r="AR54">
        <v>7254</v>
      </c>
      <c r="AS54">
        <v>61</v>
      </c>
      <c r="AT54">
        <v>7315</v>
      </c>
      <c r="AU54">
        <v>124</v>
      </c>
      <c r="AV54">
        <v>7439</v>
      </c>
      <c r="AW54">
        <v>0</v>
      </c>
      <c r="AX54">
        <v>3424</v>
      </c>
      <c r="AY54">
        <v>177</v>
      </c>
      <c r="AZ54">
        <v>140</v>
      </c>
      <c r="BA54">
        <v>478</v>
      </c>
      <c r="BB54">
        <v>50</v>
      </c>
      <c r="BC54" t="e">
        <v>#N/A</v>
      </c>
      <c r="BD54">
        <v>140</v>
      </c>
      <c r="BE54">
        <v>1627</v>
      </c>
      <c r="BF54">
        <v>6036</v>
      </c>
      <c r="BG54">
        <v>1403</v>
      </c>
      <c r="BH54">
        <v>1374</v>
      </c>
      <c r="BI54">
        <v>0</v>
      </c>
      <c r="BJ54">
        <v>347</v>
      </c>
      <c r="BK54">
        <v>-16</v>
      </c>
      <c r="BL54">
        <v>0</v>
      </c>
      <c r="BM54">
        <v>331</v>
      </c>
      <c r="BN54">
        <v>1043</v>
      </c>
      <c r="BO54">
        <v>1043</v>
      </c>
      <c r="BP54">
        <v>1043</v>
      </c>
      <c r="BQ54">
        <v>896</v>
      </c>
      <c r="BR54">
        <v>131</v>
      </c>
      <c r="BS54" t="e">
        <v>#N/A</v>
      </c>
    </row>
    <row r="55" spans="1:71" x14ac:dyDescent="0.25">
      <c r="A55" t="s">
        <v>132</v>
      </c>
      <c r="B55">
        <v>5</v>
      </c>
      <c r="C55">
        <v>2019</v>
      </c>
      <c r="D55">
        <v>129</v>
      </c>
      <c r="E55">
        <v>129</v>
      </c>
      <c r="F55">
        <v>2827</v>
      </c>
      <c r="G55">
        <v>2827</v>
      </c>
      <c r="H55">
        <v>2975</v>
      </c>
      <c r="I55">
        <v>0</v>
      </c>
      <c r="J55">
        <v>171</v>
      </c>
      <c r="K55">
        <v>0</v>
      </c>
      <c r="L55">
        <v>198</v>
      </c>
      <c r="M55">
        <v>0</v>
      </c>
      <c r="N55">
        <v>944</v>
      </c>
      <c r="O55">
        <v>388</v>
      </c>
      <c r="P55">
        <v>57</v>
      </c>
      <c r="Q55">
        <v>1724</v>
      </c>
      <c r="R55">
        <v>4909</v>
      </c>
      <c r="S55">
        <v>0</v>
      </c>
      <c r="T55">
        <v>0</v>
      </c>
      <c r="U55">
        <v>742</v>
      </c>
      <c r="V55">
        <v>45</v>
      </c>
      <c r="W55">
        <v>842</v>
      </c>
      <c r="X55">
        <v>202</v>
      </c>
      <c r="Y55">
        <v>18</v>
      </c>
      <c r="Z55">
        <v>85</v>
      </c>
      <c r="AA55">
        <v>1709</v>
      </c>
      <c r="AB55">
        <v>0</v>
      </c>
      <c r="AC55">
        <v>1411</v>
      </c>
      <c r="AD55">
        <v>517</v>
      </c>
      <c r="AE55">
        <v>552</v>
      </c>
      <c r="AF55">
        <v>5</v>
      </c>
      <c r="AG55">
        <v>324</v>
      </c>
      <c r="AH55">
        <v>3200</v>
      </c>
      <c r="AI55">
        <v>4909</v>
      </c>
      <c r="AJ55">
        <v>0</v>
      </c>
      <c r="AK55">
        <v>0</v>
      </c>
      <c r="AL55">
        <v>608</v>
      </c>
      <c r="AM55">
        <v>391</v>
      </c>
      <c r="AN55">
        <v>0</v>
      </c>
      <c r="AO55">
        <v>294</v>
      </c>
      <c r="AP55" t="e">
        <v>#N/A</v>
      </c>
      <c r="AQ55">
        <v>7273</v>
      </c>
      <c r="AR55">
        <v>7273</v>
      </c>
      <c r="AS55">
        <v>61</v>
      </c>
      <c r="AT55">
        <v>7334</v>
      </c>
      <c r="AU55">
        <v>103</v>
      </c>
      <c r="AV55">
        <v>7437</v>
      </c>
      <c r="AW55">
        <v>0</v>
      </c>
      <c r="AX55">
        <v>3995</v>
      </c>
      <c r="AY55">
        <v>145</v>
      </c>
      <c r="AZ55">
        <v>-123</v>
      </c>
      <c r="BA55">
        <v>466</v>
      </c>
      <c r="BB55">
        <v>40</v>
      </c>
      <c r="BC55" t="e">
        <v>#N/A</v>
      </c>
      <c r="BD55">
        <v>131</v>
      </c>
      <c r="BE55">
        <v>1525</v>
      </c>
      <c r="BF55">
        <v>6179</v>
      </c>
      <c r="BG55">
        <v>1258</v>
      </c>
      <c r="BH55">
        <v>1258</v>
      </c>
      <c r="BI55">
        <v>0</v>
      </c>
      <c r="BJ55">
        <v>331</v>
      </c>
      <c r="BK55">
        <v>-17</v>
      </c>
      <c r="BL55">
        <v>-188</v>
      </c>
      <c r="BM55">
        <v>126</v>
      </c>
      <c r="BN55">
        <v>1132</v>
      </c>
      <c r="BO55">
        <v>1132</v>
      </c>
      <c r="BP55">
        <v>1132</v>
      </c>
      <c r="BQ55">
        <v>589</v>
      </c>
      <c r="BR55">
        <v>93</v>
      </c>
      <c r="BS55" t="e">
        <v>#N/A</v>
      </c>
    </row>
    <row r="56" spans="1:71" x14ac:dyDescent="0.25">
      <c r="A56" t="s">
        <v>132</v>
      </c>
      <c r="B56">
        <v>6</v>
      </c>
      <c r="C56">
        <v>2018</v>
      </c>
      <c r="D56">
        <v>129.05000000000001</v>
      </c>
      <c r="E56">
        <v>129.05000000000001</v>
      </c>
      <c r="F56">
        <v>2413.7800000000002</v>
      </c>
      <c r="G56">
        <v>2413.7800000000002</v>
      </c>
      <c r="H56">
        <v>2542.83</v>
      </c>
      <c r="I56">
        <v>0</v>
      </c>
      <c r="J56">
        <v>19.2</v>
      </c>
      <c r="K56">
        <v>0</v>
      </c>
      <c r="L56">
        <v>68.47</v>
      </c>
      <c r="M56">
        <v>0</v>
      </c>
      <c r="N56">
        <v>821.65</v>
      </c>
      <c r="O56">
        <v>289.39999999999998</v>
      </c>
      <c r="P56">
        <v>57.18</v>
      </c>
      <c r="Q56">
        <v>1457.68</v>
      </c>
      <c r="R56">
        <v>4081.49</v>
      </c>
      <c r="S56">
        <v>0</v>
      </c>
      <c r="T56">
        <v>0</v>
      </c>
      <c r="U56">
        <v>564.05999999999995</v>
      </c>
      <c r="V56">
        <v>26.82</v>
      </c>
      <c r="W56">
        <v>651.35</v>
      </c>
      <c r="X56">
        <v>9.24</v>
      </c>
      <c r="Y56">
        <v>4.13</v>
      </c>
      <c r="Z56">
        <v>80.52</v>
      </c>
      <c r="AA56">
        <v>1288.06</v>
      </c>
      <c r="AB56">
        <v>0</v>
      </c>
      <c r="AC56">
        <v>1510.88</v>
      </c>
      <c r="AD56">
        <v>340.56</v>
      </c>
      <c r="AE56">
        <v>200.12</v>
      </c>
      <c r="AF56">
        <v>4.3499999999999996</v>
      </c>
      <c r="AG56">
        <v>251.74</v>
      </c>
      <c r="AH56">
        <v>2793.43</v>
      </c>
      <c r="AI56">
        <v>4081.49</v>
      </c>
      <c r="AJ56">
        <v>0</v>
      </c>
      <c r="AK56">
        <v>0</v>
      </c>
      <c r="AL56">
        <v>321.33999999999997</v>
      </c>
      <c r="AM56">
        <v>485.78</v>
      </c>
      <c r="AN56">
        <v>25.24</v>
      </c>
      <c r="AO56">
        <v>352.55</v>
      </c>
      <c r="AP56" t="e">
        <v>#N/A</v>
      </c>
      <c r="AQ56">
        <v>6300.77</v>
      </c>
      <c r="AR56">
        <v>6289.86</v>
      </c>
      <c r="AS56">
        <v>32.32</v>
      </c>
      <c r="AT56">
        <v>6322.18</v>
      </c>
      <c r="AU56">
        <v>84.63</v>
      </c>
      <c r="AV56">
        <v>6406.81</v>
      </c>
      <c r="AW56">
        <v>0</v>
      </c>
      <c r="AX56">
        <v>3371.67</v>
      </c>
      <c r="AY56">
        <v>196.01</v>
      </c>
      <c r="AZ56">
        <v>-219.5</v>
      </c>
      <c r="BA56">
        <v>422.22</v>
      </c>
      <c r="BB56">
        <v>16.170000000000002</v>
      </c>
      <c r="BC56" t="e">
        <v>#N/A</v>
      </c>
      <c r="BD56">
        <v>89.08</v>
      </c>
      <c r="BE56">
        <v>1414.02</v>
      </c>
      <c r="BF56">
        <v>5289.67</v>
      </c>
      <c r="BG56">
        <v>1117.1400000000001</v>
      </c>
      <c r="BH56">
        <v>1117.1400000000001</v>
      </c>
      <c r="BI56">
        <v>0</v>
      </c>
      <c r="BJ56">
        <v>284.12</v>
      </c>
      <c r="BK56">
        <v>5.45</v>
      </c>
      <c r="BL56">
        <v>0</v>
      </c>
      <c r="BM56">
        <v>289.57</v>
      </c>
      <c r="BN56">
        <v>827.57</v>
      </c>
      <c r="BO56">
        <v>827.57</v>
      </c>
      <c r="BP56">
        <v>827.57</v>
      </c>
      <c r="BQ56">
        <v>548.58000000000004</v>
      </c>
      <c r="BR56">
        <v>87.25</v>
      </c>
      <c r="BS56" t="e">
        <v>#N/A</v>
      </c>
    </row>
    <row r="57" spans="1:71" x14ac:dyDescent="0.25">
      <c r="A57" t="s">
        <v>133</v>
      </c>
      <c r="B57">
        <v>2</v>
      </c>
      <c r="C57">
        <v>2022</v>
      </c>
      <c r="D57">
        <v>32.46</v>
      </c>
      <c r="E57">
        <v>32.46</v>
      </c>
      <c r="F57">
        <v>665.27</v>
      </c>
      <c r="G57">
        <v>665.27</v>
      </c>
      <c r="H57">
        <v>737.57</v>
      </c>
      <c r="I57">
        <v>0</v>
      </c>
      <c r="J57">
        <v>1.94</v>
      </c>
      <c r="K57">
        <v>83.89</v>
      </c>
      <c r="L57">
        <v>85.83</v>
      </c>
      <c r="M57">
        <v>0</v>
      </c>
      <c r="N57">
        <v>778.43</v>
      </c>
      <c r="O57">
        <v>71.010000000000005</v>
      </c>
      <c r="P57">
        <v>8.4</v>
      </c>
      <c r="Q57">
        <v>857.84</v>
      </c>
      <c r="R57">
        <v>1681.24</v>
      </c>
      <c r="S57">
        <v>0</v>
      </c>
      <c r="T57">
        <v>0</v>
      </c>
      <c r="U57">
        <v>163.68</v>
      </c>
      <c r="V57">
        <v>43.88</v>
      </c>
      <c r="W57">
        <v>207.56</v>
      </c>
      <c r="X57">
        <v>51.88</v>
      </c>
      <c r="Y57">
        <v>28.42</v>
      </c>
      <c r="Z57">
        <v>259.62</v>
      </c>
      <c r="AA57">
        <v>547.48</v>
      </c>
      <c r="AB57">
        <v>0</v>
      </c>
      <c r="AC57">
        <v>234.02</v>
      </c>
      <c r="AD57">
        <v>190.75</v>
      </c>
      <c r="AE57">
        <v>639.25</v>
      </c>
      <c r="AF57">
        <v>5.73</v>
      </c>
      <c r="AG57">
        <v>64.010000000000005</v>
      </c>
      <c r="AH57">
        <v>1133.76</v>
      </c>
      <c r="AI57">
        <v>1681.24</v>
      </c>
      <c r="AJ57">
        <v>0</v>
      </c>
      <c r="AK57">
        <v>0</v>
      </c>
      <c r="AL57">
        <v>334.99</v>
      </c>
      <c r="AM57">
        <v>0</v>
      </c>
      <c r="AN57" t="s">
        <v>53</v>
      </c>
      <c r="AO57" t="s">
        <v>53</v>
      </c>
      <c r="AP57" t="s">
        <v>3</v>
      </c>
      <c r="AQ57">
        <v>3792.45</v>
      </c>
      <c r="AR57">
        <v>3792.45</v>
      </c>
      <c r="AS57">
        <v>108.47</v>
      </c>
      <c r="AT57">
        <v>3900.92</v>
      </c>
      <c r="AU57">
        <v>24.32</v>
      </c>
      <c r="AV57">
        <v>3925.24</v>
      </c>
      <c r="AW57">
        <v>0</v>
      </c>
      <c r="AX57">
        <v>1260.3399999999999</v>
      </c>
      <c r="AY57">
        <v>305.45</v>
      </c>
      <c r="AZ57">
        <v>-6.5</v>
      </c>
      <c r="BA57">
        <v>214.34</v>
      </c>
      <c r="BB57">
        <v>11.19</v>
      </c>
      <c r="BC57">
        <v>0</v>
      </c>
      <c r="BD57">
        <v>52.88</v>
      </c>
      <c r="BE57">
        <v>1297.4000000000001</v>
      </c>
      <c r="BF57">
        <v>3135.1</v>
      </c>
      <c r="BG57">
        <v>790.14</v>
      </c>
      <c r="BH57">
        <v>790.14</v>
      </c>
      <c r="BI57">
        <v>0</v>
      </c>
      <c r="BJ57">
        <v>219.5</v>
      </c>
      <c r="BK57">
        <v>-12.82</v>
      </c>
      <c r="BL57">
        <v>7.71</v>
      </c>
      <c r="BM57">
        <v>214.39</v>
      </c>
      <c r="BN57">
        <v>575.75</v>
      </c>
      <c r="BO57">
        <v>575.75</v>
      </c>
      <c r="BP57">
        <v>575.75</v>
      </c>
      <c r="BQ57">
        <v>568.05999999999995</v>
      </c>
      <c r="BR57">
        <v>0</v>
      </c>
      <c r="BS57">
        <v>1600</v>
      </c>
    </row>
    <row r="58" spans="1:71" x14ac:dyDescent="0.25">
      <c r="A58" t="s">
        <v>133</v>
      </c>
      <c r="B58">
        <v>3</v>
      </c>
      <c r="C58">
        <v>2021</v>
      </c>
      <c r="D58">
        <v>32.46</v>
      </c>
      <c r="E58">
        <v>32.46</v>
      </c>
      <c r="F58">
        <v>652.12</v>
      </c>
      <c r="G58">
        <v>652.12</v>
      </c>
      <c r="H58">
        <v>714.27</v>
      </c>
      <c r="I58">
        <v>0</v>
      </c>
      <c r="J58">
        <v>0.18</v>
      </c>
      <c r="K58">
        <v>82.8</v>
      </c>
      <c r="L58">
        <v>82.98</v>
      </c>
      <c r="M58">
        <v>0</v>
      </c>
      <c r="N58">
        <v>754.1</v>
      </c>
      <c r="O58">
        <v>76.36</v>
      </c>
      <c r="P58">
        <v>5</v>
      </c>
      <c r="Q58">
        <v>835.46</v>
      </c>
      <c r="R58">
        <v>1632.71</v>
      </c>
      <c r="S58">
        <v>0</v>
      </c>
      <c r="T58">
        <v>0</v>
      </c>
      <c r="U58">
        <v>183.81</v>
      </c>
      <c r="V58">
        <v>37.58</v>
      </c>
      <c r="W58">
        <v>221.39</v>
      </c>
      <c r="X58">
        <v>38.020000000000003</v>
      </c>
      <c r="Y58">
        <v>37.99</v>
      </c>
      <c r="Z58">
        <v>217.96</v>
      </c>
      <c r="AA58">
        <v>515.36</v>
      </c>
      <c r="AB58">
        <v>0</v>
      </c>
      <c r="AC58">
        <v>249.3</v>
      </c>
      <c r="AD58">
        <v>142.35</v>
      </c>
      <c r="AE58">
        <v>660.24</v>
      </c>
      <c r="AF58">
        <v>5.74</v>
      </c>
      <c r="AG58">
        <v>59.72</v>
      </c>
      <c r="AH58">
        <v>1117.3499999999999</v>
      </c>
      <c r="AI58">
        <v>1632.71</v>
      </c>
      <c r="AJ58">
        <v>0</v>
      </c>
      <c r="AK58">
        <v>0</v>
      </c>
      <c r="AL58">
        <v>263.2</v>
      </c>
      <c r="AM58">
        <v>0</v>
      </c>
      <c r="AN58" t="s">
        <v>53</v>
      </c>
      <c r="AO58" t="s">
        <v>53</v>
      </c>
      <c r="AP58">
        <v>0</v>
      </c>
      <c r="AQ58">
        <v>3570.24</v>
      </c>
      <c r="AR58">
        <v>3570.24</v>
      </c>
      <c r="AS58">
        <v>3.9</v>
      </c>
      <c r="AT58">
        <v>3574.14</v>
      </c>
      <c r="AU58">
        <v>39.380000000000003</v>
      </c>
      <c r="AV58">
        <v>3613.52</v>
      </c>
      <c r="AW58">
        <v>0</v>
      </c>
      <c r="AX58">
        <v>1128.3900000000001</v>
      </c>
      <c r="AY58">
        <v>41.13</v>
      </c>
      <c r="AZ58">
        <v>-10.220000000000001</v>
      </c>
      <c r="BA58">
        <v>201.68</v>
      </c>
      <c r="BB58">
        <v>6.11</v>
      </c>
      <c r="BC58">
        <v>7.64</v>
      </c>
      <c r="BD58">
        <v>47.66</v>
      </c>
      <c r="BE58">
        <v>1321.24</v>
      </c>
      <c r="BF58">
        <v>2743.63</v>
      </c>
      <c r="BG58">
        <v>869.89</v>
      </c>
      <c r="BH58">
        <v>869.89</v>
      </c>
      <c r="BI58">
        <v>0</v>
      </c>
      <c r="BJ58">
        <v>228.73</v>
      </c>
      <c r="BK58">
        <v>-8.89</v>
      </c>
      <c r="BL58">
        <v>-1.74</v>
      </c>
      <c r="BM58">
        <v>218.1</v>
      </c>
      <c r="BN58">
        <v>651.79</v>
      </c>
      <c r="BO58">
        <v>651.79</v>
      </c>
      <c r="BP58">
        <v>651.79</v>
      </c>
      <c r="BQ58">
        <v>1103.67</v>
      </c>
      <c r="BR58">
        <v>0</v>
      </c>
      <c r="BS58">
        <v>3150</v>
      </c>
    </row>
    <row r="59" spans="1:71" x14ac:dyDescent="0.25">
      <c r="A59" t="s">
        <v>133</v>
      </c>
      <c r="B59">
        <v>4</v>
      </c>
      <c r="C59">
        <v>2020</v>
      </c>
      <c r="D59">
        <v>32.46</v>
      </c>
      <c r="E59">
        <v>32.46</v>
      </c>
      <c r="F59">
        <v>1102.6600000000001</v>
      </c>
      <c r="G59">
        <v>1102.6600000000001</v>
      </c>
      <c r="H59">
        <v>1157.8599999999999</v>
      </c>
      <c r="I59">
        <v>0</v>
      </c>
      <c r="J59">
        <v>1.47</v>
      </c>
      <c r="K59">
        <v>74.02</v>
      </c>
      <c r="L59">
        <v>75.489999999999995</v>
      </c>
      <c r="M59">
        <v>0</v>
      </c>
      <c r="N59">
        <v>531.33000000000004</v>
      </c>
      <c r="O59">
        <v>58.72</v>
      </c>
      <c r="P59">
        <v>5</v>
      </c>
      <c r="Q59">
        <v>595.04999999999995</v>
      </c>
      <c r="R59">
        <v>1828.4</v>
      </c>
      <c r="S59">
        <v>0</v>
      </c>
      <c r="T59">
        <v>0</v>
      </c>
      <c r="U59">
        <v>206.5</v>
      </c>
      <c r="V59">
        <v>22.15</v>
      </c>
      <c r="W59">
        <v>228.65</v>
      </c>
      <c r="X59">
        <v>29.58</v>
      </c>
      <c r="Y59">
        <v>41.47</v>
      </c>
      <c r="Z59">
        <v>200.31</v>
      </c>
      <c r="AA59">
        <v>500.01</v>
      </c>
      <c r="AB59">
        <v>0</v>
      </c>
      <c r="AC59">
        <v>205.05</v>
      </c>
      <c r="AD59">
        <v>166.34</v>
      </c>
      <c r="AE59">
        <v>902.5</v>
      </c>
      <c r="AF59">
        <v>6.32</v>
      </c>
      <c r="AG59">
        <v>48.18</v>
      </c>
      <c r="AH59">
        <v>1328.39</v>
      </c>
      <c r="AI59">
        <v>1828.4</v>
      </c>
      <c r="AJ59">
        <v>0</v>
      </c>
      <c r="AK59">
        <v>0</v>
      </c>
      <c r="AL59">
        <v>223.04</v>
      </c>
      <c r="AM59">
        <v>0</v>
      </c>
      <c r="AN59" t="s">
        <v>53</v>
      </c>
      <c r="AO59" t="s">
        <v>53</v>
      </c>
      <c r="AP59">
        <v>0</v>
      </c>
      <c r="AQ59">
        <v>2998.54</v>
      </c>
      <c r="AR59">
        <v>2998.54</v>
      </c>
      <c r="AS59">
        <v>3.45</v>
      </c>
      <c r="AT59">
        <v>3001.99</v>
      </c>
      <c r="AU59">
        <v>44.11</v>
      </c>
      <c r="AV59">
        <v>3046.1</v>
      </c>
      <c r="AW59">
        <v>0</v>
      </c>
      <c r="AX59">
        <v>1066.21</v>
      </c>
      <c r="AY59">
        <v>52.4</v>
      </c>
      <c r="AZ59">
        <v>-7.82</v>
      </c>
      <c r="BA59">
        <v>173.29</v>
      </c>
      <c r="BB59">
        <v>6.07</v>
      </c>
      <c r="BC59">
        <v>13.88</v>
      </c>
      <c r="BD59">
        <v>47.88</v>
      </c>
      <c r="BE59">
        <v>1100.32</v>
      </c>
      <c r="BF59">
        <v>2452.23</v>
      </c>
      <c r="BG59">
        <v>593.87</v>
      </c>
      <c r="BH59">
        <v>593.87</v>
      </c>
      <c r="BI59">
        <v>0</v>
      </c>
      <c r="BJ59">
        <v>156.69999999999999</v>
      </c>
      <c r="BK59">
        <v>7.75</v>
      </c>
      <c r="BL59">
        <v>-3.66</v>
      </c>
      <c r="BM59">
        <v>160.79</v>
      </c>
      <c r="BN59">
        <v>433.08</v>
      </c>
      <c r="BO59">
        <v>433.08</v>
      </c>
      <c r="BP59">
        <v>433.08</v>
      </c>
      <c r="BQ59">
        <v>155.81</v>
      </c>
      <c r="BR59">
        <v>32.03</v>
      </c>
      <c r="BS59">
        <v>1050</v>
      </c>
    </row>
    <row r="60" spans="1:71" x14ac:dyDescent="0.25">
      <c r="A60" t="s">
        <v>133</v>
      </c>
      <c r="B60">
        <v>5</v>
      </c>
      <c r="C60">
        <v>2019</v>
      </c>
      <c r="D60">
        <v>32.46</v>
      </c>
      <c r="E60">
        <v>32.46</v>
      </c>
      <c r="F60">
        <v>859.11</v>
      </c>
      <c r="G60">
        <v>859.11</v>
      </c>
      <c r="H60">
        <v>909.06</v>
      </c>
      <c r="I60">
        <v>0</v>
      </c>
      <c r="J60">
        <v>0</v>
      </c>
      <c r="K60">
        <v>65.5</v>
      </c>
      <c r="L60">
        <v>65.5</v>
      </c>
      <c r="M60">
        <v>0</v>
      </c>
      <c r="N60">
        <v>547.66999999999996</v>
      </c>
      <c r="O60">
        <v>104.32</v>
      </c>
      <c r="P60">
        <v>5.36</v>
      </c>
      <c r="Q60">
        <v>657.35</v>
      </c>
      <c r="R60">
        <v>1631.91</v>
      </c>
      <c r="S60">
        <v>0</v>
      </c>
      <c r="T60">
        <v>0</v>
      </c>
      <c r="U60">
        <v>234.22</v>
      </c>
      <c r="V60">
        <v>14.55</v>
      </c>
      <c r="W60">
        <v>248.77</v>
      </c>
      <c r="X60">
        <v>36.76</v>
      </c>
      <c r="Y60">
        <v>39.130000000000003</v>
      </c>
      <c r="Z60">
        <v>216.65</v>
      </c>
      <c r="AA60">
        <v>541.30999999999995</v>
      </c>
      <c r="AB60">
        <v>0</v>
      </c>
      <c r="AC60">
        <v>203.42</v>
      </c>
      <c r="AD60">
        <v>180.66</v>
      </c>
      <c r="AE60">
        <v>540.45000000000005</v>
      </c>
      <c r="AF60">
        <v>101.27</v>
      </c>
      <c r="AG60">
        <v>64.8</v>
      </c>
      <c r="AH60">
        <v>1090.5999999999999</v>
      </c>
      <c r="AI60">
        <v>1631.91</v>
      </c>
      <c r="AJ60">
        <v>0</v>
      </c>
      <c r="AK60">
        <v>0</v>
      </c>
      <c r="AL60">
        <v>218.33</v>
      </c>
      <c r="AM60">
        <v>0</v>
      </c>
      <c r="AN60" t="s">
        <v>53</v>
      </c>
      <c r="AO60" t="s">
        <v>53</v>
      </c>
      <c r="AP60">
        <v>0</v>
      </c>
      <c r="AQ60">
        <v>2942.48</v>
      </c>
      <c r="AR60">
        <v>2942.48</v>
      </c>
      <c r="AS60">
        <v>4.37</v>
      </c>
      <c r="AT60">
        <v>2946.85</v>
      </c>
      <c r="AU60">
        <v>53.34</v>
      </c>
      <c r="AV60">
        <v>3000.19</v>
      </c>
      <c r="AW60">
        <v>0</v>
      </c>
      <c r="AX60">
        <v>952.58</v>
      </c>
      <c r="AY60">
        <v>321.95</v>
      </c>
      <c r="AZ60">
        <v>-37.729999999999997</v>
      </c>
      <c r="BA60">
        <v>133.84</v>
      </c>
      <c r="BB60">
        <v>5.48</v>
      </c>
      <c r="BC60">
        <v>0</v>
      </c>
      <c r="BD60">
        <v>49.78</v>
      </c>
      <c r="BE60">
        <v>966.96</v>
      </c>
      <c r="BF60">
        <v>2392.86</v>
      </c>
      <c r="BG60">
        <v>607.33000000000004</v>
      </c>
      <c r="BH60">
        <v>607.33000000000004</v>
      </c>
      <c r="BI60">
        <v>0</v>
      </c>
      <c r="BJ60">
        <v>221.85</v>
      </c>
      <c r="BK60">
        <v>-10.19</v>
      </c>
      <c r="BL60">
        <v>-23.46</v>
      </c>
      <c r="BM60">
        <v>188.2</v>
      </c>
      <c r="BN60">
        <v>419.13</v>
      </c>
      <c r="BO60">
        <v>419.13</v>
      </c>
      <c r="BP60">
        <v>419.13</v>
      </c>
      <c r="BQ60">
        <v>259.68</v>
      </c>
      <c r="BR60">
        <v>53.4</v>
      </c>
      <c r="BS60">
        <v>880</v>
      </c>
    </row>
    <row r="61" spans="1:71" x14ac:dyDescent="0.25">
      <c r="A61" t="s">
        <v>133</v>
      </c>
      <c r="B61">
        <v>6</v>
      </c>
      <c r="C61">
        <v>2018</v>
      </c>
      <c r="D61">
        <v>32.46</v>
      </c>
      <c r="E61">
        <v>32.46</v>
      </c>
      <c r="F61">
        <v>773.04</v>
      </c>
      <c r="G61">
        <v>773.04</v>
      </c>
      <c r="H61">
        <v>805.5</v>
      </c>
      <c r="I61">
        <v>0</v>
      </c>
      <c r="J61">
        <v>0</v>
      </c>
      <c r="K61">
        <v>48.73</v>
      </c>
      <c r="L61">
        <v>48.73</v>
      </c>
      <c r="M61">
        <v>0</v>
      </c>
      <c r="N61">
        <v>406.22</v>
      </c>
      <c r="O61">
        <v>160.63</v>
      </c>
      <c r="P61">
        <v>4.2699999999999996</v>
      </c>
      <c r="Q61">
        <v>571.12</v>
      </c>
      <c r="R61">
        <v>1425.35</v>
      </c>
      <c r="S61">
        <v>0</v>
      </c>
      <c r="T61">
        <v>0</v>
      </c>
      <c r="U61">
        <v>250.11</v>
      </c>
      <c r="V61">
        <v>21.48</v>
      </c>
      <c r="W61">
        <v>271.58999999999997</v>
      </c>
      <c r="X61">
        <v>22.98</v>
      </c>
      <c r="Y61">
        <v>42.01</v>
      </c>
      <c r="Z61">
        <v>207.27</v>
      </c>
      <c r="AA61">
        <v>543.85</v>
      </c>
      <c r="AB61">
        <v>0</v>
      </c>
      <c r="AC61">
        <v>123.61</v>
      </c>
      <c r="AD61">
        <v>148.47</v>
      </c>
      <c r="AE61">
        <v>399.59</v>
      </c>
      <c r="AF61">
        <v>99.4</v>
      </c>
      <c r="AG61">
        <v>110.43</v>
      </c>
      <c r="AH61">
        <v>881.5</v>
      </c>
      <c r="AI61">
        <v>1425.35</v>
      </c>
      <c r="AJ61">
        <v>0</v>
      </c>
      <c r="AK61">
        <v>0</v>
      </c>
      <c r="AL61">
        <v>166.12</v>
      </c>
      <c r="AM61">
        <v>0</v>
      </c>
      <c r="AN61" t="s">
        <v>53</v>
      </c>
      <c r="AO61" t="s">
        <v>53</v>
      </c>
      <c r="AP61">
        <v>0</v>
      </c>
      <c r="AQ61">
        <v>2455.2199999999998</v>
      </c>
      <c r="AR61">
        <v>2455.2199999999998</v>
      </c>
      <c r="AS61">
        <v>7.0000000000000007E-2</v>
      </c>
      <c r="AT61">
        <v>2455.29</v>
      </c>
      <c r="AU61">
        <v>24.07</v>
      </c>
      <c r="AV61">
        <v>2479.36</v>
      </c>
      <c r="AW61">
        <v>0</v>
      </c>
      <c r="AX61">
        <v>544.83000000000004</v>
      </c>
      <c r="AY61">
        <v>342.22</v>
      </c>
      <c r="AZ61">
        <v>61.64</v>
      </c>
      <c r="BA61">
        <v>115.23</v>
      </c>
      <c r="BB61">
        <v>5.32</v>
      </c>
      <c r="BC61">
        <v>0</v>
      </c>
      <c r="BD61">
        <v>64.959999999999994</v>
      </c>
      <c r="BE61">
        <v>763.39</v>
      </c>
      <c r="BF61">
        <v>1897.59</v>
      </c>
      <c r="BG61">
        <v>581.77</v>
      </c>
      <c r="BH61">
        <v>581.77</v>
      </c>
      <c r="BI61">
        <v>0</v>
      </c>
      <c r="BJ61">
        <v>206.46</v>
      </c>
      <c r="BK61">
        <v>6.85</v>
      </c>
      <c r="BL61">
        <v>-6.13</v>
      </c>
      <c r="BM61">
        <v>207.18</v>
      </c>
      <c r="BN61">
        <v>374.59</v>
      </c>
      <c r="BO61">
        <v>374.59</v>
      </c>
      <c r="BP61">
        <v>374.59</v>
      </c>
      <c r="BQ61">
        <v>87.64</v>
      </c>
      <c r="BR61">
        <v>17.84</v>
      </c>
      <c r="BS61">
        <v>400</v>
      </c>
    </row>
    <row r="62" spans="1:71" x14ac:dyDescent="0.25">
      <c r="A62" t="s">
        <v>135</v>
      </c>
      <c r="B62">
        <v>2</v>
      </c>
      <c r="C62">
        <v>2022</v>
      </c>
      <c r="D62">
        <v>27.2</v>
      </c>
      <c r="E62">
        <v>27.2</v>
      </c>
      <c r="F62">
        <v>1707.48</v>
      </c>
      <c r="G62">
        <v>1707.48</v>
      </c>
      <c r="H62">
        <v>1734.68</v>
      </c>
      <c r="I62">
        <v>0</v>
      </c>
      <c r="J62">
        <v>70.7</v>
      </c>
      <c r="K62">
        <v>13.98</v>
      </c>
      <c r="L62">
        <v>84.68</v>
      </c>
      <c r="M62">
        <v>0</v>
      </c>
      <c r="N62">
        <v>771.39</v>
      </c>
      <c r="O62">
        <v>227.06</v>
      </c>
      <c r="P62">
        <v>84.02</v>
      </c>
      <c r="Q62">
        <v>1082.47</v>
      </c>
      <c r="R62">
        <v>2901.83</v>
      </c>
      <c r="S62">
        <v>0</v>
      </c>
      <c r="T62">
        <v>0</v>
      </c>
      <c r="U62">
        <v>962.97</v>
      </c>
      <c r="V62">
        <v>121.84</v>
      </c>
      <c r="W62">
        <v>1084.82</v>
      </c>
      <c r="X62">
        <v>17.3</v>
      </c>
      <c r="Y62">
        <v>1.34</v>
      </c>
      <c r="Z62">
        <v>315.52</v>
      </c>
      <c r="AA62">
        <v>1418.97</v>
      </c>
      <c r="AB62">
        <v>0</v>
      </c>
      <c r="AC62">
        <v>357.19</v>
      </c>
      <c r="AD62">
        <v>224.68</v>
      </c>
      <c r="AE62">
        <v>754.71</v>
      </c>
      <c r="AF62">
        <v>107.32</v>
      </c>
      <c r="AG62">
        <v>38.96</v>
      </c>
      <c r="AH62">
        <v>1482.86</v>
      </c>
      <c r="AI62">
        <v>2901.83</v>
      </c>
      <c r="AJ62">
        <v>0</v>
      </c>
      <c r="AK62">
        <v>0</v>
      </c>
      <c r="AL62">
        <v>1235.55</v>
      </c>
      <c r="AM62">
        <v>0</v>
      </c>
      <c r="AN62" t="s">
        <v>53</v>
      </c>
      <c r="AO62" t="s">
        <v>53</v>
      </c>
      <c r="AP62" t="s">
        <v>3</v>
      </c>
      <c r="AQ62">
        <v>5066.46</v>
      </c>
      <c r="AR62">
        <v>5066.46</v>
      </c>
      <c r="AS62">
        <v>33.33</v>
      </c>
      <c r="AT62">
        <v>5099.78</v>
      </c>
      <c r="AU62">
        <v>26.26</v>
      </c>
      <c r="AV62">
        <v>5126.04</v>
      </c>
      <c r="AW62">
        <v>0</v>
      </c>
      <c r="AX62">
        <v>1368.01</v>
      </c>
      <c r="AY62">
        <v>296.08</v>
      </c>
      <c r="AZ62">
        <v>3.43</v>
      </c>
      <c r="BA62">
        <v>385.13</v>
      </c>
      <c r="BB62">
        <v>5.89</v>
      </c>
      <c r="BC62" t="e">
        <v>#N/A</v>
      </c>
      <c r="BD62">
        <v>177.3</v>
      </c>
      <c r="BE62">
        <v>1481.19</v>
      </c>
      <c r="BF62">
        <v>3717.03</v>
      </c>
      <c r="BG62">
        <v>1409.01</v>
      </c>
      <c r="BH62">
        <v>1409.01</v>
      </c>
      <c r="BI62">
        <v>0</v>
      </c>
      <c r="BJ62">
        <v>344.79</v>
      </c>
      <c r="BK62">
        <v>-14.1</v>
      </c>
      <c r="BL62" t="e">
        <v>#N/A</v>
      </c>
      <c r="BM62">
        <v>330.69</v>
      </c>
      <c r="BN62">
        <v>1078.32</v>
      </c>
      <c r="BO62">
        <v>1078.32</v>
      </c>
      <c r="BP62">
        <v>1078.32</v>
      </c>
      <c r="BQ62">
        <v>516.77</v>
      </c>
      <c r="BR62">
        <v>0</v>
      </c>
      <c r="BS62">
        <v>4000</v>
      </c>
    </row>
    <row r="63" spans="1:71" x14ac:dyDescent="0.25">
      <c r="A63" t="s">
        <v>135</v>
      </c>
      <c r="B63">
        <v>3</v>
      </c>
      <c r="C63">
        <v>2021</v>
      </c>
      <c r="D63">
        <v>27.2</v>
      </c>
      <c r="E63">
        <v>27.2</v>
      </c>
      <c r="F63">
        <v>1139.04</v>
      </c>
      <c r="G63">
        <v>1139.04</v>
      </c>
      <c r="H63">
        <v>1165.8599999999999</v>
      </c>
      <c r="I63">
        <v>0</v>
      </c>
      <c r="J63">
        <v>79.069999999999993</v>
      </c>
      <c r="K63">
        <v>31.13</v>
      </c>
      <c r="L63">
        <v>110.2</v>
      </c>
      <c r="M63">
        <v>0</v>
      </c>
      <c r="N63">
        <v>760.44</v>
      </c>
      <c r="O63">
        <v>776.46</v>
      </c>
      <c r="P63">
        <v>81.05</v>
      </c>
      <c r="Q63">
        <v>1617.95</v>
      </c>
      <c r="R63">
        <v>2894.01</v>
      </c>
      <c r="S63">
        <v>0</v>
      </c>
      <c r="T63">
        <v>0</v>
      </c>
      <c r="U63">
        <v>1064.72</v>
      </c>
      <c r="V63">
        <v>144.85</v>
      </c>
      <c r="W63">
        <v>1209.57</v>
      </c>
      <c r="X63">
        <v>4.7699999999999996</v>
      </c>
      <c r="Y63">
        <v>1.4</v>
      </c>
      <c r="Z63">
        <v>287.08</v>
      </c>
      <c r="AA63">
        <v>1521.43</v>
      </c>
      <c r="AB63">
        <v>0</v>
      </c>
      <c r="AC63">
        <v>335.82</v>
      </c>
      <c r="AD63">
        <v>117.08</v>
      </c>
      <c r="AE63">
        <v>867.64</v>
      </c>
      <c r="AF63">
        <v>6.93</v>
      </c>
      <c r="AG63">
        <v>45.12</v>
      </c>
      <c r="AH63">
        <v>1372.58</v>
      </c>
      <c r="AI63">
        <v>2894.01</v>
      </c>
      <c r="AJ63">
        <v>0</v>
      </c>
      <c r="AK63">
        <v>0</v>
      </c>
      <c r="AL63">
        <v>910.05</v>
      </c>
      <c r="AM63">
        <v>0</v>
      </c>
      <c r="AN63" t="s">
        <v>53</v>
      </c>
      <c r="AO63" t="s">
        <v>53</v>
      </c>
      <c r="AP63">
        <v>0</v>
      </c>
      <c r="AQ63">
        <v>4810.4799999999996</v>
      </c>
      <c r="AR63">
        <v>4810.4799999999996</v>
      </c>
      <c r="AS63">
        <v>30.74</v>
      </c>
      <c r="AT63">
        <v>4841.22</v>
      </c>
      <c r="AU63">
        <v>30.35</v>
      </c>
      <c r="AV63">
        <v>4871.57</v>
      </c>
      <c r="AW63">
        <v>0</v>
      </c>
      <c r="AX63">
        <v>1249.58</v>
      </c>
      <c r="AY63">
        <v>323.58999999999997</v>
      </c>
      <c r="AZ63">
        <v>-23.8</v>
      </c>
      <c r="BA63">
        <v>365.64</v>
      </c>
      <c r="BB63">
        <v>7.26</v>
      </c>
      <c r="BC63" t="e">
        <v>#N/A</v>
      </c>
      <c r="BD63">
        <v>182.5</v>
      </c>
      <c r="BE63">
        <v>1416.58</v>
      </c>
      <c r="BF63">
        <v>3521.35</v>
      </c>
      <c r="BG63">
        <v>1350.22</v>
      </c>
      <c r="BH63">
        <v>1350.22</v>
      </c>
      <c r="BI63">
        <v>0</v>
      </c>
      <c r="BJ63">
        <v>325.73</v>
      </c>
      <c r="BK63">
        <v>-10.9</v>
      </c>
      <c r="BL63" t="e">
        <v>#N/A</v>
      </c>
      <c r="BM63">
        <v>314.83</v>
      </c>
      <c r="BN63">
        <v>1035.3900000000001</v>
      </c>
      <c r="BO63">
        <v>1035.3900000000001</v>
      </c>
      <c r="BP63">
        <v>1035.3900000000001</v>
      </c>
      <c r="BQ63">
        <v>1468.72</v>
      </c>
      <c r="BR63">
        <v>0</v>
      </c>
      <c r="BS63">
        <v>3800</v>
      </c>
    </row>
    <row r="64" spans="1:71" x14ac:dyDescent="0.25">
      <c r="A64" t="s">
        <v>135</v>
      </c>
      <c r="B64">
        <v>4</v>
      </c>
      <c r="C64">
        <v>2020</v>
      </c>
      <c r="D64">
        <v>27.2</v>
      </c>
      <c r="E64">
        <v>27.2</v>
      </c>
      <c r="F64">
        <v>1567.63</v>
      </c>
      <c r="G64">
        <v>1567.63</v>
      </c>
      <c r="H64">
        <v>1594.16</v>
      </c>
      <c r="I64">
        <v>0</v>
      </c>
      <c r="J64">
        <v>85.64</v>
      </c>
      <c r="K64">
        <v>48.83</v>
      </c>
      <c r="L64">
        <v>139.51</v>
      </c>
      <c r="M64">
        <v>0</v>
      </c>
      <c r="N64">
        <v>612.51</v>
      </c>
      <c r="O64">
        <v>197.31</v>
      </c>
      <c r="P64">
        <v>60.48</v>
      </c>
      <c r="Q64">
        <v>870.3</v>
      </c>
      <c r="R64">
        <v>2603.9699999999998</v>
      </c>
      <c r="S64">
        <v>0</v>
      </c>
      <c r="T64">
        <v>0</v>
      </c>
      <c r="U64">
        <v>1122.8599999999999</v>
      </c>
      <c r="V64">
        <v>190.03</v>
      </c>
      <c r="W64">
        <v>1312.89</v>
      </c>
      <c r="X64">
        <v>0</v>
      </c>
      <c r="Y64">
        <v>2.04</v>
      </c>
      <c r="Z64">
        <v>258.39</v>
      </c>
      <c r="AA64">
        <v>1591.94</v>
      </c>
      <c r="AB64">
        <v>0</v>
      </c>
      <c r="AC64">
        <v>296.92</v>
      </c>
      <c r="AD64">
        <v>132.56</v>
      </c>
      <c r="AE64">
        <v>421.27</v>
      </c>
      <c r="AF64">
        <v>113.48</v>
      </c>
      <c r="AG64">
        <v>47.8</v>
      </c>
      <c r="AH64">
        <v>1012.03</v>
      </c>
      <c r="AI64">
        <v>2603.9699999999998</v>
      </c>
      <c r="AJ64">
        <v>0</v>
      </c>
      <c r="AK64">
        <v>0</v>
      </c>
      <c r="AL64">
        <v>827.45</v>
      </c>
      <c r="AM64">
        <v>0</v>
      </c>
      <c r="AN64" t="s">
        <v>53</v>
      </c>
      <c r="AO64" t="s">
        <v>53</v>
      </c>
      <c r="AP64">
        <v>0</v>
      </c>
      <c r="AQ64">
        <v>4487.57</v>
      </c>
      <c r="AR64">
        <v>4487.57</v>
      </c>
      <c r="AS64">
        <v>37.520000000000003</v>
      </c>
      <c r="AT64">
        <v>4525.08</v>
      </c>
      <c r="AU64">
        <v>49.24</v>
      </c>
      <c r="AV64">
        <v>4574.33</v>
      </c>
      <c r="AW64">
        <v>0</v>
      </c>
      <c r="AX64">
        <v>1350.33</v>
      </c>
      <c r="AY64">
        <v>244.11</v>
      </c>
      <c r="AZ64">
        <v>-21.56</v>
      </c>
      <c r="BA64">
        <v>332.28</v>
      </c>
      <c r="BB64">
        <v>9.6199999999999992</v>
      </c>
      <c r="BC64" t="e">
        <v>#N/A</v>
      </c>
      <c r="BD64">
        <v>197.94</v>
      </c>
      <c r="BE64">
        <v>1418.25</v>
      </c>
      <c r="BF64">
        <v>3530.97</v>
      </c>
      <c r="BG64">
        <v>1043.3599999999999</v>
      </c>
      <c r="BH64">
        <v>1043.3599999999999</v>
      </c>
      <c r="BI64">
        <v>0</v>
      </c>
      <c r="BJ64">
        <v>247.5</v>
      </c>
      <c r="BK64">
        <v>-20.61</v>
      </c>
      <c r="BL64" t="e">
        <v>#N/A</v>
      </c>
      <c r="BM64">
        <v>226.89</v>
      </c>
      <c r="BN64">
        <v>816.47</v>
      </c>
      <c r="BO64">
        <v>816.47</v>
      </c>
      <c r="BP64">
        <v>816.47</v>
      </c>
      <c r="BQ64">
        <v>543.97</v>
      </c>
      <c r="BR64">
        <v>111.81</v>
      </c>
      <c r="BS64">
        <v>2800</v>
      </c>
    </row>
    <row r="65" spans="1:71" x14ac:dyDescent="0.25">
      <c r="A65" t="s">
        <v>135</v>
      </c>
      <c r="B65">
        <v>5</v>
      </c>
      <c r="C65">
        <v>2019</v>
      </c>
      <c r="D65">
        <v>27.2</v>
      </c>
      <c r="E65">
        <v>27.2</v>
      </c>
      <c r="F65">
        <v>1419.55</v>
      </c>
      <c r="G65">
        <v>1419.55</v>
      </c>
      <c r="H65">
        <v>1446.75</v>
      </c>
      <c r="I65">
        <v>0</v>
      </c>
      <c r="J65">
        <v>1.68</v>
      </c>
      <c r="K65">
        <v>18.37</v>
      </c>
      <c r="L65">
        <v>128.63</v>
      </c>
      <c r="M65">
        <v>0</v>
      </c>
      <c r="N65">
        <v>613.17999999999995</v>
      </c>
      <c r="O65">
        <v>374.04</v>
      </c>
      <c r="P65">
        <v>63.88</v>
      </c>
      <c r="Q65">
        <v>1051.0999999999999</v>
      </c>
      <c r="R65">
        <v>2626.48</v>
      </c>
      <c r="S65">
        <v>0</v>
      </c>
      <c r="T65">
        <v>0</v>
      </c>
      <c r="U65">
        <v>1190.8499999999999</v>
      </c>
      <c r="V65">
        <v>198.7</v>
      </c>
      <c r="W65">
        <v>1389.55</v>
      </c>
      <c r="X65">
        <v>0</v>
      </c>
      <c r="Y65">
        <v>2.7</v>
      </c>
      <c r="Z65">
        <v>192.92</v>
      </c>
      <c r="AA65">
        <v>1616.32</v>
      </c>
      <c r="AB65">
        <v>0</v>
      </c>
      <c r="AC65">
        <v>248.57</v>
      </c>
      <c r="AD65">
        <v>209.79</v>
      </c>
      <c r="AE65">
        <v>399.35</v>
      </c>
      <c r="AF65">
        <v>114.96</v>
      </c>
      <c r="AG65">
        <v>37.479999999999997</v>
      </c>
      <c r="AH65">
        <v>1010.16</v>
      </c>
      <c r="AI65">
        <v>2626.48</v>
      </c>
      <c r="AJ65">
        <v>0</v>
      </c>
      <c r="AK65">
        <v>0</v>
      </c>
      <c r="AL65">
        <v>607.89</v>
      </c>
      <c r="AM65">
        <v>0</v>
      </c>
      <c r="AN65" t="s">
        <v>53</v>
      </c>
      <c r="AO65" t="s">
        <v>53</v>
      </c>
      <c r="AP65">
        <v>0</v>
      </c>
      <c r="AQ65">
        <v>4432.4399999999996</v>
      </c>
      <c r="AR65">
        <v>4432.4399999999996</v>
      </c>
      <c r="AS65">
        <v>29.99</v>
      </c>
      <c r="AT65">
        <v>4462.43</v>
      </c>
      <c r="AU65">
        <v>37.659999999999997</v>
      </c>
      <c r="AV65">
        <v>4500.09</v>
      </c>
      <c r="AW65">
        <v>0</v>
      </c>
      <c r="AX65">
        <v>1328.47</v>
      </c>
      <c r="AY65">
        <v>254.58</v>
      </c>
      <c r="AZ65">
        <v>-24.48</v>
      </c>
      <c r="BA65">
        <v>295.89999999999998</v>
      </c>
      <c r="BB65">
        <v>2.5</v>
      </c>
      <c r="BC65" t="e">
        <v>#N/A</v>
      </c>
      <c r="BD65">
        <v>159.16999999999999</v>
      </c>
      <c r="BE65">
        <v>1371.89</v>
      </c>
      <c r="BF65">
        <v>3388.04</v>
      </c>
      <c r="BG65">
        <v>1112.05</v>
      </c>
      <c r="BH65">
        <v>1142.56</v>
      </c>
      <c r="BI65">
        <v>0</v>
      </c>
      <c r="BJ65">
        <v>371.69</v>
      </c>
      <c r="BK65">
        <v>-4.7</v>
      </c>
      <c r="BL65" t="e">
        <v>#N/A</v>
      </c>
      <c r="BM65">
        <v>366.99</v>
      </c>
      <c r="BN65">
        <v>775.57</v>
      </c>
      <c r="BO65">
        <v>775.57</v>
      </c>
      <c r="BP65">
        <v>775.57</v>
      </c>
      <c r="BQ65">
        <v>707.16</v>
      </c>
      <c r="BR65">
        <v>145.36000000000001</v>
      </c>
      <c r="BS65">
        <v>2300</v>
      </c>
    </row>
    <row r="66" spans="1:71" x14ac:dyDescent="0.25">
      <c r="A66" t="s">
        <v>135</v>
      </c>
      <c r="B66">
        <v>6</v>
      </c>
      <c r="C66">
        <v>2018</v>
      </c>
      <c r="D66">
        <v>27.2</v>
      </c>
      <c r="E66">
        <v>27.2</v>
      </c>
      <c r="F66">
        <v>1497.41</v>
      </c>
      <c r="G66">
        <v>1497.41</v>
      </c>
      <c r="H66">
        <v>1524.61</v>
      </c>
      <c r="I66">
        <v>0</v>
      </c>
      <c r="J66">
        <v>1.84</v>
      </c>
      <c r="K66">
        <v>19.100000000000001</v>
      </c>
      <c r="L66">
        <v>56.46</v>
      </c>
      <c r="M66">
        <v>0</v>
      </c>
      <c r="N66">
        <v>614.47</v>
      </c>
      <c r="O66">
        <v>307.97000000000003</v>
      </c>
      <c r="P66">
        <v>60.35</v>
      </c>
      <c r="Q66">
        <v>982.79</v>
      </c>
      <c r="R66">
        <v>2563.86</v>
      </c>
      <c r="S66">
        <v>0</v>
      </c>
      <c r="T66">
        <v>0</v>
      </c>
      <c r="U66">
        <v>1145.9100000000001</v>
      </c>
      <c r="V66">
        <v>158.58000000000001</v>
      </c>
      <c r="W66">
        <v>1304.49</v>
      </c>
      <c r="X66">
        <v>0</v>
      </c>
      <c r="Y66">
        <v>3.06</v>
      </c>
      <c r="Z66">
        <v>164.43</v>
      </c>
      <c r="AA66">
        <v>1503.14</v>
      </c>
      <c r="AB66">
        <v>0</v>
      </c>
      <c r="AC66">
        <v>226.71</v>
      </c>
      <c r="AD66">
        <v>201.03</v>
      </c>
      <c r="AE66">
        <v>456.16</v>
      </c>
      <c r="AF66">
        <v>90.58</v>
      </c>
      <c r="AG66">
        <v>86.24</v>
      </c>
      <c r="AH66">
        <v>1060.72</v>
      </c>
      <c r="AI66">
        <v>2563.86</v>
      </c>
      <c r="AJ66">
        <v>0</v>
      </c>
      <c r="AK66">
        <v>0</v>
      </c>
      <c r="AL66">
        <v>480.55</v>
      </c>
      <c r="AM66">
        <v>0</v>
      </c>
      <c r="AN66" t="s">
        <v>53</v>
      </c>
      <c r="AO66" t="s">
        <v>53</v>
      </c>
      <c r="AP66">
        <v>0</v>
      </c>
      <c r="AQ66">
        <v>4299.8900000000003</v>
      </c>
      <c r="AR66">
        <v>4159.45</v>
      </c>
      <c r="AS66">
        <v>28.53</v>
      </c>
      <c r="AT66">
        <v>4187.9799999999996</v>
      </c>
      <c r="AU66">
        <v>38.82</v>
      </c>
      <c r="AV66">
        <v>4226.8</v>
      </c>
      <c r="AW66">
        <v>0</v>
      </c>
      <c r="AX66">
        <v>1188.97</v>
      </c>
      <c r="AY66">
        <v>284.43</v>
      </c>
      <c r="AZ66">
        <v>16.68</v>
      </c>
      <c r="BA66">
        <v>305.93</v>
      </c>
      <c r="BB66">
        <v>0</v>
      </c>
      <c r="BC66" t="e">
        <v>#N/A</v>
      </c>
      <c r="BD66">
        <v>156.51</v>
      </c>
      <c r="BE66">
        <v>1279.5899999999999</v>
      </c>
      <c r="BF66">
        <v>3232.12</v>
      </c>
      <c r="BG66">
        <v>994.68</v>
      </c>
      <c r="BH66">
        <v>983.03</v>
      </c>
      <c r="BI66">
        <v>0</v>
      </c>
      <c r="BJ66">
        <v>302.19</v>
      </c>
      <c r="BK66">
        <v>7.47</v>
      </c>
      <c r="BL66" t="e">
        <v>#N/A</v>
      </c>
      <c r="BM66">
        <v>309.66000000000003</v>
      </c>
      <c r="BN66">
        <v>673.37</v>
      </c>
      <c r="BO66">
        <v>673.37</v>
      </c>
      <c r="BP66">
        <v>673.37</v>
      </c>
      <c r="BQ66">
        <v>353.58</v>
      </c>
      <c r="BR66">
        <v>71.98</v>
      </c>
      <c r="BS66">
        <v>2400</v>
      </c>
    </row>
    <row r="67" spans="1:71" x14ac:dyDescent="0.25">
      <c r="A67" t="s">
        <v>136</v>
      </c>
      <c r="B67">
        <v>2</v>
      </c>
      <c r="C67">
        <v>2022</v>
      </c>
      <c r="D67">
        <v>32.590000000000003</v>
      </c>
      <c r="E67">
        <v>32.590000000000003</v>
      </c>
      <c r="F67">
        <v>815.69</v>
      </c>
      <c r="G67">
        <v>815.69</v>
      </c>
      <c r="H67">
        <v>861.2</v>
      </c>
      <c r="I67">
        <v>0</v>
      </c>
      <c r="J67">
        <v>7.0000000000000007E-2</v>
      </c>
      <c r="K67">
        <v>83.27</v>
      </c>
      <c r="L67">
        <v>83.34</v>
      </c>
      <c r="M67">
        <v>0</v>
      </c>
      <c r="N67">
        <v>544.63</v>
      </c>
      <c r="O67">
        <v>80.55</v>
      </c>
      <c r="P67">
        <v>38.58</v>
      </c>
      <c r="Q67">
        <v>663.76</v>
      </c>
      <c r="R67">
        <v>1608.3</v>
      </c>
      <c r="S67">
        <v>0</v>
      </c>
      <c r="T67">
        <v>0</v>
      </c>
      <c r="U67">
        <v>363.04</v>
      </c>
      <c r="V67">
        <v>64.95</v>
      </c>
      <c r="W67">
        <v>427.99</v>
      </c>
      <c r="X67">
        <v>33.06</v>
      </c>
      <c r="Y67">
        <v>19.04</v>
      </c>
      <c r="Z67">
        <v>175.91</v>
      </c>
      <c r="AA67">
        <v>656</v>
      </c>
      <c r="AB67">
        <v>0</v>
      </c>
      <c r="AC67">
        <v>373.44</v>
      </c>
      <c r="AD67">
        <v>256.38</v>
      </c>
      <c r="AE67">
        <v>291.07</v>
      </c>
      <c r="AF67">
        <v>3.44</v>
      </c>
      <c r="AG67">
        <v>27.97</v>
      </c>
      <c r="AH67">
        <v>952.3</v>
      </c>
      <c r="AI67">
        <v>1608.3</v>
      </c>
      <c r="AJ67">
        <v>0</v>
      </c>
      <c r="AK67">
        <v>0</v>
      </c>
      <c r="AL67">
        <v>1138.24</v>
      </c>
      <c r="AM67">
        <v>0</v>
      </c>
      <c r="AN67" t="s">
        <v>53</v>
      </c>
      <c r="AO67" t="s">
        <v>53</v>
      </c>
      <c r="AP67" t="s">
        <v>3</v>
      </c>
      <c r="AQ67">
        <v>2256.16</v>
      </c>
      <c r="AR67">
        <v>2256.16</v>
      </c>
      <c r="AS67">
        <v>0</v>
      </c>
      <c r="AT67">
        <v>2256.16</v>
      </c>
      <c r="AU67">
        <v>7.74</v>
      </c>
      <c r="AV67">
        <v>2263.9</v>
      </c>
      <c r="AW67">
        <v>0</v>
      </c>
      <c r="AX67">
        <v>591.41</v>
      </c>
      <c r="AY67">
        <v>439.51</v>
      </c>
      <c r="AZ67">
        <v>18.54</v>
      </c>
      <c r="BA67">
        <v>150.11000000000001</v>
      </c>
      <c r="BB67">
        <v>10.53</v>
      </c>
      <c r="BC67" t="e">
        <v>#N/A</v>
      </c>
      <c r="BD67">
        <v>68.36</v>
      </c>
      <c r="BE67">
        <v>574.11</v>
      </c>
      <c r="BF67">
        <v>1852.57</v>
      </c>
      <c r="BG67">
        <v>411.33</v>
      </c>
      <c r="BH67">
        <v>411.33</v>
      </c>
      <c r="BI67">
        <v>0</v>
      </c>
      <c r="BJ67">
        <v>118.47</v>
      </c>
      <c r="BK67">
        <v>-5.53</v>
      </c>
      <c r="BL67">
        <v>9.06</v>
      </c>
      <c r="BM67">
        <v>122</v>
      </c>
      <c r="BN67">
        <v>289.33</v>
      </c>
      <c r="BO67">
        <v>289.33</v>
      </c>
      <c r="BP67">
        <v>289.33</v>
      </c>
      <c r="BQ67">
        <v>224.84</v>
      </c>
      <c r="BR67">
        <v>0</v>
      </c>
      <c r="BS67">
        <v>690</v>
      </c>
    </row>
    <row r="68" spans="1:71" x14ac:dyDescent="0.25">
      <c r="A68" t="s">
        <v>136</v>
      </c>
      <c r="B68">
        <v>3</v>
      </c>
      <c r="C68">
        <v>2021</v>
      </c>
      <c r="D68">
        <v>32.590000000000003</v>
      </c>
      <c r="E68">
        <v>32.590000000000003</v>
      </c>
      <c r="F68">
        <v>747.36</v>
      </c>
      <c r="G68">
        <v>747.36</v>
      </c>
      <c r="H68">
        <v>789.01</v>
      </c>
      <c r="I68">
        <v>0</v>
      </c>
      <c r="J68">
        <v>0.11</v>
      </c>
      <c r="K68">
        <v>79.11</v>
      </c>
      <c r="L68">
        <v>79.22</v>
      </c>
      <c r="M68">
        <v>0</v>
      </c>
      <c r="N68">
        <v>408.39</v>
      </c>
      <c r="O68">
        <v>83.53</v>
      </c>
      <c r="P68">
        <v>35.090000000000003</v>
      </c>
      <c r="Q68">
        <v>527.01</v>
      </c>
      <c r="R68">
        <v>1395.24</v>
      </c>
      <c r="S68">
        <v>0</v>
      </c>
      <c r="T68">
        <v>0</v>
      </c>
      <c r="U68">
        <v>309.77</v>
      </c>
      <c r="V68">
        <v>72.040000000000006</v>
      </c>
      <c r="W68">
        <v>381.81</v>
      </c>
      <c r="X68">
        <v>27.87</v>
      </c>
      <c r="Y68">
        <v>27.56</v>
      </c>
      <c r="Z68">
        <v>188.83</v>
      </c>
      <c r="AA68">
        <v>626.07000000000005</v>
      </c>
      <c r="AB68">
        <v>0</v>
      </c>
      <c r="AC68">
        <v>366.58</v>
      </c>
      <c r="AD68">
        <v>197.94</v>
      </c>
      <c r="AE68">
        <v>166.32</v>
      </c>
      <c r="AF68">
        <v>4.47</v>
      </c>
      <c r="AG68">
        <v>33.86</v>
      </c>
      <c r="AH68">
        <v>769.17</v>
      </c>
      <c r="AI68">
        <v>1395.24</v>
      </c>
      <c r="AJ68">
        <v>0</v>
      </c>
      <c r="AK68">
        <v>0</v>
      </c>
      <c r="AL68">
        <v>945.79</v>
      </c>
      <c r="AM68">
        <v>0</v>
      </c>
      <c r="AN68" t="s">
        <v>53</v>
      </c>
      <c r="AO68" t="s">
        <v>53</v>
      </c>
      <c r="AP68">
        <v>0</v>
      </c>
      <c r="AQ68">
        <v>2009.42</v>
      </c>
      <c r="AR68">
        <v>2009.42</v>
      </c>
      <c r="AS68">
        <v>0</v>
      </c>
      <c r="AT68">
        <v>2009.42</v>
      </c>
      <c r="AU68">
        <v>31.73</v>
      </c>
      <c r="AV68">
        <v>2041.15</v>
      </c>
      <c r="AW68">
        <v>0</v>
      </c>
      <c r="AX68">
        <v>482.67</v>
      </c>
      <c r="AY68">
        <v>416.55</v>
      </c>
      <c r="AZ68">
        <v>-18.489999999999998</v>
      </c>
      <c r="BA68">
        <v>143.22</v>
      </c>
      <c r="BB68">
        <v>5.25</v>
      </c>
      <c r="BC68" t="e">
        <v>#N/A</v>
      </c>
      <c r="BD68">
        <v>57.52</v>
      </c>
      <c r="BE68">
        <v>524.97</v>
      </c>
      <c r="BF68">
        <v>1611.69</v>
      </c>
      <c r="BG68">
        <v>429.46</v>
      </c>
      <c r="BH68">
        <v>429.46</v>
      </c>
      <c r="BI68">
        <v>0</v>
      </c>
      <c r="BJ68">
        <v>107.9</v>
      </c>
      <c r="BK68">
        <v>0.59</v>
      </c>
      <c r="BL68">
        <v>10.59</v>
      </c>
      <c r="BM68">
        <v>119.08</v>
      </c>
      <c r="BN68">
        <v>310.38</v>
      </c>
      <c r="BO68">
        <v>310.38</v>
      </c>
      <c r="BP68">
        <v>310.38</v>
      </c>
      <c r="BQ68">
        <v>430.12</v>
      </c>
      <c r="BR68">
        <v>0</v>
      </c>
      <c r="BS68">
        <v>1190</v>
      </c>
    </row>
    <row r="69" spans="1:71" x14ac:dyDescent="0.25">
      <c r="A69" t="s">
        <v>136</v>
      </c>
      <c r="B69">
        <v>4</v>
      </c>
      <c r="C69">
        <v>2020</v>
      </c>
      <c r="D69">
        <v>32.590000000000003</v>
      </c>
      <c r="E69">
        <v>32.590000000000003</v>
      </c>
      <c r="F69">
        <v>871.69</v>
      </c>
      <c r="G69">
        <v>871.69</v>
      </c>
      <c r="H69">
        <v>911.28</v>
      </c>
      <c r="I69">
        <v>0</v>
      </c>
      <c r="J69">
        <v>0.14000000000000001</v>
      </c>
      <c r="K69">
        <v>61.41</v>
      </c>
      <c r="L69">
        <v>61.55</v>
      </c>
      <c r="M69">
        <v>0</v>
      </c>
      <c r="N69">
        <v>287.35000000000002</v>
      </c>
      <c r="O69">
        <v>63.4</v>
      </c>
      <c r="P69">
        <v>28.24</v>
      </c>
      <c r="Q69">
        <v>378.99</v>
      </c>
      <c r="R69">
        <v>1351.82</v>
      </c>
      <c r="S69">
        <v>0</v>
      </c>
      <c r="T69">
        <v>0</v>
      </c>
      <c r="U69">
        <v>296.45999999999998</v>
      </c>
      <c r="V69">
        <v>21.19</v>
      </c>
      <c r="W69">
        <v>317.64999999999998</v>
      </c>
      <c r="X69">
        <v>23.04</v>
      </c>
      <c r="Y69">
        <v>30.73</v>
      </c>
      <c r="Z69">
        <v>215.63</v>
      </c>
      <c r="AA69">
        <v>587.04999999999995</v>
      </c>
      <c r="AB69">
        <v>0</v>
      </c>
      <c r="AC69">
        <v>284.27</v>
      </c>
      <c r="AD69">
        <v>190.67</v>
      </c>
      <c r="AE69">
        <v>232.48</v>
      </c>
      <c r="AF69">
        <v>4.09</v>
      </c>
      <c r="AG69">
        <v>53.26</v>
      </c>
      <c r="AH69">
        <v>764.77</v>
      </c>
      <c r="AI69">
        <v>1351.82</v>
      </c>
      <c r="AJ69">
        <v>0</v>
      </c>
      <c r="AK69">
        <v>0</v>
      </c>
      <c r="AL69">
        <v>847.57</v>
      </c>
      <c r="AM69">
        <v>0</v>
      </c>
      <c r="AN69" t="s">
        <v>53</v>
      </c>
      <c r="AO69" t="s">
        <v>53</v>
      </c>
      <c r="AP69">
        <v>0</v>
      </c>
      <c r="AQ69">
        <v>1678.67</v>
      </c>
      <c r="AR69">
        <v>1678.67</v>
      </c>
      <c r="AS69">
        <v>0.39</v>
      </c>
      <c r="AT69">
        <v>1679.06</v>
      </c>
      <c r="AU69">
        <v>11.42</v>
      </c>
      <c r="AV69">
        <v>1690.48</v>
      </c>
      <c r="AW69">
        <v>0</v>
      </c>
      <c r="AX69">
        <v>188.82</v>
      </c>
      <c r="AY69">
        <v>565.28</v>
      </c>
      <c r="AZ69">
        <v>-25.03</v>
      </c>
      <c r="BA69">
        <v>119.18</v>
      </c>
      <c r="BB69">
        <v>5.44</v>
      </c>
      <c r="BC69" t="e">
        <v>#N/A</v>
      </c>
      <c r="BD69">
        <v>51.05</v>
      </c>
      <c r="BE69">
        <v>471.77</v>
      </c>
      <c r="BF69">
        <v>1376.51</v>
      </c>
      <c r="BG69">
        <v>313.97000000000003</v>
      </c>
      <c r="BH69">
        <v>313.97000000000003</v>
      </c>
      <c r="BI69">
        <v>0</v>
      </c>
      <c r="BJ69">
        <v>82.43</v>
      </c>
      <c r="BK69">
        <v>9.5299999999999994</v>
      </c>
      <c r="BL69">
        <v>-8.17</v>
      </c>
      <c r="BM69">
        <v>83.79</v>
      </c>
      <c r="BN69">
        <v>230.18</v>
      </c>
      <c r="BO69">
        <v>230.18</v>
      </c>
      <c r="BP69">
        <v>230.18</v>
      </c>
      <c r="BQ69">
        <v>81.459999999999994</v>
      </c>
      <c r="BR69">
        <v>16.59</v>
      </c>
      <c r="BS69">
        <v>490</v>
      </c>
    </row>
    <row r="70" spans="1:71" x14ac:dyDescent="0.25">
      <c r="A70" t="s">
        <v>136</v>
      </c>
      <c r="B70">
        <v>5</v>
      </c>
      <c r="C70">
        <v>2019</v>
      </c>
      <c r="D70">
        <v>32.590000000000003</v>
      </c>
      <c r="E70">
        <v>32.590000000000003</v>
      </c>
      <c r="F70">
        <v>740.76</v>
      </c>
      <c r="G70">
        <v>740.76</v>
      </c>
      <c r="H70">
        <v>778.36</v>
      </c>
      <c r="I70">
        <v>0</v>
      </c>
      <c r="J70">
        <v>0</v>
      </c>
      <c r="K70">
        <v>79.099999999999994</v>
      </c>
      <c r="L70">
        <v>79.099999999999994</v>
      </c>
      <c r="M70">
        <v>0</v>
      </c>
      <c r="N70">
        <v>281.19</v>
      </c>
      <c r="O70">
        <v>71.09</v>
      </c>
      <c r="P70">
        <v>0.22</v>
      </c>
      <c r="Q70">
        <v>352.5</v>
      </c>
      <c r="R70">
        <v>1209.96</v>
      </c>
      <c r="S70">
        <v>0</v>
      </c>
      <c r="T70">
        <v>0</v>
      </c>
      <c r="U70">
        <v>300.18</v>
      </c>
      <c r="V70">
        <v>24.55</v>
      </c>
      <c r="W70">
        <v>324.73</v>
      </c>
      <c r="X70">
        <v>32.17</v>
      </c>
      <c r="Y70">
        <v>26.19</v>
      </c>
      <c r="Z70">
        <v>229.62</v>
      </c>
      <c r="AA70">
        <v>612.71</v>
      </c>
      <c r="AB70">
        <v>0</v>
      </c>
      <c r="AC70">
        <v>234.01</v>
      </c>
      <c r="AD70">
        <v>181.5</v>
      </c>
      <c r="AE70">
        <v>141.72</v>
      </c>
      <c r="AF70">
        <v>5.53</v>
      </c>
      <c r="AG70">
        <v>34.49</v>
      </c>
      <c r="AH70">
        <v>597.25</v>
      </c>
      <c r="AI70">
        <v>1209.96</v>
      </c>
      <c r="AJ70">
        <v>0</v>
      </c>
      <c r="AK70">
        <v>0</v>
      </c>
      <c r="AL70">
        <v>850.43</v>
      </c>
      <c r="AM70">
        <v>0</v>
      </c>
      <c r="AN70" t="s">
        <v>53</v>
      </c>
      <c r="AO70" t="s">
        <v>53</v>
      </c>
      <c r="AP70">
        <v>0</v>
      </c>
      <c r="AQ70">
        <v>1861.15</v>
      </c>
      <c r="AR70">
        <v>1861.15</v>
      </c>
      <c r="AS70">
        <v>0.5</v>
      </c>
      <c r="AT70">
        <v>1861.65</v>
      </c>
      <c r="AU70">
        <v>13.6</v>
      </c>
      <c r="AV70">
        <v>1875.25</v>
      </c>
      <c r="AW70">
        <v>0</v>
      </c>
      <c r="AX70">
        <v>233.58</v>
      </c>
      <c r="AY70">
        <v>608.47</v>
      </c>
      <c r="AZ70">
        <v>-22.71</v>
      </c>
      <c r="BA70">
        <v>108.3</v>
      </c>
      <c r="BB70">
        <v>7.85</v>
      </c>
      <c r="BC70" t="e">
        <v>#N/A</v>
      </c>
      <c r="BD70">
        <v>47.7</v>
      </c>
      <c r="BE70">
        <v>553.01</v>
      </c>
      <c r="BF70">
        <v>1536.2</v>
      </c>
      <c r="BG70">
        <v>339.05</v>
      </c>
      <c r="BH70">
        <v>339.05</v>
      </c>
      <c r="BI70">
        <v>0</v>
      </c>
      <c r="BJ70">
        <v>135.19999999999999</v>
      </c>
      <c r="BK70">
        <v>-12.99</v>
      </c>
      <c r="BL70">
        <v>-36.08</v>
      </c>
      <c r="BM70">
        <v>86.13</v>
      </c>
      <c r="BN70">
        <v>252.92</v>
      </c>
      <c r="BO70">
        <v>252.92</v>
      </c>
      <c r="BP70">
        <v>252.92</v>
      </c>
      <c r="BQ70">
        <v>136.86000000000001</v>
      </c>
      <c r="BR70">
        <v>27.86</v>
      </c>
      <c r="BS70">
        <v>440</v>
      </c>
    </row>
    <row r="71" spans="1:71" x14ac:dyDescent="0.25">
      <c r="A71" t="s">
        <v>136</v>
      </c>
      <c r="B71">
        <v>6</v>
      </c>
      <c r="C71">
        <v>2018</v>
      </c>
      <c r="D71">
        <v>32.590000000000003</v>
      </c>
      <c r="E71">
        <v>32.590000000000003</v>
      </c>
      <c r="F71">
        <v>661.59</v>
      </c>
      <c r="G71">
        <v>661.59</v>
      </c>
      <c r="H71">
        <v>694.18</v>
      </c>
      <c r="I71">
        <v>0</v>
      </c>
      <c r="J71">
        <v>0</v>
      </c>
      <c r="K71">
        <v>35.47</v>
      </c>
      <c r="L71">
        <v>35.47</v>
      </c>
      <c r="M71">
        <v>0</v>
      </c>
      <c r="N71">
        <v>329.3</v>
      </c>
      <c r="O71">
        <v>149.83000000000001</v>
      </c>
      <c r="P71">
        <v>0.22</v>
      </c>
      <c r="Q71">
        <v>479.35</v>
      </c>
      <c r="R71">
        <v>1209</v>
      </c>
      <c r="S71">
        <v>0</v>
      </c>
      <c r="T71">
        <v>0</v>
      </c>
      <c r="U71">
        <v>264.41000000000003</v>
      </c>
      <c r="V71">
        <v>40.369999999999997</v>
      </c>
      <c r="W71">
        <v>304.77999999999997</v>
      </c>
      <c r="X71">
        <v>16.399999999999999</v>
      </c>
      <c r="Y71">
        <v>21.14</v>
      </c>
      <c r="Z71">
        <v>192.5</v>
      </c>
      <c r="AA71">
        <v>534.82000000000005</v>
      </c>
      <c r="AB71">
        <v>0</v>
      </c>
      <c r="AC71">
        <v>200.15</v>
      </c>
      <c r="AD71">
        <v>176.04</v>
      </c>
      <c r="AE71">
        <v>236.63</v>
      </c>
      <c r="AF71">
        <v>5</v>
      </c>
      <c r="AG71">
        <v>56.36</v>
      </c>
      <c r="AH71">
        <v>674.18</v>
      </c>
      <c r="AI71">
        <v>1209</v>
      </c>
      <c r="AJ71">
        <v>0</v>
      </c>
      <c r="AK71">
        <v>0</v>
      </c>
      <c r="AL71">
        <v>848.38</v>
      </c>
      <c r="AM71">
        <v>0</v>
      </c>
      <c r="AN71" t="s">
        <v>53</v>
      </c>
      <c r="AO71" t="s">
        <v>53</v>
      </c>
      <c r="AP71">
        <v>0</v>
      </c>
      <c r="AQ71">
        <v>1676.67</v>
      </c>
      <c r="AR71">
        <v>1676.67</v>
      </c>
      <c r="AS71">
        <v>0.18</v>
      </c>
      <c r="AT71">
        <v>1676.85</v>
      </c>
      <c r="AU71">
        <v>12.75</v>
      </c>
      <c r="AV71">
        <v>1689.6</v>
      </c>
      <c r="AW71">
        <v>0</v>
      </c>
      <c r="AX71">
        <v>141.32</v>
      </c>
      <c r="AY71">
        <v>530.96</v>
      </c>
      <c r="AZ71">
        <v>20.86</v>
      </c>
      <c r="BA71">
        <v>117.91</v>
      </c>
      <c r="BB71">
        <v>7.46</v>
      </c>
      <c r="BC71" t="e">
        <v>#N/A</v>
      </c>
      <c r="BD71">
        <v>42.29</v>
      </c>
      <c r="BE71">
        <v>484.2</v>
      </c>
      <c r="BF71">
        <v>1345</v>
      </c>
      <c r="BG71">
        <v>344.6</v>
      </c>
      <c r="BH71">
        <v>344.6</v>
      </c>
      <c r="BI71">
        <v>0</v>
      </c>
      <c r="BJ71">
        <v>114.47</v>
      </c>
      <c r="BK71">
        <v>1.08</v>
      </c>
      <c r="BL71">
        <v>0</v>
      </c>
      <c r="BM71">
        <v>115.55</v>
      </c>
      <c r="BN71">
        <v>229.05</v>
      </c>
      <c r="BO71">
        <v>229.05</v>
      </c>
      <c r="BP71">
        <v>229.05</v>
      </c>
      <c r="BQ71">
        <v>32.590000000000003</v>
      </c>
      <c r="BR71">
        <v>6.64</v>
      </c>
      <c r="BS71">
        <v>230</v>
      </c>
    </row>
    <row r="72" spans="1:71" x14ac:dyDescent="0.25">
      <c r="A72" t="s">
        <v>137</v>
      </c>
      <c r="B72">
        <v>2</v>
      </c>
      <c r="C72">
        <v>2022</v>
      </c>
      <c r="D72">
        <v>24.39</v>
      </c>
      <c r="E72">
        <v>24.39</v>
      </c>
      <c r="F72">
        <v>1185.1300000000001</v>
      </c>
      <c r="G72">
        <v>1185.1300000000001</v>
      </c>
      <c r="H72">
        <v>1209.52</v>
      </c>
      <c r="I72">
        <v>0</v>
      </c>
      <c r="J72">
        <v>68.84</v>
      </c>
      <c r="K72">
        <v>14.08</v>
      </c>
      <c r="L72">
        <v>87.74</v>
      </c>
      <c r="M72">
        <v>0</v>
      </c>
      <c r="N72">
        <v>209.48</v>
      </c>
      <c r="O72">
        <v>114.57</v>
      </c>
      <c r="P72">
        <v>2.48</v>
      </c>
      <c r="Q72">
        <v>326.52999999999997</v>
      </c>
      <c r="R72">
        <v>1623.79</v>
      </c>
      <c r="S72">
        <v>0</v>
      </c>
      <c r="T72">
        <v>0</v>
      </c>
      <c r="U72">
        <v>253.37</v>
      </c>
      <c r="V72">
        <v>0.64</v>
      </c>
      <c r="W72">
        <v>257.63</v>
      </c>
      <c r="X72" t="e">
        <v>#N/A</v>
      </c>
      <c r="Y72">
        <v>77.78</v>
      </c>
      <c r="Z72">
        <v>25.08</v>
      </c>
      <c r="AA72">
        <v>1115.9000000000001</v>
      </c>
      <c r="AB72">
        <v>0</v>
      </c>
      <c r="AC72">
        <v>203.47</v>
      </c>
      <c r="AD72">
        <v>151.63</v>
      </c>
      <c r="AE72">
        <v>14.63</v>
      </c>
      <c r="AF72">
        <v>5.55</v>
      </c>
      <c r="AG72">
        <v>48.63</v>
      </c>
      <c r="AH72">
        <v>507.9</v>
      </c>
      <c r="AI72">
        <v>1623.79</v>
      </c>
      <c r="AJ72">
        <v>0</v>
      </c>
      <c r="AK72">
        <v>0</v>
      </c>
      <c r="AL72">
        <v>20.350000000000001</v>
      </c>
      <c r="AM72">
        <v>83.98</v>
      </c>
      <c r="AN72">
        <v>83.98</v>
      </c>
      <c r="AO72" t="s">
        <v>53</v>
      </c>
      <c r="AP72" t="s">
        <v>3</v>
      </c>
      <c r="AQ72">
        <v>2122.56</v>
      </c>
      <c r="AR72">
        <v>2122.56</v>
      </c>
      <c r="AS72">
        <v>1.88</v>
      </c>
      <c r="AT72">
        <v>2124.44</v>
      </c>
      <c r="AU72">
        <v>70.22</v>
      </c>
      <c r="AV72">
        <v>2194.66</v>
      </c>
      <c r="AW72">
        <v>0</v>
      </c>
      <c r="AX72">
        <v>1251.2</v>
      </c>
      <c r="AY72">
        <v>53.31</v>
      </c>
      <c r="AZ72">
        <v>-8.66</v>
      </c>
      <c r="BA72">
        <v>131.88</v>
      </c>
      <c r="BB72">
        <v>7.11</v>
      </c>
      <c r="BC72" t="e">
        <v>#N/A</v>
      </c>
      <c r="BD72">
        <v>32.39</v>
      </c>
      <c r="BE72">
        <v>428.85</v>
      </c>
      <c r="BF72">
        <v>1930.1</v>
      </c>
      <c r="BG72">
        <v>264.56</v>
      </c>
      <c r="BH72">
        <v>264.56</v>
      </c>
      <c r="BI72">
        <v>0</v>
      </c>
      <c r="BJ72">
        <v>70.94</v>
      </c>
      <c r="BK72">
        <v>-3.47</v>
      </c>
      <c r="BL72">
        <v>-0.22</v>
      </c>
      <c r="BM72">
        <v>67.25</v>
      </c>
      <c r="BN72">
        <v>197.31</v>
      </c>
      <c r="BO72">
        <v>197.31</v>
      </c>
      <c r="BP72">
        <v>197.31</v>
      </c>
      <c r="BQ72" t="e">
        <v>#N/A</v>
      </c>
      <c r="BR72" t="e">
        <v>#N/A</v>
      </c>
      <c r="BS72" t="e">
        <v>#N/A</v>
      </c>
    </row>
    <row r="73" spans="1:71" x14ac:dyDescent="0.25">
      <c r="A73" t="s">
        <v>137</v>
      </c>
      <c r="B73">
        <v>3</v>
      </c>
      <c r="C73">
        <v>2021</v>
      </c>
      <c r="D73">
        <v>24.39</v>
      </c>
      <c r="E73">
        <v>24.39</v>
      </c>
      <c r="F73">
        <v>988.98</v>
      </c>
      <c r="G73">
        <v>988.98</v>
      </c>
      <c r="H73">
        <v>1013.37</v>
      </c>
      <c r="I73">
        <v>0</v>
      </c>
      <c r="J73">
        <v>86.35</v>
      </c>
      <c r="K73">
        <v>4.62</v>
      </c>
      <c r="L73">
        <v>99.26</v>
      </c>
      <c r="M73">
        <v>0</v>
      </c>
      <c r="N73">
        <v>160.21</v>
      </c>
      <c r="O73">
        <v>150.32</v>
      </c>
      <c r="P73">
        <v>4.3499999999999996</v>
      </c>
      <c r="Q73">
        <v>314.88</v>
      </c>
      <c r="R73">
        <v>1427.52</v>
      </c>
      <c r="S73">
        <v>0</v>
      </c>
      <c r="T73">
        <v>0</v>
      </c>
      <c r="U73">
        <v>273.7</v>
      </c>
      <c r="V73">
        <v>1.17</v>
      </c>
      <c r="W73">
        <v>278.72000000000003</v>
      </c>
      <c r="X73" t="e">
        <v>#N/A</v>
      </c>
      <c r="Y73">
        <v>50.68</v>
      </c>
      <c r="Z73">
        <v>3.03</v>
      </c>
      <c r="AA73">
        <v>849.74</v>
      </c>
      <c r="AB73">
        <v>0</v>
      </c>
      <c r="AC73">
        <v>228.32</v>
      </c>
      <c r="AD73">
        <v>163.05000000000001</v>
      </c>
      <c r="AE73">
        <v>35.51</v>
      </c>
      <c r="AF73">
        <v>5.55</v>
      </c>
      <c r="AG73">
        <v>39.35</v>
      </c>
      <c r="AH73">
        <v>577.78</v>
      </c>
      <c r="AI73">
        <v>1427.52</v>
      </c>
      <c r="AJ73">
        <v>0</v>
      </c>
      <c r="AK73">
        <v>0</v>
      </c>
      <c r="AL73">
        <v>54.54</v>
      </c>
      <c r="AM73">
        <v>106</v>
      </c>
      <c r="AN73">
        <v>106</v>
      </c>
      <c r="AO73" t="s">
        <v>53</v>
      </c>
      <c r="AP73">
        <v>0</v>
      </c>
      <c r="AQ73">
        <v>1687.89</v>
      </c>
      <c r="AR73">
        <v>1687.89</v>
      </c>
      <c r="AS73">
        <v>1.6</v>
      </c>
      <c r="AT73">
        <v>1689.49</v>
      </c>
      <c r="AU73">
        <v>51.8</v>
      </c>
      <c r="AV73">
        <v>1741.29</v>
      </c>
      <c r="AW73">
        <v>0</v>
      </c>
      <c r="AX73">
        <v>949.77</v>
      </c>
      <c r="AY73">
        <v>17.989999999999998</v>
      </c>
      <c r="AZ73">
        <v>-8.5</v>
      </c>
      <c r="BA73">
        <v>119.86</v>
      </c>
      <c r="BB73">
        <v>8.68</v>
      </c>
      <c r="BC73" t="e">
        <v>#N/A</v>
      </c>
      <c r="BD73">
        <v>32.53</v>
      </c>
      <c r="BE73">
        <v>344.27</v>
      </c>
      <c r="BF73">
        <v>1497.83</v>
      </c>
      <c r="BG73">
        <v>243.46</v>
      </c>
      <c r="BH73">
        <v>243.46</v>
      </c>
      <c r="BI73">
        <v>0</v>
      </c>
      <c r="BJ73">
        <v>61.23</v>
      </c>
      <c r="BK73">
        <v>1.5</v>
      </c>
      <c r="BL73">
        <v>-0.42</v>
      </c>
      <c r="BM73">
        <v>62.31</v>
      </c>
      <c r="BN73">
        <v>181.15</v>
      </c>
      <c r="BO73">
        <v>181.15</v>
      </c>
      <c r="BP73">
        <v>181.15</v>
      </c>
      <c r="BQ73" t="e">
        <v>#N/A</v>
      </c>
      <c r="BR73" t="e">
        <v>#N/A</v>
      </c>
      <c r="BS73" t="e">
        <v>#N/A</v>
      </c>
    </row>
    <row r="74" spans="1:71" x14ac:dyDescent="0.25">
      <c r="A74" t="s">
        <v>137</v>
      </c>
      <c r="B74">
        <v>4</v>
      </c>
      <c r="C74">
        <v>2020</v>
      </c>
      <c r="D74">
        <v>24.39</v>
      </c>
      <c r="E74">
        <v>24.39</v>
      </c>
      <c r="F74">
        <v>805.73</v>
      </c>
      <c r="G74">
        <v>805.73</v>
      </c>
      <c r="H74">
        <v>830.12</v>
      </c>
      <c r="I74">
        <v>0</v>
      </c>
      <c r="J74">
        <v>76.27</v>
      </c>
      <c r="K74">
        <v>7.32</v>
      </c>
      <c r="L74">
        <v>90.38</v>
      </c>
      <c r="M74">
        <v>0</v>
      </c>
      <c r="N74">
        <v>114.05</v>
      </c>
      <c r="O74">
        <v>129.47</v>
      </c>
      <c r="P74">
        <v>5.47</v>
      </c>
      <c r="Q74">
        <v>249.02</v>
      </c>
      <c r="R74">
        <v>1169.52</v>
      </c>
      <c r="S74">
        <v>0</v>
      </c>
      <c r="T74">
        <v>0</v>
      </c>
      <c r="U74">
        <v>275.27999999999997</v>
      </c>
      <c r="V74">
        <v>16.53</v>
      </c>
      <c r="W74">
        <v>295.45999999999998</v>
      </c>
      <c r="X74" t="e">
        <v>#N/A</v>
      </c>
      <c r="Y74">
        <v>48.45</v>
      </c>
      <c r="Z74">
        <v>11.3</v>
      </c>
      <c r="AA74">
        <v>580.76</v>
      </c>
      <c r="AB74">
        <v>0</v>
      </c>
      <c r="AC74">
        <v>165.18</v>
      </c>
      <c r="AD74">
        <v>126.4</v>
      </c>
      <c r="AE74">
        <v>29.15</v>
      </c>
      <c r="AF74">
        <v>5.61</v>
      </c>
      <c r="AG74">
        <v>44.5</v>
      </c>
      <c r="AH74">
        <v>588.76</v>
      </c>
      <c r="AI74">
        <v>1169.52</v>
      </c>
      <c r="AJ74">
        <v>0</v>
      </c>
      <c r="AK74">
        <v>0</v>
      </c>
      <c r="AL74">
        <v>55.47</v>
      </c>
      <c r="AM74">
        <v>217.92</v>
      </c>
      <c r="AN74">
        <v>217.92</v>
      </c>
      <c r="AO74" t="s">
        <v>53</v>
      </c>
      <c r="AP74">
        <v>0</v>
      </c>
      <c r="AQ74">
        <v>1745.25</v>
      </c>
      <c r="AR74">
        <v>1745.25</v>
      </c>
      <c r="AS74">
        <v>9.52</v>
      </c>
      <c r="AT74">
        <v>1754.77</v>
      </c>
      <c r="AU74">
        <v>43.98</v>
      </c>
      <c r="AV74">
        <v>1798.75</v>
      </c>
      <c r="AW74">
        <v>0</v>
      </c>
      <c r="AX74">
        <v>884.86</v>
      </c>
      <c r="AY74">
        <v>17.98</v>
      </c>
      <c r="AZ74">
        <v>3.86</v>
      </c>
      <c r="BA74">
        <v>141.07</v>
      </c>
      <c r="BB74">
        <v>8.14</v>
      </c>
      <c r="BC74" t="e">
        <v>#N/A</v>
      </c>
      <c r="BD74">
        <v>33.090000000000003</v>
      </c>
      <c r="BE74">
        <v>430.09</v>
      </c>
      <c r="BF74">
        <v>1571.61</v>
      </c>
      <c r="BG74">
        <v>227.14</v>
      </c>
      <c r="BH74">
        <v>215.15</v>
      </c>
      <c r="BI74">
        <v>0</v>
      </c>
      <c r="BJ74">
        <v>54.23</v>
      </c>
      <c r="BK74">
        <v>-4.59</v>
      </c>
      <c r="BL74">
        <v>0</v>
      </c>
      <c r="BM74">
        <v>49.63</v>
      </c>
      <c r="BN74">
        <v>165.51</v>
      </c>
      <c r="BO74">
        <v>165.51</v>
      </c>
      <c r="BP74">
        <v>165.51</v>
      </c>
      <c r="BQ74" t="e">
        <v>#N/A</v>
      </c>
      <c r="BR74" t="e">
        <v>#N/A</v>
      </c>
      <c r="BS74" t="e">
        <v>#N/A</v>
      </c>
    </row>
    <row r="75" spans="1:71" x14ac:dyDescent="0.25">
      <c r="A75" t="s">
        <v>137</v>
      </c>
      <c r="B75">
        <v>5</v>
      </c>
      <c r="C75">
        <v>2019</v>
      </c>
      <c r="D75">
        <v>24.39</v>
      </c>
      <c r="E75">
        <v>24.39</v>
      </c>
      <c r="F75">
        <v>644.67999999999995</v>
      </c>
      <c r="G75">
        <v>644.67999999999995</v>
      </c>
      <c r="H75">
        <v>669.08</v>
      </c>
      <c r="I75">
        <v>0</v>
      </c>
      <c r="J75">
        <v>69.650000000000006</v>
      </c>
      <c r="K75">
        <v>6.76</v>
      </c>
      <c r="L75">
        <v>88.13</v>
      </c>
      <c r="M75">
        <v>0</v>
      </c>
      <c r="N75">
        <v>116.55</v>
      </c>
      <c r="O75">
        <v>144.22999999999999</v>
      </c>
      <c r="P75">
        <v>4.8600000000000003</v>
      </c>
      <c r="Q75">
        <v>265.64999999999998</v>
      </c>
      <c r="R75">
        <v>1022.85</v>
      </c>
      <c r="S75">
        <v>0</v>
      </c>
      <c r="T75">
        <v>0</v>
      </c>
      <c r="U75">
        <v>265.38</v>
      </c>
      <c r="V75">
        <v>0.74</v>
      </c>
      <c r="W75">
        <v>269.97000000000003</v>
      </c>
      <c r="X75" t="e">
        <v>#N/A</v>
      </c>
      <c r="Y75">
        <v>2.35</v>
      </c>
      <c r="Z75">
        <v>12.51</v>
      </c>
      <c r="AA75">
        <v>433.38</v>
      </c>
      <c r="AB75">
        <v>0</v>
      </c>
      <c r="AC75">
        <v>152.96</v>
      </c>
      <c r="AD75">
        <v>102.66</v>
      </c>
      <c r="AE75">
        <v>12.24</v>
      </c>
      <c r="AF75">
        <v>0.19</v>
      </c>
      <c r="AG75">
        <v>53.75</v>
      </c>
      <c r="AH75">
        <v>589.47</v>
      </c>
      <c r="AI75">
        <v>1022.85</v>
      </c>
      <c r="AJ75">
        <v>0</v>
      </c>
      <c r="AK75">
        <v>0</v>
      </c>
      <c r="AL75">
        <v>42.21</v>
      </c>
      <c r="AM75">
        <v>267.67</v>
      </c>
      <c r="AN75">
        <v>257.67</v>
      </c>
      <c r="AO75">
        <v>10</v>
      </c>
      <c r="AP75">
        <v>0</v>
      </c>
      <c r="AQ75">
        <v>1802.97</v>
      </c>
      <c r="AR75">
        <v>1802.97</v>
      </c>
      <c r="AS75">
        <v>10.78</v>
      </c>
      <c r="AT75">
        <v>1813.76</v>
      </c>
      <c r="AU75">
        <v>30.49</v>
      </c>
      <c r="AV75">
        <v>1844.24</v>
      </c>
      <c r="AW75">
        <v>0</v>
      </c>
      <c r="AX75">
        <v>1010.77</v>
      </c>
      <c r="AY75">
        <v>46.63</v>
      </c>
      <c r="AZ75">
        <v>-7.42</v>
      </c>
      <c r="BA75">
        <v>110.73</v>
      </c>
      <c r="BB75">
        <v>7.34</v>
      </c>
      <c r="BC75" t="e">
        <v>#N/A</v>
      </c>
      <c r="BD75">
        <v>31.09</v>
      </c>
      <c r="BE75">
        <v>427.4</v>
      </c>
      <c r="BF75">
        <v>1668.64</v>
      </c>
      <c r="BG75">
        <v>175.6</v>
      </c>
      <c r="BH75">
        <v>175.6</v>
      </c>
      <c r="BI75">
        <v>0</v>
      </c>
      <c r="BJ75">
        <v>47.18</v>
      </c>
      <c r="BK75">
        <v>5.86</v>
      </c>
      <c r="BL75">
        <v>-1.1100000000000001</v>
      </c>
      <c r="BM75">
        <v>51.93</v>
      </c>
      <c r="BN75">
        <v>123.67</v>
      </c>
      <c r="BO75">
        <v>123.67</v>
      </c>
      <c r="BP75">
        <v>123.67</v>
      </c>
      <c r="BQ75" t="e">
        <v>#N/A</v>
      </c>
      <c r="BR75" t="e">
        <v>#N/A</v>
      </c>
      <c r="BS75" t="e">
        <v>#N/A</v>
      </c>
    </row>
    <row r="76" spans="1:71" x14ac:dyDescent="0.25">
      <c r="A76" t="s">
        <v>137</v>
      </c>
      <c r="B76">
        <v>6</v>
      </c>
      <c r="C76">
        <v>2018</v>
      </c>
      <c r="D76">
        <v>24.39</v>
      </c>
      <c r="E76">
        <v>24.39</v>
      </c>
      <c r="F76">
        <v>521.94000000000005</v>
      </c>
      <c r="G76">
        <v>521.94000000000005</v>
      </c>
      <c r="H76">
        <v>546.33000000000004</v>
      </c>
      <c r="I76">
        <v>0</v>
      </c>
      <c r="J76">
        <v>54.45</v>
      </c>
      <c r="K76">
        <v>14.64</v>
      </c>
      <c r="L76">
        <v>74.95</v>
      </c>
      <c r="M76">
        <v>0</v>
      </c>
      <c r="N76">
        <v>113.15</v>
      </c>
      <c r="O76">
        <v>142.15</v>
      </c>
      <c r="P76">
        <v>11.72</v>
      </c>
      <c r="Q76">
        <v>267.19</v>
      </c>
      <c r="R76">
        <v>888.47</v>
      </c>
      <c r="S76">
        <v>0</v>
      </c>
      <c r="T76">
        <v>0</v>
      </c>
      <c r="U76">
        <v>252.39</v>
      </c>
      <c r="V76">
        <v>3.72</v>
      </c>
      <c r="W76">
        <v>257.38</v>
      </c>
      <c r="X76" t="e">
        <v>#N/A</v>
      </c>
      <c r="Y76">
        <v>2.16</v>
      </c>
      <c r="Z76">
        <v>5.64</v>
      </c>
      <c r="AA76">
        <v>399.33</v>
      </c>
      <c r="AB76">
        <v>0</v>
      </c>
      <c r="AC76">
        <v>129.85</v>
      </c>
      <c r="AD76">
        <v>101.6</v>
      </c>
      <c r="AE76">
        <v>144.84</v>
      </c>
      <c r="AF76">
        <v>0.39</v>
      </c>
      <c r="AG76">
        <v>51.86</v>
      </c>
      <c r="AH76">
        <v>489.14</v>
      </c>
      <c r="AI76">
        <v>888.47</v>
      </c>
      <c r="AJ76">
        <v>0</v>
      </c>
      <c r="AK76">
        <v>0</v>
      </c>
      <c r="AL76">
        <v>27.39</v>
      </c>
      <c r="AM76">
        <v>60.59</v>
      </c>
      <c r="AN76">
        <v>60.59</v>
      </c>
      <c r="AO76" t="s">
        <v>53</v>
      </c>
      <c r="AP76">
        <v>0</v>
      </c>
      <c r="AQ76">
        <v>1686.38</v>
      </c>
      <c r="AR76">
        <v>1647.25</v>
      </c>
      <c r="AS76">
        <v>9.27</v>
      </c>
      <c r="AT76">
        <v>1656.52</v>
      </c>
      <c r="AU76">
        <v>24.97</v>
      </c>
      <c r="AV76">
        <v>1681.5</v>
      </c>
      <c r="AW76">
        <v>0</v>
      </c>
      <c r="AX76">
        <v>925.39</v>
      </c>
      <c r="AY76">
        <v>40.229999999999997</v>
      </c>
      <c r="AZ76">
        <v>-17.12</v>
      </c>
      <c r="BA76">
        <v>100.83</v>
      </c>
      <c r="BB76">
        <v>5.76</v>
      </c>
      <c r="BC76" t="e">
        <v>#N/A</v>
      </c>
      <c r="BD76">
        <v>27.78</v>
      </c>
      <c r="BE76">
        <v>348.3</v>
      </c>
      <c r="BF76">
        <v>1499</v>
      </c>
      <c r="BG76">
        <v>182.5</v>
      </c>
      <c r="BH76">
        <v>182.5</v>
      </c>
      <c r="BI76">
        <v>0</v>
      </c>
      <c r="BJ76">
        <v>55.94</v>
      </c>
      <c r="BK76">
        <v>0.63</v>
      </c>
      <c r="BL76">
        <v>0</v>
      </c>
      <c r="BM76">
        <v>56.57</v>
      </c>
      <c r="BN76">
        <v>125.94</v>
      </c>
      <c r="BO76">
        <v>125.94</v>
      </c>
      <c r="BP76">
        <v>125.94</v>
      </c>
      <c r="BQ76" t="e">
        <v>#N/A</v>
      </c>
      <c r="BR76" t="e">
        <v>#N/A</v>
      </c>
      <c r="BS76" t="e">
        <v>#N/A</v>
      </c>
    </row>
    <row r="77" spans="1:71" x14ac:dyDescent="0.25">
      <c r="A77" t="s">
        <v>138</v>
      </c>
      <c r="B77">
        <v>2</v>
      </c>
      <c r="C77">
        <v>2022</v>
      </c>
      <c r="D77">
        <v>28.29</v>
      </c>
      <c r="E77">
        <v>28.29</v>
      </c>
      <c r="F77">
        <v>531.38</v>
      </c>
      <c r="G77">
        <v>531.38</v>
      </c>
      <c r="H77">
        <v>559.66999999999996</v>
      </c>
      <c r="I77">
        <v>0</v>
      </c>
      <c r="J77">
        <v>139.38999999999999</v>
      </c>
      <c r="K77">
        <v>13.38</v>
      </c>
      <c r="L77">
        <v>153.71</v>
      </c>
      <c r="M77">
        <v>0</v>
      </c>
      <c r="N77">
        <v>282.39</v>
      </c>
      <c r="O77">
        <v>100.09</v>
      </c>
      <c r="P77">
        <v>11.65</v>
      </c>
      <c r="Q77">
        <v>516.83000000000004</v>
      </c>
      <c r="R77">
        <v>1230.21</v>
      </c>
      <c r="S77">
        <v>0</v>
      </c>
      <c r="T77">
        <v>0</v>
      </c>
      <c r="U77">
        <v>263.2</v>
      </c>
      <c r="V77">
        <v>7.13</v>
      </c>
      <c r="W77">
        <v>272.27</v>
      </c>
      <c r="X77">
        <v>21.4</v>
      </c>
      <c r="Y77">
        <v>0</v>
      </c>
      <c r="Z77">
        <v>35.26</v>
      </c>
      <c r="AA77">
        <v>329.96</v>
      </c>
      <c r="AB77">
        <v>0</v>
      </c>
      <c r="AC77">
        <v>518.38</v>
      </c>
      <c r="AD77">
        <v>218.51</v>
      </c>
      <c r="AE77">
        <v>20.73</v>
      </c>
      <c r="AF77">
        <v>0</v>
      </c>
      <c r="AG77">
        <v>101.95</v>
      </c>
      <c r="AH77">
        <v>900.25</v>
      </c>
      <c r="AI77">
        <v>1230.21</v>
      </c>
      <c r="AJ77">
        <v>0</v>
      </c>
      <c r="AK77">
        <v>0</v>
      </c>
      <c r="AL77">
        <v>373.1</v>
      </c>
      <c r="AM77">
        <v>40.68</v>
      </c>
      <c r="AN77" t="e">
        <v>#N/A</v>
      </c>
      <c r="AO77">
        <v>0</v>
      </c>
      <c r="AP77" t="e">
        <v>#N/A</v>
      </c>
      <c r="AQ77">
        <v>1286.92</v>
      </c>
      <c r="AR77">
        <v>1286.92</v>
      </c>
      <c r="AS77">
        <v>2.59</v>
      </c>
      <c r="AT77">
        <v>1289.51</v>
      </c>
      <c r="AU77">
        <v>36.36</v>
      </c>
      <c r="AV77">
        <v>1325.87</v>
      </c>
      <c r="AW77">
        <v>0</v>
      </c>
      <c r="AX77">
        <v>567</v>
      </c>
      <c r="AY77">
        <v>213.56</v>
      </c>
      <c r="AZ77">
        <v>-135.56</v>
      </c>
      <c r="BA77">
        <v>188.72</v>
      </c>
      <c r="BB77">
        <v>24.64</v>
      </c>
      <c r="BC77" t="e">
        <v>#N/A</v>
      </c>
      <c r="BD77">
        <v>69.959999999999994</v>
      </c>
      <c r="BE77">
        <v>311.39</v>
      </c>
      <c r="BF77">
        <v>1239.71</v>
      </c>
      <c r="BG77">
        <v>86.16</v>
      </c>
      <c r="BH77">
        <v>86.16</v>
      </c>
      <c r="BI77">
        <v>0</v>
      </c>
      <c r="BJ77">
        <v>6.96</v>
      </c>
      <c r="BK77">
        <v>12.36</v>
      </c>
      <c r="BL77">
        <v>-0.09</v>
      </c>
      <c r="BM77">
        <v>19.23</v>
      </c>
      <c r="BN77">
        <v>66.930000000000007</v>
      </c>
      <c r="BO77">
        <v>66.930000000000007</v>
      </c>
      <c r="BP77">
        <v>66.930000000000007</v>
      </c>
      <c r="BQ77">
        <v>35.369999999999997</v>
      </c>
      <c r="BR77">
        <v>0</v>
      </c>
      <c r="BS77" t="e">
        <v>#N/A</v>
      </c>
    </row>
    <row r="78" spans="1:71" x14ac:dyDescent="0.25">
      <c r="A78" t="s">
        <v>138</v>
      </c>
      <c r="B78">
        <v>3</v>
      </c>
      <c r="C78">
        <v>2021</v>
      </c>
      <c r="D78">
        <v>28.26</v>
      </c>
      <c r="E78">
        <v>28.26</v>
      </c>
      <c r="F78">
        <v>488.92</v>
      </c>
      <c r="G78">
        <v>488.92</v>
      </c>
      <c r="H78">
        <v>517.17999999999995</v>
      </c>
      <c r="I78">
        <v>0</v>
      </c>
      <c r="J78">
        <v>163</v>
      </c>
      <c r="K78">
        <v>11.75</v>
      </c>
      <c r="L78">
        <v>175.79</v>
      </c>
      <c r="M78">
        <v>0</v>
      </c>
      <c r="N78">
        <v>154.03</v>
      </c>
      <c r="O78">
        <v>85.41</v>
      </c>
      <c r="P78">
        <v>8.81</v>
      </c>
      <c r="Q78">
        <v>401.95</v>
      </c>
      <c r="R78">
        <v>1094.92</v>
      </c>
      <c r="S78">
        <v>0</v>
      </c>
      <c r="T78">
        <v>0</v>
      </c>
      <c r="U78">
        <v>285.97000000000003</v>
      </c>
      <c r="V78">
        <v>1.98</v>
      </c>
      <c r="W78">
        <v>290.48</v>
      </c>
      <c r="X78">
        <v>33.979999999999997</v>
      </c>
      <c r="Y78">
        <v>17.82</v>
      </c>
      <c r="Z78">
        <v>13.34</v>
      </c>
      <c r="AA78">
        <v>356.56</v>
      </c>
      <c r="AB78">
        <v>0</v>
      </c>
      <c r="AC78">
        <v>301.64999999999998</v>
      </c>
      <c r="AD78">
        <v>148.47</v>
      </c>
      <c r="AE78">
        <v>90.5</v>
      </c>
      <c r="AF78">
        <v>6.16</v>
      </c>
      <c r="AG78">
        <v>51.54</v>
      </c>
      <c r="AH78">
        <v>738.36</v>
      </c>
      <c r="AI78">
        <v>1094.92</v>
      </c>
      <c r="AJ78">
        <v>0</v>
      </c>
      <c r="AK78">
        <v>0</v>
      </c>
      <c r="AL78">
        <v>323.24</v>
      </c>
      <c r="AM78">
        <v>140.04</v>
      </c>
      <c r="AN78" t="e">
        <v>#N/A</v>
      </c>
      <c r="AO78">
        <v>0</v>
      </c>
      <c r="AP78" t="e">
        <v>#N/A</v>
      </c>
      <c r="AQ78">
        <v>617.19000000000005</v>
      </c>
      <c r="AR78">
        <v>617.19000000000005</v>
      </c>
      <c r="AS78">
        <v>1.37</v>
      </c>
      <c r="AT78">
        <v>618.55999999999995</v>
      </c>
      <c r="AU78">
        <v>48.35</v>
      </c>
      <c r="AV78">
        <v>666.91</v>
      </c>
      <c r="AW78">
        <v>0</v>
      </c>
      <c r="AX78">
        <v>163.92</v>
      </c>
      <c r="AY78">
        <v>48.75</v>
      </c>
      <c r="AZ78">
        <v>153.49</v>
      </c>
      <c r="BA78">
        <v>137.6</v>
      </c>
      <c r="BB78">
        <v>29.75</v>
      </c>
      <c r="BC78" t="e">
        <v>#N/A</v>
      </c>
      <c r="BD78">
        <v>77.94</v>
      </c>
      <c r="BE78">
        <v>180.07</v>
      </c>
      <c r="BF78">
        <v>791.52</v>
      </c>
      <c r="BG78">
        <v>-124.61</v>
      </c>
      <c r="BH78">
        <v>-124.61</v>
      </c>
      <c r="BI78">
        <v>0</v>
      </c>
      <c r="BJ78">
        <v>0.43</v>
      </c>
      <c r="BK78">
        <v>-27.38</v>
      </c>
      <c r="BL78">
        <v>-0.17</v>
      </c>
      <c r="BM78">
        <v>-27.12</v>
      </c>
      <c r="BN78">
        <v>-97.49</v>
      </c>
      <c r="BO78">
        <v>-97.49</v>
      </c>
      <c r="BP78">
        <v>-97.49</v>
      </c>
      <c r="BQ78">
        <v>0</v>
      </c>
      <c r="BR78">
        <v>0</v>
      </c>
      <c r="BS78" t="e">
        <v>#N/A</v>
      </c>
    </row>
    <row r="79" spans="1:71" x14ac:dyDescent="0.25">
      <c r="A79" t="s">
        <v>138</v>
      </c>
      <c r="B79">
        <v>4</v>
      </c>
      <c r="C79">
        <v>2020</v>
      </c>
      <c r="D79">
        <v>28.26</v>
      </c>
      <c r="E79">
        <v>28.26</v>
      </c>
      <c r="F79">
        <v>581.85</v>
      </c>
      <c r="G79">
        <v>581.85</v>
      </c>
      <c r="H79">
        <v>610.11</v>
      </c>
      <c r="I79">
        <v>0</v>
      </c>
      <c r="J79">
        <v>182.86</v>
      </c>
      <c r="K79">
        <v>12.45</v>
      </c>
      <c r="L79">
        <v>196.07</v>
      </c>
      <c r="M79">
        <v>0</v>
      </c>
      <c r="N79">
        <v>292</v>
      </c>
      <c r="O79">
        <v>103.61</v>
      </c>
      <c r="P79">
        <v>10.76</v>
      </c>
      <c r="Q79">
        <v>438.56</v>
      </c>
      <c r="R79">
        <v>1244.74</v>
      </c>
      <c r="S79">
        <v>0</v>
      </c>
      <c r="T79">
        <v>0</v>
      </c>
      <c r="U79">
        <v>360.06</v>
      </c>
      <c r="V79">
        <v>2.7</v>
      </c>
      <c r="W79">
        <v>366.75</v>
      </c>
      <c r="X79">
        <v>7.5</v>
      </c>
      <c r="Y79">
        <v>21.84</v>
      </c>
      <c r="Z79">
        <v>17.47</v>
      </c>
      <c r="AA79">
        <v>413.98</v>
      </c>
      <c r="AB79">
        <v>0</v>
      </c>
      <c r="AC79">
        <v>451.36</v>
      </c>
      <c r="AD79">
        <v>267.44</v>
      </c>
      <c r="AE79">
        <v>10.76</v>
      </c>
      <c r="AF79">
        <v>8.24</v>
      </c>
      <c r="AG79">
        <v>52.61</v>
      </c>
      <c r="AH79">
        <v>830.76</v>
      </c>
      <c r="AI79">
        <v>1244.74</v>
      </c>
      <c r="AJ79">
        <v>0</v>
      </c>
      <c r="AK79">
        <v>0</v>
      </c>
      <c r="AL79">
        <v>252.3</v>
      </c>
      <c r="AM79">
        <v>40.35</v>
      </c>
      <c r="AN79" t="e">
        <v>#N/A</v>
      </c>
      <c r="AO79">
        <v>0</v>
      </c>
      <c r="AP79" t="e">
        <v>#N/A</v>
      </c>
      <c r="AQ79">
        <v>1716.03</v>
      </c>
      <c r="AR79">
        <v>1716.03</v>
      </c>
      <c r="AS79">
        <v>2.29</v>
      </c>
      <c r="AT79">
        <v>1718.32</v>
      </c>
      <c r="AU79">
        <v>12.5</v>
      </c>
      <c r="AV79">
        <v>1730.82</v>
      </c>
      <c r="AW79">
        <v>0</v>
      </c>
      <c r="AX79">
        <v>357.24</v>
      </c>
      <c r="AY79">
        <v>382.01</v>
      </c>
      <c r="AZ79">
        <v>66.67</v>
      </c>
      <c r="BA79">
        <v>210.49</v>
      </c>
      <c r="BB79">
        <v>23</v>
      </c>
      <c r="BC79" t="e">
        <v>#N/A</v>
      </c>
      <c r="BD79">
        <v>83.87</v>
      </c>
      <c r="BE79">
        <v>410.63</v>
      </c>
      <c r="BF79">
        <v>1533.91</v>
      </c>
      <c r="BG79">
        <v>196.91</v>
      </c>
      <c r="BH79">
        <v>148.41</v>
      </c>
      <c r="BI79">
        <v>0</v>
      </c>
      <c r="BJ79">
        <v>38.409999999999997</v>
      </c>
      <c r="BK79">
        <v>-1.73</v>
      </c>
      <c r="BL79">
        <v>0</v>
      </c>
      <c r="BM79">
        <v>36.68</v>
      </c>
      <c r="BN79">
        <v>111.73</v>
      </c>
      <c r="BO79">
        <v>111.73</v>
      </c>
      <c r="BP79">
        <v>111.73</v>
      </c>
      <c r="BQ79">
        <v>73.510000000000005</v>
      </c>
      <c r="BR79">
        <v>13.08</v>
      </c>
      <c r="BS79" t="e">
        <v>#N/A</v>
      </c>
    </row>
    <row r="80" spans="1:71" x14ac:dyDescent="0.25">
      <c r="A80" t="s">
        <v>138</v>
      </c>
      <c r="B80">
        <v>5</v>
      </c>
      <c r="C80">
        <v>2019</v>
      </c>
      <c r="D80">
        <v>28.26</v>
      </c>
      <c r="E80">
        <v>28.26</v>
      </c>
      <c r="F80">
        <v>553.12</v>
      </c>
      <c r="G80">
        <v>553.12</v>
      </c>
      <c r="H80">
        <v>581.38</v>
      </c>
      <c r="I80">
        <v>0</v>
      </c>
      <c r="J80">
        <v>2.56</v>
      </c>
      <c r="K80">
        <v>11.87</v>
      </c>
      <c r="L80">
        <v>14.43</v>
      </c>
      <c r="M80">
        <v>0</v>
      </c>
      <c r="N80">
        <v>318.39999999999998</v>
      </c>
      <c r="O80">
        <v>65.760000000000005</v>
      </c>
      <c r="P80">
        <v>4.9400000000000004</v>
      </c>
      <c r="Q80">
        <v>475.25</v>
      </c>
      <c r="R80">
        <v>1071.06</v>
      </c>
      <c r="S80">
        <v>0</v>
      </c>
      <c r="T80">
        <v>0</v>
      </c>
      <c r="U80">
        <v>113.82</v>
      </c>
      <c r="V80">
        <v>5.69</v>
      </c>
      <c r="W80">
        <v>122.49</v>
      </c>
      <c r="X80">
        <v>4.93</v>
      </c>
      <c r="Y80">
        <v>21.38</v>
      </c>
      <c r="Z80">
        <v>14.16</v>
      </c>
      <c r="AA80">
        <v>163.72999999999999</v>
      </c>
      <c r="AB80">
        <v>0</v>
      </c>
      <c r="AC80">
        <v>527.35</v>
      </c>
      <c r="AD80">
        <v>298.61</v>
      </c>
      <c r="AE80">
        <v>14.23</v>
      </c>
      <c r="AF80">
        <v>3.9</v>
      </c>
      <c r="AG80">
        <v>63.24</v>
      </c>
      <c r="AH80">
        <v>907.33</v>
      </c>
      <c r="AI80">
        <v>1071.06</v>
      </c>
      <c r="AJ80">
        <v>0</v>
      </c>
      <c r="AK80">
        <v>0</v>
      </c>
      <c r="AL80">
        <v>190.22</v>
      </c>
      <c r="AM80">
        <v>0</v>
      </c>
      <c r="AN80" t="e">
        <v>#N/A</v>
      </c>
      <c r="AO80">
        <v>0</v>
      </c>
      <c r="AP80" t="e">
        <v>#N/A</v>
      </c>
      <c r="AQ80">
        <v>1780.77</v>
      </c>
      <c r="AR80">
        <v>1780.77</v>
      </c>
      <c r="AS80">
        <v>3.89</v>
      </c>
      <c r="AT80">
        <v>1784.66</v>
      </c>
      <c r="AU80">
        <v>8.32</v>
      </c>
      <c r="AV80">
        <v>1792.98</v>
      </c>
      <c r="AW80">
        <v>0</v>
      </c>
      <c r="AX80">
        <v>306.88</v>
      </c>
      <c r="AY80">
        <v>767.7</v>
      </c>
      <c r="AZ80">
        <v>-170.21</v>
      </c>
      <c r="BA80">
        <v>201.07</v>
      </c>
      <c r="BB80">
        <v>1.49</v>
      </c>
      <c r="BC80" t="e">
        <v>#N/A</v>
      </c>
      <c r="BD80">
        <v>16.61</v>
      </c>
      <c r="BE80">
        <v>454.5</v>
      </c>
      <c r="BF80">
        <v>1578.04</v>
      </c>
      <c r="BG80">
        <v>214.94</v>
      </c>
      <c r="BH80">
        <v>214.94</v>
      </c>
      <c r="BI80">
        <v>0</v>
      </c>
      <c r="BJ80">
        <v>69.13</v>
      </c>
      <c r="BK80">
        <v>0.03</v>
      </c>
      <c r="BL80">
        <v>0.51</v>
      </c>
      <c r="BM80">
        <v>69.67</v>
      </c>
      <c r="BN80">
        <v>145.27000000000001</v>
      </c>
      <c r="BO80">
        <v>145.27000000000001</v>
      </c>
      <c r="BP80">
        <v>145.27000000000001</v>
      </c>
      <c r="BQ80">
        <v>45.22</v>
      </c>
      <c r="BR80">
        <v>9.0299999999999994</v>
      </c>
      <c r="BS80" t="e">
        <v>#N/A</v>
      </c>
    </row>
    <row r="81" spans="1:71" x14ac:dyDescent="0.25">
      <c r="A81" t="s">
        <v>138</v>
      </c>
      <c r="B81">
        <v>6</v>
      </c>
      <c r="C81">
        <v>2018</v>
      </c>
      <c r="D81">
        <v>28.26</v>
      </c>
      <c r="E81">
        <v>28.26</v>
      </c>
      <c r="F81">
        <v>460.83</v>
      </c>
      <c r="G81">
        <v>460.83</v>
      </c>
      <c r="H81">
        <v>489.09</v>
      </c>
      <c r="I81">
        <v>0</v>
      </c>
      <c r="J81">
        <v>0.69</v>
      </c>
      <c r="K81">
        <v>9.25</v>
      </c>
      <c r="L81">
        <v>9.94</v>
      </c>
      <c r="M81">
        <v>0</v>
      </c>
      <c r="N81">
        <v>212.48</v>
      </c>
      <c r="O81">
        <v>57.37</v>
      </c>
      <c r="P81">
        <v>3.77</v>
      </c>
      <c r="Q81">
        <v>273.62</v>
      </c>
      <c r="R81">
        <v>772.65</v>
      </c>
      <c r="S81">
        <v>0</v>
      </c>
      <c r="T81">
        <v>0</v>
      </c>
      <c r="U81">
        <v>75.959999999999994</v>
      </c>
      <c r="V81">
        <v>2.66</v>
      </c>
      <c r="W81">
        <v>80.239999999999995</v>
      </c>
      <c r="X81">
        <v>5.4</v>
      </c>
      <c r="Y81">
        <v>15</v>
      </c>
      <c r="Z81">
        <v>10.42</v>
      </c>
      <c r="AA81">
        <v>111.56</v>
      </c>
      <c r="AB81">
        <v>0</v>
      </c>
      <c r="AC81">
        <v>316.52</v>
      </c>
      <c r="AD81">
        <v>176.57</v>
      </c>
      <c r="AE81">
        <v>23.8</v>
      </c>
      <c r="AF81">
        <v>4.13</v>
      </c>
      <c r="AG81">
        <v>68.7</v>
      </c>
      <c r="AH81">
        <v>661.09</v>
      </c>
      <c r="AI81">
        <v>772.65</v>
      </c>
      <c r="AJ81">
        <v>0</v>
      </c>
      <c r="AK81">
        <v>0</v>
      </c>
      <c r="AL81">
        <v>151.57</v>
      </c>
      <c r="AM81">
        <v>71.37</v>
      </c>
      <c r="AN81" t="e">
        <v>#N/A</v>
      </c>
      <c r="AO81">
        <v>71.37</v>
      </c>
      <c r="AP81" t="e">
        <v>#N/A</v>
      </c>
      <c r="AQ81">
        <v>1415.04</v>
      </c>
      <c r="AR81">
        <v>1408.29</v>
      </c>
      <c r="AS81">
        <v>1.3</v>
      </c>
      <c r="AT81">
        <v>1409.59</v>
      </c>
      <c r="AU81">
        <v>9.31</v>
      </c>
      <c r="AV81">
        <v>1418.9</v>
      </c>
      <c r="AW81">
        <v>0</v>
      </c>
      <c r="AX81">
        <v>179.31</v>
      </c>
      <c r="AY81">
        <v>554.91999999999996</v>
      </c>
      <c r="AZ81">
        <v>-22.55</v>
      </c>
      <c r="BA81">
        <v>159.38999999999999</v>
      </c>
      <c r="BB81">
        <v>0.3</v>
      </c>
      <c r="BC81" t="e">
        <v>#N/A</v>
      </c>
      <c r="BD81">
        <v>12.85</v>
      </c>
      <c r="BE81">
        <v>345.15</v>
      </c>
      <c r="BF81">
        <v>1229.3699999999999</v>
      </c>
      <c r="BG81">
        <v>189.53</v>
      </c>
      <c r="BH81">
        <v>189.53</v>
      </c>
      <c r="BI81">
        <v>0</v>
      </c>
      <c r="BJ81">
        <v>62.04</v>
      </c>
      <c r="BK81">
        <v>0.31</v>
      </c>
      <c r="BL81">
        <v>0.43</v>
      </c>
      <c r="BM81">
        <v>62.78</v>
      </c>
      <c r="BN81">
        <v>126.75</v>
      </c>
      <c r="BO81">
        <v>126.75</v>
      </c>
      <c r="BP81">
        <v>126.75</v>
      </c>
      <c r="BQ81">
        <v>36.74</v>
      </c>
      <c r="BR81">
        <v>7.27</v>
      </c>
      <c r="BS81" t="e">
        <v>#N/A</v>
      </c>
    </row>
    <row r="82" spans="1:71" x14ac:dyDescent="0.25">
      <c r="A82" t="s">
        <v>139</v>
      </c>
      <c r="B82">
        <v>2</v>
      </c>
      <c r="C82">
        <v>2022</v>
      </c>
      <c r="D82">
        <v>14.75</v>
      </c>
      <c r="E82">
        <v>14.75</v>
      </c>
      <c r="F82">
        <v>793.12</v>
      </c>
      <c r="G82">
        <v>793.12</v>
      </c>
      <c r="H82">
        <v>809.63</v>
      </c>
      <c r="I82">
        <v>0</v>
      </c>
      <c r="J82">
        <v>3.67</v>
      </c>
      <c r="K82" t="e">
        <v>#N/A</v>
      </c>
      <c r="L82">
        <v>3.67</v>
      </c>
      <c r="M82">
        <v>0</v>
      </c>
      <c r="N82">
        <v>45.54</v>
      </c>
      <c r="O82">
        <v>72.61</v>
      </c>
      <c r="P82">
        <v>0</v>
      </c>
      <c r="Q82">
        <v>118.15</v>
      </c>
      <c r="R82">
        <v>931.45</v>
      </c>
      <c r="S82">
        <v>0</v>
      </c>
      <c r="T82">
        <v>0</v>
      </c>
      <c r="U82">
        <v>107.59</v>
      </c>
      <c r="V82">
        <v>27.53</v>
      </c>
      <c r="W82">
        <v>136.35</v>
      </c>
      <c r="X82">
        <v>0.19</v>
      </c>
      <c r="Y82">
        <v>0</v>
      </c>
      <c r="Z82">
        <v>4.96</v>
      </c>
      <c r="AA82">
        <v>184.49</v>
      </c>
      <c r="AB82">
        <v>0</v>
      </c>
      <c r="AC82">
        <v>57.09</v>
      </c>
      <c r="AD82">
        <v>19.13</v>
      </c>
      <c r="AE82">
        <v>14.45</v>
      </c>
      <c r="AF82">
        <v>0</v>
      </c>
      <c r="AG82">
        <v>44.65</v>
      </c>
      <c r="AH82">
        <v>746.96</v>
      </c>
      <c r="AI82">
        <v>931.45</v>
      </c>
      <c r="AJ82">
        <v>0</v>
      </c>
      <c r="AK82">
        <v>0</v>
      </c>
      <c r="AL82">
        <v>1.73</v>
      </c>
      <c r="AM82">
        <v>611.64</v>
      </c>
      <c r="AN82">
        <v>611.64</v>
      </c>
      <c r="AO82">
        <v>0</v>
      </c>
      <c r="AP82" t="e">
        <v>#N/A</v>
      </c>
      <c r="AQ82">
        <v>867.1</v>
      </c>
      <c r="AR82">
        <v>867.1</v>
      </c>
      <c r="AS82">
        <v>12.86</v>
      </c>
      <c r="AT82">
        <v>879.96</v>
      </c>
      <c r="AU82">
        <v>38.64</v>
      </c>
      <c r="AV82">
        <v>918.6</v>
      </c>
      <c r="AW82">
        <v>0</v>
      </c>
      <c r="AX82">
        <v>245.39</v>
      </c>
      <c r="AY82">
        <v>131.83000000000001</v>
      </c>
      <c r="AZ82">
        <v>-8.4499999999999993</v>
      </c>
      <c r="BA82">
        <v>88.26</v>
      </c>
      <c r="BB82">
        <v>1.01</v>
      </c>
      <c r="BC82" t="e">
        <v>#N/A</v>
      </c>
      <c r="BD82">
        <v>5.07</v>
      </c>
      <c r="BE82">
        <v>237.71</v>
      </c>
      <c r="BF82">
        <v>712.12</v>
      </c>
      <c r="BG82">
        <v>206.48</v>
      </c>
      <c r="BH82">
        <v>206.48</v>
      </c>
      <c r="BI82">
        <v>0</v>
      </c>
      <c r="BJ82">
        <v>36.950000000000003</v>
      </c>
      <c r="BK82">
        <v>-0.11</v>
      </c>
      <c r="BL82">
        <v>0</v>
      </c>
      <c r="BM82">
        <v>36.840000000000003</v>
      </c>
      <c r="BN82">
        <v>169.64</v>
      </c>
      <c r="BO82">
        <v>169.64</v>
      </c>
      <c r="BP82">
        <v>169.64</v>
      </c>
      <c r="BQ82">
        <v>118.03</v>
      </c>
      <c r="BR82">
        <v>0</v>
      </c>
      <c r="BS82" t="e">
        <v>#N/A</v>
      </c>
    </row>
    <row r="83" spans="1:71" x14ac:dyDescent="0.25">
      <c r="A83" t="s">
        <v>139</v>
      </c>
      <c r="B83">
        <v>3</v>
      </c>
      <c r="C83">
        <v>2021</v>
      </c>
      <c r="D83">
        <v>14.75</v>
      </c>
      <c r="E83">
        <v>14.75</v>
      </c>
      <c r="F83">
        <v>741.42</v>
      </c>
      <c r="G83">
        <v>741.42</v>
      </c>
      <c r="H83">
        <v>757.11</v>
      </c>
      <c r="I83">
        <v>0</v>
      </c>
      <c r="J83">
        <v>1.18</v>
      </c>
      <c r="K83" t="e">
        <v>#N/A</v>
      </c>
      <c r="L83">
        <v>1.18</v>
      </c>
      <c r="M83">
        <v>0</v>
      </c>
      <c r="N83">
        <v>68.94</v>
      </c>
      <c r="O83">
        <v>61.44</v>
      </c>
      <c r="P83">
        <v>0</v>
      </c>
      <c r="Q83">
        <v>135.38</v>
      </c>
      <c r="R83">
        <v>893.66</v>
      </c>
      <c r="S83">
        <v>0</v>
      </c>
      <c r="T83">
        <v>0</v>
      </c>
      <c r="U83">
        <v>103.62</v>
      </c>
      <c r="V83">
        <v>25.23</v>
      </c>
      <c r="W83">
        <v>130.81</v>
      </c>
      <c r="X83">
        <v>0.08</v>
      </c>
      <c r="Y83">
        <v>0</v>
      </c>
      <c r="Z83">
        <v>3.89</v>
      </c>
      <c r="AA83">
        <v>177.78</v>
      </c>
      <c r="AB83">
        <v>0</v>
      </c>
      <c r="AC83">
        <v>43.17</v>
      </c>
      <c r="AD83">
        <v>22.45</v>
      </c>
      <c r="AE83">
        <v>9.83</v>
      </c>
      <c r="AF83">
        <v>0</v>
      </c>
      <c r="AG83">
        <v>55.89</v>
      </c>
      <c r="AH83">
        <v>715.88</v>
      </c>
      <c r="AI83">
        <v>893.66</v>
      </c>
      <c r="AJ83">
        <v>0</v>
      </c>
      <c r="AK83">
        <v>0</v>
      </c>
      <c r="AL83">
        <v>1.91</v>
      </c>
      <c r="AM83">
        <v>584.54999999999995</v>
      </c>
      <c r="AN83">
        <v>584.54999999999995</v>
      </c>
      <c r="AO83">
        <v>0</v>
      </c>
      <c r="AP83" t="e">
        <v>#N/A</v>
      </c>
      <c r="AQ83">
        <v>905.16</v>
      </c>
      <c r="AR83">
        <v>905.16</v>
      </c>
      <c r="AS83">
        <v>16.66</v>
      </c>
      <c r="AT83">
        <v>921.81</v>
      </c>
      <c r="AU83">
        <v>34.54</v>
      </c>
      <c r="AV83">
        <v>956.36</v>
      </c>
      <c r="AW83">
        <v>0</v>
      </c>
      <c r="AX83">
        <v>233.12</v>
      </c>
      <c r="AY83">
        <v>84.61</v>
      </c>
      <c r="AZ83">
        <v>11.99</v>
      </c>
      <c r="BA83">
        <v>84.97</v>
      </c>
      <c r="BB83">
        <v>1.38</v>
      </c>
      <c r="BC83" t="e">
        <v>#N/A</v>
      </c>
      <c r="BD83">
        <v>6.25</v>
      </c>
      <c r="BE83">
        <v>248.55</v>
      </c>
      <c r="BF83">
        <v>686</v>
      </c>
      <c r="BG83">
        <v>270.36</v>
      </c>
      <c r="BH83">
        <v>270.36</v>
      </c>
      <c r="BI83">
        <v>0</v>
      </c>
      <c r="BJ83">
        <v>47.35</v>
      </c>
      <c r="BK83">
        <v>-0.12</v>
      </c>
      <c r="BL83">
        <v>0</v>
      </c>
      <c r="BM83">
        <v>47.23</v>
      </c>
      <c r="BN83">
        <v>223.13</v>
      </c>
      <c r="BO83">
        <v>223.13</v>
      </c>
      <c r="BP83">
        <v>223.13</v>
      </c>
      <c r="BQ83">
        <v>118.03</v>
      </c>
      <c r="BR83">
        <v>0</v>
      </c>
      <c r="BS83" t="e">
        <v>#N/A</v>
      </c>
    </row>
    <row r="84" spans="1:71" x14ac:dyDescent="0.25">
      <c r="A84" t="s">
        <v>139</v>
      </c>
      <c r="B84">
        <v>4</v>
      </c>
      <c r="C84">
        <v>2020</v>
      </c>
      <c r="D84">
        <v>14.75</v>
      </c>
      <c r="E84">
        <v>14.75</v>
      </c>
      <c r="F84">
        <v>635.59</v>
      </c>
      <c r="G84">
        <v>635.59</v>
      </c>
      <c r="H84">
        <v>653.16999999999996</v>
      </c>
      <c r="I84">
        <v>0</v>
      </c>
      <c r="J84">
        <v>0</v>
      </c>
      <c r="K84" t="e">
        <v>#N/A</v>
      </c>
      <c r="L84">
        <v>0.04</v>
      </c>
      <c r="M84">
        <v>0</v>
      </c>
      <c r="N84">
        <v>81.13</v>
      </c>
      <c r="O84">
        <v>60.16</v>
      </c>
      <c r="P84">
        <v>0.11</v>
      </c>
      <c r="Q84">
        <v>161.38999999999999</v>
      </c>
      <c r="R84">
        <v>814.61</v>
      </c>
      <c r="S84">
        <v>0</v>
      </c>
      <c r="T84">
        <v>0</v>
      </c>
      <c r="U84">
        <v>107.77</v>
      </c>
      <c r="V84">
        <v>24.44</v>
      </c>
      <c r="W84">
        <v>134.61000000000001</v>
      </c>
      <c r="X84">
        <v>0</v>
      </c>
      <c r="Y84">
        <v>3.72</v>
      </c>
      <c r="Z84">
        <v>0.91</v>
      </c>
      <c r="AA84">
        <v>182.24</v>
      </c>
      <c r="AB84">
        <v>0</v>
      </c>
      <c r="AC84">
        <v>62.96</v>
      </c>
      <c r="AD84">
        <v>25.54</v>
      </c>
      <c r="AE84">
        <v>12.63</v>
      </c>
      <c r="AF84">
        <v>0.51</v>
      </c>
      <c r="AG84">
        <v>84.42</v>
      </c>
      <c r="AH84">
        <v>632.36</v>
      </c>
      <c r="AI84">
        <v>814.61</v>
      </c>
      <c r="AJ84">
        <v>0</v>
      </c>
      <c r="AK84">
        <v>0</v>
      </c>
      <c r="AL84">
        <v>1.94</v>
      </c>
      <c r="AM84">
        <v>446.3</v>
      </c>
      <c r="AN84">
        <v>446.29</v>
      </c>
      <c r="AO84">
        <v>0.01</v>
      </c>
      <c r="AP84" t="e">
        <v>#N/A</v>
      </c>
      <c r="AQ84">
        <v>825.76</v>
      </c>
      <c r="AR84">
        <v>825.76</v>
      </c>
      <c r="AS84">
        <v>26.45</v>
      </c>
      <c r="AT84">
        <v>852.21</v>
      </c>
      <c r="AU84">
        <v>29.91</v>
      </c>
      <c r="AV84">
        <v>882.12</v>
      </c>
      <c r="AW84">
        <v>0</v>
      </c>
      <c r="AX84">
        <v>267.95</v>
      </c>
      <c r="AY84">
        <v>18.16</v>
      </c>
      <c r="AZ84">
        <v>-12.58</v>
      </c>
      <c r="BA84">
        <v>86.92</v>
      </c>
      <c r="BB84">
        <v>4.25</v>
      </c>
      <c r="BC84" t="e">
        <v>#N/A</v>
      </c>
      <c r="BD84">
        <v>5.81</v>
      </c>
      <c r="BE84">
        <v>271.24</v>
      </c>
      <c r="BF84">
        <v>657.13</v>
      </c>
      <c r="BG84">
        <v>224.99</v>
      </c>
      <c r="BH84">
        <v>224.99</v>
      </c>
      <c r="BI84">
        <v>0</v>
      </c>
      <c r="BJ84">
        <v>40.35</v>
      </c>
      <c r="BK84">
        <v>-0.12</v>
      </c>
      <c r="BL84">
        <v>-0.02</v>
      </c>
      <c r="BM84">
        <v>40.21</v>
      </c>
      <c r="BN84">
        <v>184.77</v>
      </c>
      <c r="BO84">
        <v>184.77</v>
      </c>
      <c r="BP84">
        <v>184.77</v>
      </c>
      <c r="BQ84">
        <v>0</v>
      </c>
      <c r="BR84">
        <v>0</v>
      </c>
      <c r="BS84" t="e">
        <v>#N/A</v>
      </c>
    </row>
    <row r="85" spans="1:71" x14ac:dyDescent="0.25">
      <c r="A85" t="s">
        <v>139</v>
      </c>
      <c r="B85">
        <v>5</v>
      </c>
      <c r="C85">
        <v>2019</v>
      </c>
      <c r="D85">
        <v>14.75</v>
      </c>
      <c r="E85">
        <v>14.75</v>
      </c>
      <c r="F85">
        <v>449.73</v>
      </c>
      <c r="G85">
        <v>449.73</v>
      </c>
      <c r="H85">
        <v>467.36</v>
      </c>
      <c r="I85">
        <v>0</v>
      </c>
      <c r="J85">
        <v>0</v>
      </c>
      <c r="K85" t="e">
        <v>#N/A</v>
      </c>
      <c r="L85">
        <v>0.16</v>
      </c>
      <c r="M85">
        <v>0</v>
      </c>
      <c r="N85">
        <v>72.3</v>
      </c>
      <c r="O85">
        <v>39.74</v>
      </c>
      <c r="P85">
        <v>0.57999999999999996</v>
      </c>
      <c r="Q85">
        <v>137.62</v>
      </c>
      <c r="R85">
        <v>605.15</v>
      </c>
      <c r="S85">
        <v>0</v>
      </c>
      <c r="T85">
        <v>0</v>
      </c>
      <c r="U85">
        <v>111.12</v>
      </c>
      <c r="V85">
        <v>22.47</v>
      </c>
      <c r="W85">
        <v>133.88999999999999</v>
      </c>
      <c r="X85">
        <v>0</v>
      </c>
      <c r="Y85">
        <v>2.67</v>
      </c>
      <c r="Z85">
        <v>0.63</v>
      </c>
      <c r="AA85">
        <v>180.18</v>
      </c>
      <c r="AB85">
        <v>0</v>
      </c>
      <c r="AC85">
        <v>60.92</v>
      </c>
      <c r="AD85">
        <v>37.380000000000003</v>
      </c>
      <c r="AE85">
        <v>14.32</v>
      </c>
      <c r="AF85">
        <v>0.31</v>
      </c>
      <c r="AG85">
        <v>61.15</v>
      </c>
      <c r="AH85">
        <v>424.97</v>
      </c>
      <c r="AI85">
        <v>605.15</v>
      </c>
      <c r="AJ85">
        <v>0</v>
      </c>
      <c r="AK85">
        <v>0</v>
      </c>
      <c r="AL85">
        <v>0</v>
      </c>
      <c r="AM85">
        <v>250.88</v>
      </c>
      <c r="AN85">
        <v>237.14</v>
      </c>
      <c r="AO85">
        <v>13.74</v>
      </c>
      <c r="AP85" t="e">
        <v>#N/A</v>
      </c>
      <c r="AQ85">
        <v>890.07</v>
      </c>
      <c r="AR85">
        <v>890.07</v>
      </c>
      <c r="AS85">
        <v>28.41</v>
      </c>
      <c r="AT85">
        <v>918.48</v>
      </c>
      <c r="AU85">
        <v>17.010000000000002</v>
      </c>
      <c r="AV85">
        <v>935.49</v>
      </c>
      <c r="AW85">
        <v>0</v>
      </c>
      <c r="AX85">
        <v>297.02999999999997</v>
      </c>
      <c r="AY85">
        <v>12.47</v>
      </c>
      <c r="AZ85">
        <v>-6.03</v>
      </c>
      <c r="BA85">
        <v>97.17</v>
      </c>
      <c r="BB85">
        <v>1.17</v>
      </c>
      <c r="BC85" t="e">
        <v>#N/A</v>
      </c>
      <c r="BD85">
        <v>7.09</v>
      </c>
      <c r="BE85">
        <v>235.59</v>
      </c>
      <c r="BF85">
        <v>652.34</v>
      </c>
      <c r="BG85">
        <v>283.14999999999998</v>
      </c>
      <c r="BH85">
        <v>283.14999999999998</v>
      </c>
      <c r="BI85">
        <v>0</v>
      </c>
      <c r="BJ85">
        <v>62.15</v>
      </c>
      <c r="BK85">
        <v>-0.56999999999999995</v>
      </c>
      <c r="BL85">
        <v>-0.02</v>
      </c>
      <c r="BM85">
        <v>61.55</v>
      </c>
      <c r="BN85">
        <v>221.59</v>
      </c>
      <c r="BO85">
        <v>221.59</v>
      </c>
      <c r="BP85">
        <v>221.59</v>
      </c>
      <c r="BQ85">
        <v>206.5</v>
      </c>
      <c r="BR85">
        <v>42.45</v>
      </c>
      <c r="BS85" t="e">
        <v>#N/A</v>
      </c>
    </row>
    <row r="86" spans="1:71" x14ac:dyDescent="0.25">
      <c r="A86" t="s">
        <v>139</v>
      </c>
      <c r="B86">
        <v>6</v>
      </c>
      <c r="C86">
        <v>2018</v>
      </c>
      <c r="D86">
        <v>14.75</v>
      </c>
      <c r="E86">
        <v>14.75</v>
      </c>
      <c r="F86">
        <v>477.71</v>
      </c>
      <c r="G86">
        <v>477.71</v>
      </c>
      <c r="H86">
        <v>492.46</v>
      </c>
      <c r="I86">
        <v>0</v>
      </c>
      <c r="J86">
        <v>0</v>
      </c>
      <c r="K86" t="e">
        <v>#N/A</v>
      </c>
      <c r="L86">
        <v>0.74</v>
      </c>
      <c r="M86">
        <v>0</v>
      </c>
      <c r="N86">
        <v>59.94</v>
      </c>
      <c r="O86">
        <v>40.659999999999997</v>
      </c>
      <c r="P86">
        <v>0.22</v>
      </c>
      <c r="Q86">
        <v>114.31</v>
      </c>
      <c r="R86">
        <v>607.51</v>
      </c>
      <c r="S86">
        <v>0</v>
      </c>
      <c r="T86">
        <v>0</v>
      </c>
      <c r="U86">
        <v>115.26</v>
      </c>
      <c r="V86">
        <v>14.87</v>
      </c>
      <c r="W86">
        <v>130.35</v>
      </c>
      <c r="X86">
        <v>0</v>
      </c>
      <c r="Y86">
        <v>1.32</v>
      </c>
      <c r="Z86">
        <v>1.05</v>
      </c>
      <c r="AA86">
        <v>175.72</v>
      </c>
      <c r="AB86">
        <v>0</v>
      </c>
      <c r="AC86">
        <v>46.64</v>
      </c>
      <c r="AD86">
        <v>32.44</v>
      </c>
      <c r="AE86">
        <v>13.36</v>
      </c>
      <c r="AF86">
        <v>0.25</v>
      </c>
      <c r="AG86">
        <v>31.71</v>
      </c>
      <c r="AH86">
        <v>431.79</v>
      </c>
      <c r="AI86">
        <v>607.51</v>
      </c>
      <c r="AJ86">
        <v>0</v>
      </c>
      <c r="AK86">
        <v>0</v>
      </c>
      <c r="AL86">
        <v>0</v>
      </c>
      <c r="AM86">
        <v>307.39</v>
      </c>
      <c r="AN86">
        <v>307.39</v>
      </c>
      <c r="AO86">
        <v>0</v>
      </c>
      <c r="AP86" t="e">
        <v>#N/A</v>
      </c>
      <c r="AQ86">
        <v>809.11</v>
      </c>
      <c r="AR86">
        <v>807.75</v>
      </c>
      <c r="AS86">
        <v>19.37</v>
      </c>
      <c r="AT86">
        <v>827.13</v>
      </c>
      <c r="AU86">
        <v>24.43</v>
      </c>
      <c r="AV86">
        <v>851.56</v>
      </c>
      <c r="AW86">
        <v>0</v>
      </c>
      <c r="AX86">
        <v>238.9</v>
      </c>
      <c r="AY86">
        <v>33.07</v>
      </c>
      <c r="AZ86">
        <v>-2.4900000000000002</v>
      </c>
      <c r="BA86">
        <v>77.069999999999993</v>
      </c>
      <c r="BB86">
        <v>1.23</v>
      </c>
      <c r="BC86" t="e">
        <v>#N/A</v>
      </c>
      <c r="BD86">
        <v>7.38</v>
      </c>
      <c r="BE86">
        <v>218.01</v>
      </c>
      <c r="BF86">
        <v>581.80999999999995</v>
      </c>
      <c r="BG86">
        <v>269.75</v>
      </c>
      <c r="BH86">
        <v>269.75</v>
      </c>
      <c r="BI86">
        <v>0</v>
      </c>
      <c r="BJ86">
        <v>58.7</v>
      </c>
      <c r="BK86">
        <v>-0.03</v>
      </c>
      <c r="BL86">
        <v>-0.01</v>
      </c>
      <c r="BM86">
        <v>58.67</v>
      </c>
      <c r="BN86">
        <v>211.08</v>
      </c>
      <c r="BO86">
        <v>211.08</v>
      </c>
      <c r="BP86">
        <v>211.08</v>
      </c>
      <c r="BQ86">
        <v>177</v>
      </c>
      <c r="BR86">
        <v>36.03</v>
      </c>
      <c r="BS86" t="e">
        <v>#N/A</v>
      </c>
    </row>
    <row r="87" spans="1:71" x14ac:dyDescent="0.25">
      <c r="A87" t="s">
        <v>140</v>
      </c>
      <c r="B87">
        <v>2</v>
      </c>
      <c r="C87">
        <v>2022</v>
      </c>
      <c r="D87">
        <v>59.15</v>
      </c>
      <c r="E87">
        <v>237.49</v>
      </c>
      <c r="F87">
        <v>4821.88</v>
      </c>
      <c r="G87">
        <v>4821.88</v>
      </c>
      <c r="H87">
        <v>5059.37</v>
      </c>
      <c r="I87">
        <v>0</v>
      </c>
      <c r="J87">
        <v>337.26</v>
      </c>
      <c r="K87">
        <v>11.23</v>
      </c>
      <c r="L87">
        <v>2875.69</v>
      </c>
      <c r="M87">
        <v>0</v>
      </c>
      <c r="N87">
        <v>898.23</v>
      </c>
      <c r="O87">
        <v>365.94</v>
      </c>
      <c r="P87">
        <v>1.56</v>
      </c>
      <c r="Q87">
        <v>2255.34</v>
      </c>
      <c r="R87">
        <v>11480.21</v>
      </c>
      <c r="S87">
        <v>0</v>
      </c>
      <c r="T87">
        <v>0</v>
      </c>
      <c r="U87">
        <v>3370.87</v>
      </c>
      <c r="V87">
        <v>27.97</v>
      </c>
      <c r="W87">
        <v>4928.38</v>
      </c>
      <c r="X87">
        <v>39.270000000000003</v>
      </c>
      <c r="Y87">
        <v>0</v>
      </c>
      <c r="Z87">
        <v>127.91</v>
      </c>
      <c r="AA87">
        <v>5124.78</v>
      </c>
      <c r="AB87">
        <v>0</v>
      </c>
      <c r="AC87">
        <v>2905.33</v>
      </c>
      <c r="AD87">
        <v>796.22</v>
      </c>
      <c r="AE87">
        <v>2016.29</v>
      </c>
      <c r="AF87">
        <v>0</v>
      </c>
      <c r="AG87">
        <v>625.11</v>
      </c>
      <c r="AH87">
        <v>6355.43</v>
      </c>
      <c r="AI87">
        <v>11480.21</v>
      </c>
      <c r="AJ87">
        <v>0</v>
      </c>
      <c r="AK87">
        <v>0</v>
      </c>
      <c r="AL87">
        <v>350.15</v>
      </c>
      <c r="AM87">
        <v>12.49</v>
      </c>
      <c r="AN87" t="s">
        <v>53</v>
      </c>
      <c r="AO87">
        <v>12.49</v>
      </c>
      <c r="AP87" t="e">
        <v>#N/A</v>
      </c>
      <c r="AQ87">
        <v>12683.14</v>
      </c>
      <c r="AR87">
        <v>12683.14</v>
      </c>
      <c r="AS87">
        <v>46.09</v>
      </c>
      <c r="AT87">
        <v>12729.23</v>
      </c>
      <c r="AU87">
        <v>120.15</v>
      </c>
      <c r="AV87">
        <v>12849.38</v>
      </c>
      <c r="AW87">
        <v>0</v>
      </c>
      <c r="AX87">
        <v>10967.9</v>
      </c>
      <c r="AY87">
        <v>356.33</v>
      </c>
      <c r="AZ87">
        <v>77.83</v>
      </c>
      <c r="BA87">
        <v>153.43</v>
      </c>
      <c r="BB87">
        <v>142.19999999999999</v>
      </c>
      <c r="BC87">
        <v>54.9</v>
      </c>
      <c r="BD87">
        <v>138.5</v>
      </c>
      <c r="BE87">
        <v>586.83000000000004</v>
      </c>
      <c r="BF87">
        <v>12937.33</v>
      </c>
      <c r="BG87">
        <v>-87.95</v>
      </c>
      <c r="BH87">
        <v>-87.95</v>
      </c>
      <c r="BI87">
        <v>0</v>
      </c>
      <c r="BJ87">
        <v>0.01</v>
      </c>
      <c r="BK87">
        <v>0.01</v>
      </c>
      <c r="BL87">
        <v>0</v>
      </c>
      <c r="BM87">
        <v>0.03</v>
      </c>
      <c r="BN87">
        <v>-87.97</v>
      </c>
      <c r="BO87">
        <v>-87.97</v>
      </c>
      <c r="BP87">
        <v>-87.97</v>
      </c>
      <c r="BQ87">
        <v>0</v>
      </c>
      <c r="BR87">
        <v>0</v>
      </c>
      <c r="BS87" t="e">
        <v>#N/A</v>
      </c>
    </row>
    <row r="88" spans="1:71" x14ac:dyDescent="0.25">
      <c r="A88" t="s">
        <v>140</v>
      </c>
      <c r="B88">
        <v>3</v>
      </c>
      <c r="C88">
        <v>2021</v>
      </c>
      <c r="D88">
        <v>59.15</v>
      </c>
      <c r="E88">
        <v>221.29</v>
      </c>
      <c r="F88">
        <v>4003.26</v>
      </c>
      <c r="G88">
        <v>4003.26</v>
      </c>
      <c r="H88">
        <v>4224.55</v>
      </c>
      <c r="I88">
        <v>0</v>
      </c>
      <c r="J88">
        <v>326.08</v>
      </c>
      <c r="K88">
        <v>9.24</v>
      </c>
      <c r="L88">
        <v>3053.03</v>
      </c>
      <c r="M88">
        <v>0</v>
      </c>
      <c r="N88">
        <v>660.57</v>
      </c>
      <c r="O88">
        <v>459.14</v>
      </c>
      <c r="P88">
        <v>1.28</v>
      </c>
      <c r="Q88">
        <v>1731.24</v>
      </c>
      <c r="R88">
        <v>9008.82</v>
      </c>
      <c r="S88">
        <v>0</v>
      </c>
      <c r="T88">
        <v>0</v>
      </c>
      <c r="U88">
        <v>3438.59</v>
      </c>
      <c r="V88">
        <v>26.83</v>
      </c>
      <c r="W88">
        <v>4981.28</v>
      </c>
      <c r="X88">
        <v>166.37</v>
      </c>
      <c r="Y88">
        <v>34.47</v>
      </c>
      <c r="Z88">
        <v>119.97</v>
      </c>
      <c r="AA88">
        <v>5320.71</v>
      </c>
      <c r="AB88">
        <v>0</v>
      </c>
      <c r="AC88">
        <v>2363.36</v>
      </c>
      <c r="AD88">
        <v>438.42</v>
      </c>
      <c r="AE88">
        <v>386.69</v>
      </c>
      <c r="AF88">
        <v>1.1200000000000001</v>
      </c>
      <c r="AG88">
        <v>486.74</v>
      </c>
      <c r="AH88">
        <v>3688.11</v>
      </c>
      <c r="AI88">
        <v>9008.82</v>
      </c>
      <c r="AJ88">
        <v>0</v>
      </c>
      <c r="AK88">
        <v>0</v>
      </c>
      <c r="AL88">
        <v>86.97</v>
      </c>
      <c r="AM88">
        <v>11.76</v>
      </c>
      <c r="AN88" t="s">
        <v>53</v>
      </c>
      <c r="AO88">
        <v>12.53</v>
      </c>
      <c r="AP88" t="e">
        <v>#N/A</v>
      </c>
      <c r="AQ88">
        <v>11948.23</v>
      </c>
      <c r="AR88">
        <v>11948.23</v>
      </c>
      <c r="AS88">
        <v>78.819999999999993</v>
      </c>
      <c r="AT88">
        <v>12027.05</v>
      </c>
      <c r="AU88">
        <v>36.89</v>
      </c>
      <c r="AV88">
        <v>12063.94</v>
      </c>
      <c r="AW88">
        <v>0</v>
      </c>
      <c r="AX88">
        <v>9168.17</v>
      </c>
      <c r="AY88">
        <v>1518.61</v>
      </c>
      <c r="AZ88">
        <v>5.64</v>
      </c>
      <c r="BA88">
        <v>159.94</v>
      </c>
      <c r="BB88">
        <v>970.38</v>
      </c>
      <c r="BC88">
        <v>5195.3500000000004</v>
      </c>
      <c r="BD88">
        <v>142.79</v>
      </c>
      <c r="BE88">
        <v>657.56</v>
      </c>
      <c r="BF88">
        <v>18249.599999999999</v>
      </c>
      <c r="BG88">
        <v>-6185.66</v>
      </c>
      <c r="BH88">
        <v>-6185.66</v>
      </c>
      <c r="BI88">
        <v>0</v>
      </c>
      <c r="BJ88">
        <v>-0.45</v>
      </c>
      <c r="BK88">
        <v>-445.34</v>
      </c>
      <c r="BL88">
        <v>8.4</v>
      </c>
      <c r="BM88">
        <v>-437.39</v>
      </c>
      <c r="BN88">
        <v>-5748.27</v>
      </c>
      <c r="BO88">
        <v>-5748.27</v>
      </c>
      <c r="BP88">
        <v>-5748.27</v>
      </c>
      <c r="BQ88">
        <v>0</v>
      </c>
      <c r="BR88">
        <v>0</v>
      </c>
      <c r="BS88" t="e">
        <v>#N/A</v>
      </c>
    </row>
    <row r="89" spans="1:71" x14ac:dyDescent="0.25">
      <c r="A89" t="s">
        <v>140</v>
      </c>
      <c r="B89">
        <v>4</v>
      </c>
      <c r="C89">
        <v>2020</v>
      </c>
      <c r="D89">
        <v>59.15</v>
      </c>
      <c r="E89">
        <v>206.56</v>
      </c>
      <c r="F89">
        <v>3311.75</v>
      </c>
      <c r="G89">
        <v>3311.75</v>
      </c>
      <c r="H89">
        <v>3518.31</v>
      </c>
      <c r="I89">
        <v>0</v>
      </c>
      <c r="J89">
        <v>311.54000000000002</v>
      </c>
      <c r="K89">
        <v>8.99</v>
      </c>
      <c r="L89">
        <v>3126.95</v>
      </c>
      <c r="M89">
        <v>0</v>
      </c>
      <c r="N89">
        <v>172.01</v>
      </c>
      <c r="O89">
        <v>418.94</v>
      </c>
      <c r="P89">
        <v>1.1100000000000001</v>
      </c>
      <c r="Q89">
        <v>1222.3499999999999</v>
      </c>
      <c r="R89">
        <v>7867.61</v>
      </c>
      <c r="S89">
        <v>0</v>
      </c>
      <c r="T89">
        <v>0</v>
      </c>
      <c r="U89">
        <v>3554.15</v>
      </c>
      <c r="V89">
        <v>25.2</v>
      </c>
      <c r="W89">
        <v>5095.21</v>
      </c>
      <c r="X89">
        <v>0</v>
      </c>
      <c r="Y89">
        <v>35.549999999999997</v>
      </c>
      <c r="Z89">
        <v>120.77</v>
      </c>
      <c r="AA89">
        <v>5258.9</v>
      </c>
      <c r="AB89">
        <v>0</v>
      </c>
      <c r="AC89">
        <v>1354.61</v>
      </c>
      <c r="AD89">
        <v>273.99</v>
      </c>
      <c r="AE89">
        <v>455.26</v>
      </c>
      <c r="AF89">
        <v>1.2</v>
      </c>
      <c r="AG89">
        <v>510.83</v>
      </c>
      <c r="AH89">
        <v>2608.71</v>
      </c>
      <c r="AI89">
        <v>7867.61</v>
      </c>
      <c r="AJ89">
        <v>0</v>
      </c>
      <c r="AK89">
        <v>0</v>
      </c>
      <c r="AL89">
        <v>35.93</v>
      </c>
      <c r="AM89">
        <v>12.81</v>
      </c>
      <c r="AN89">
        <v>0.93</v>
      </c>
      <c r="AO89">
        <v>12.4</v>
      </c>
      <c r="AP89" t="e">
        <v>#N/A</v>
      </c>
      <c r="AQ89">
        <v>19073.150000000001</v>
      </c>
      <c r="AR89">
        <v>19073.150000000001</v>
      </c>
      <c r="AS89">
        <v>99.74</v>
      </c>
      <c r="AT89">
        <v>19172.89</v>
      </c>
      <c r="AU89">
        <v>107.6</v>
      </c>
      <c r="AV89">
        <v>19280.490000000002</v>
      </c>
      <c r="AW89">
        <v>0</v>
      </c>
      <c r="AX89">
        <v>10358.040000000001</v>
      </c>
      <c r="AY89">
        <v>6391.05</v>
      </c>
      <c r="AZ89">
        <v>398.23</v>
      </c>
      <c r="BA89">
        <v>193.21</v>
      </c>
      <c r="BB89">
        <v>960.59</v>
      </c>
      <c r="BC89">
        <v>1315.4</v>
      </c>
      <c r="BD89">
        <v>158.87</v>
      </c>
      <c r="BE89">
        <v>805.65</v>
      </c>
      <c r="BF89">
        <v>21049.72</v>
      </c>
      <c r="BG89">
        <v>-1769.23</v>
      </c>
      <c r="BH89">
        <v>-1735.95</v>
      </c>
      <c r="BI89">
        <v>0</v>
      </c>
      <c r="BJ89">
        <v>0</v>
      </c>
      <c r="BK89">
        <v>-342.27</v>
      </c>
      <c r="BL89">
        <v>-31.9</v>
      </c>
      <c r="BM89">
        <v>-374.17</v>
      </c>
      <c r="BN89">
        <v>-1361.78</v>
      </c>
      <c r="BO89">
        <v>-1361.78</v>
      </c>
      <c r="BP89">
        <v>-1361.78</v>
      </c>
      <c r="BQ89">
        <v>0</v>
      </c>
      <c r="BR89">
        <v>0</v>
      </c>
      <c r="BS89" t="e">
        <v>#N/A</v>
      </c>
    </row>
    <row r="90" spans="1:71" x14ac:dyDescent="0.25">
      <c r="A90" t="s">
        <v>140</v>
      </c>
      <c r="B90">
        <v>5</v>
      </c>
      <c r="C90">
        <v>2019</v>
      </c>
      <c r="D90">
        <v>65.290000000000006</v>
      </c>
      <c r="E90">
        <v>66.930000000000007</v>
      </c>
      <c r="F90">
        <v>-4543.49</v>
      </c>
      <c r="G90">
        <v>-4543.49</v>
      </c>
      <c r="H90">
        <v>-4476.57</v>
      </c>
      <c r="I90">
        <v>0</v>
      </c>
      <c r="J90">
        <v>5.53</v>
      </c>
      <c r="K90">
        <v>6.81</v>
      </c>
      <c r="L90">
        <v>26.78</v>
      </c>
      <c r="M90">
        <v>0</v>
      </c>
      <c r="N90">
        <v>2235.38</v>
      </c>
      <c r="O90">
        <v>2869.71</v>
      </c>
      <c r="P90">
        <v>1.76</v>
      </c>
      <c r="Q90">
        <v>12386.65</v>
      </c>
      <c r="R90">
        <v>7936.86</v>
      </c>
      <c r="S90">
        <v>0</v>
      </c>
      <c r="T90">
        <v>0</v>
      </c>
      <c r="U90">
        <v>3708.08</v>
      </c>
      <c r="V90">
        <v>26.91</v>
      </c>
      <c r="W90">
        <v>5250.89</v>
      </c>
      <c r="X90">
        <v>0</v>
      </c>
      <c r="Y90">
        <v>35.299999999999997</v>
      </c>
      <c r="Z90">
        <v>100.53</v>
      </c>
      <c r="AA90">
        <v>5401.22</v>
      </c>
      <c r="AB90">
        <v>0</v>
      </c>
      <c r="AC90">
        <v>1260.8499999999999</v>
      </c>
      <c r="AD90">
        <v>262.24</v>
      </c>
      <c r="AE90">
        <v>430.04</v>
      </c>
      <c r="AF90">
        <v>1.1299999999999999</v>
      </c>
      <c r="AG90">
        <v>564.6</v>
      </c>
      <c r="AH90">
        <v>2535.65</v>
      </c>
      <c r="AI90">
        <v>7936.86</v>
      </c>
      <c r="AJ90">
        <v>0</v>
      </c>
      <c r="AK90">
        <v>0</v>
      </c>
      <c r="AL90">
        <v>1249.1300000000001</v>
      </c>
      <c r="AM90">
        <v>16.79</v>
      </c>
      <c r="AN90">
        <v>1.21</v>
      </c>
      <c r="AO90">
        <v>15.59</v>
      </c>
      <c r="AP90" t="e">
        <v>#N/A</v>
      </c>
      <c r="AQ90">
        <v>29904.69</v>
      </c>
      <c r="AR90">
        <v>29904.69</v>
      </c>
      <c r="AS90">
        <v>335.8</v>
      </c>
      <c r="AT90">
        <v>30240.49</v>
      </c>
      <c r="AU90">
        <v>97.13</v>
      </c>
      <c r="AV90">
        <v>30337.62</v>
      </c>
      <c r="AW90">
        <v>0</v>
      </c>
      <c r="AX90">
        <v>12623.33</v>
      </c>
      <c r="AY90">
        <v>15132.91</v>
      </c>
      <c r="AZ90">
        <v>295.12</v>
      </c>
      <c r="BA90">
        <v>224.45</v>
      </c>
      <c r="BB90">
        <v>1361.17</v>
      </c>
      <c r="BC90">
        <v>254.48</v>
      </c>
      <c r="BD90">
        <v>166.68</v>
      </c>
      <c r="BE90">
        <v>1007.08</v>
      </c>
      <c r="BF90">
        <v>31726.73</v>
      </c>
      <c r="BG90">
        <v>-1389.11</v>
      </c>
      <c r="BH90">
        <v>-1386.72</v>
      </c>
      <c r="BI90">
        <v>0</v>
      </c>
      <c r="BJ90">
        <v>-0.44</v>
      </c>
      <c r="BK90">
        <v>-78.98</v>
      </c>
      <c r="BL90">
        <v>-0.74</v>
      </c>
      <c r="BM90">
        <v>-80.16</v>
      </c>
      <c r="BN90">
        <v>-1306.56</v>
      </c>
      <c r="BO90">
        <v>-1306.56</v>
      </c>
      <c r="BP90">
        <v>-1306.56</v>
      </c>
      <c r="BQ90">
        <v>0</v>
      </c>
      <c r="BR90">
        <v>0</v>
      </c>
      <c r="BS90" t="e">
        <v>#N/A</v>
      </c>
    </row>
    <row r="91" spans="1:71" x14ac:dyDescent="0.25">
      <c r="A91" t="s">
        <v>140</v>
      </c>
      <c r="B91">
        <v>6</v>
      </c>
      <c r="C91">
        <v>2018</v>
      </c>
      <c r="D91">
        <v>65.290000000000006</v>
      </c>
      <c r="E91">
        <v>66.83</v>
      </c>
      <c r="F91">
        <v>-4613.8900000000003</v>
      </c>
      <c r="G91">
        <v>-4613.8900000000003</v>
      </c>
      <c r="H91">
        <v>-4547.0600000000004</v>
      </c>
      <c r="I91">
        <v>0</v>
      </c>
      <c r="J91">
        <v>6.06</v>
      </c>
      <c r="K91">
        <v>0</v>
      </c>
      <c r="L91">
        <v>62.28</v>
      </c>
      <c r="M91">
        <v>0</v>
      </c>
      <c r="N91">
        <v>2907.92</v>
      </c>
      <c r="O91">
        <v>2697.76</v>
      </c>
      <c r="P91">
        <v>7.56</v>
      </c>
      <c r="Q91">
        <v>12205.34</v>
      </c>
      <c r="R91">
        <v>7720.57</v>
      </c>
      <c r="S91">
        <v>0</v>
      </c>
      <c r="T91">
        <v>0</v>
      </c>
      <c r="U91">
        <v>3841.68</v>
      </c>
      <c r="V91">
        <v>28.12</v>
      </c>
      <c r="W91">
        <v>5386.14</v>
      </c>
      <c r="X91">
        <v>0</v>
      </c>
      <c r="Y91">
        <v>39.130000000000003</v>
      </c>
      <c r="Z91">
        <v>115.8</v>
      </c>
      <c r="AA91">
        <v>5575.78</v>
      </c>
      <c r="AB91">
        <v>0</v>
      </c>
      <c r="AC91">
        <v>1191.06</v>
      </c>
      <c r="AD91">
        <v>249.61</v>
      </c>
      <c r="AE91">
        <v>176.43</v>
      </c>
      <c r="AF91">
        <v>5.59</v>
      </c>
      <c r="AG91">
        <v>506.29</v>
      </c>
      <c r="AH91">
        <v>2144.79</v>
      </c>
      <c r="AI91">
        <v>7720.57</v>
      </c>
      <c r="AJ91">
        <v>0</v>
      </c>
      <c r="AK91">
        <v>0</v>
      </c>
      <c r="AL91">
        <v>1223.6600000000001</v>
      </c>
      <c r="AM91">
        <v>15.8</v>
      </c>
      <c r="AN91">
        <v>1.1100000000000001</v>
      </c>
      <c r="AO91">
        <v>14.69</v>
      </c>
      <c r="AP91" t="e">
        <v>#N/A</v>
      </c>
      <c r="AQ91">
        <v>31086.99</v>
      </c>
      <c r="AR91">
        <v>30996.03</v>
      </c>
      <c r="AS91">
        <v>566.33000000000004</v>
      </c>
      <c r="AT91">
        <v>31562.35</v>
      </c>
      <c r="AU91">
        <v>198.75</v>
      </c>
      <c r="AV91">
        <v>31761.1</v>
      </c>
      <c r="AW91">
        <v>0</v>
      </c>
      <c r="AX91">
        <v>13191.77</v>
      </c>
      <c r="AY91">
        <v>15519.93</v>
      </c>
      <c r="AZ91">
        <v>250.83</v>
      </c>
      <c r="BA91">
        <v>224.59</v>
      </c>
      <c r="BB91">
        <v>551.15</v>
      </c>
      <c r="BC91">
        <v>0</v>
      </c>
      <c r="BD91">
        <v>160.34</v>
      </c>
      <c r="BE91">
        <v>1812.33</v>
      </c>
      <c r="BF91">
        <v>31710.95</v>
      </c>
      <c r="BG91">
        <v>50.15</v>
      </c>
      <c r="BH91">
        <v>102.47</v>
      </c>
      <c r="BI91">
        <v>0</v>
      </c>
      <c r="BJ91">
        <v>24.13</v>
      </c>
      <c r="BK91">
        <v>-2.99</v>
      </c>
      <c r="BL91">
        <v>3.74</v>
      </c>
      <c r="BM91">
        <v>24.88</v>
      </c>
      <c r="BN91">
        <v>77.59</v>
      </c>
      <c r="BO91">
        <v>77.59</v>
      </c>
      <c r="BP91">
        <v>77.59</v>
      </c>
      <c r="BQ91">
        <v>5.35</v>
      </c>
      <c r="BR91">
        <v>1.1100000000000001</v>
      </c>
      <c r="BS91" t="e">
        <v>#N/A</v>
      </c>
    </row>
    <row r="92" spans="1:71" x14ac:dyDescent="0.25">
      <c r="A92" t="s">
        <v>147</v>
      </c>
      <c r="B92">
        <v>2</v>
      </c>
      <c r="C92">
        <v>2022</v>
      </c>
      <c r="D92">
        <v>433.03</v>
      </c>
      <c r="E92">
        <v>433.03</v>
      </c>
      <c r="F92">
        <v>3646.88</v>
      </c>
      <c r="G92">
        <v>3646.88</v>
      </c>
      <c r="H92">
        <v>4079.91</v>
      </c>
      <c r="I92">
        <v>0</v>
      </c>
      <c r="J92">
        <v>31.94</v>
      </c>
      <c r="K92">
        <v>208.54</v>
      </c>
      <c r="L92">
        <v>2364.9499999999998</v>
      </c>
      <c r="M92">
        <v>0</v>
      </c>
      <c r="N92">
        <v>711.75</v>
      </c>
      <c r="O92">
        <v>1630.26</v>
      </c>
      <c r="P92">
        <v>49.74</v>
      </c>
      <c r="Q92">
        <v>3020.25</v>
      </c>
      <c r="R92">
        <v>9581.89</v>
      </c>
      <c r="S92">
        <v>0</v>
      </c>
      <c r="T92">
        <v>0</v>
      </c>
      <c r="U92">
        <v>5727.97</v>
      </c>
      <c r="V92">
        <v>496.61</v>
      </c>
      <c r="W92">
        <v>6783.15</v>
      </c>
      <c r="X92">
        <v>2.41</v>
      </c>
      <c r="Y92">
        <v>41.26</v>
      </c>
      <c r="Z92">
        <v>184.73</v>
      </c>
      <c r="AA92">
        <v>7035.78</v>
      </c>
      <c r="AB92">
        <v>0</v>
      </c>
      <c r="AC92">
        <v>1448.09</v>
      </c>
      <c r="AD92">
        <v>221.25</v>
      </c>
      <c r="AE92">
        <v>336.62</v>
      </c>
      <c r="AF92">
        <v>9.4499999999999993</v>
      </c>
      <c r="AG92">
        <v>530.70000000000005</v>
      </c>
      <c r="AH92">
        <v>2546.11</v>
      </c>
      <c r="AI92">
        <v>9581.89</v>
      </c>
      <c r="AJ92">
        <v>0</v>
      </c>
      <c r="AK92">
        <v>0</v>
      </c>
      <c r="AL92">
        <v>975.75</v>
      </c>
      <c r="AM92">
        <v>0</v>
      </c>
      <c r="AN92" t="e">
        <v>#N/A</v>
      </c>
      <c r="AO92" t="e">
        <v>#N/A</v>
      </c>
      <c r="AP92" t="e">
        <v>#N/A</v>
      </c>
      <c r="AQ92">
        <v>8777.41</v>
      </c>
      <c r="AR92">
        <v>8642.35</v>
      </c>
      <c r="AS92">
        <v>180.88</v>
      </c>
      <c r="AT92">
        <v>8823.23</v>
      </c>
      <c r="AU92">
        <v>67.930000000000007</v>
      </c>
      <c r="AV92">
        <v>8891.16</v>
      </c>
      <c r="AW92">
        <v>0</v>
      </c>
      <c r="AX92">
        <v>3968.91</v>
      </c>
      <c r="AY92">
        <v>165.47</v>
      </c>
      <c r="AZ92">
        <v>-99.72</v>
      </c>
      <c r="BA92">
        <v>1007.7</v>
      </c>
      <c r="BB92">
        <v>184.7</v>
      </c>
      <c r="BC92" t="e">
        <v>#N/A</v>
      </c>
      <c r="BD92">
        <v>531.26</v>
      </c>
      <c r="BE92">
        <v>2126.23</v>
      </c>
      <c r="BF92">
        <v>7884.55</v>
      </c>
      <c r="BG92">
        <v>1006.61</v>
      </c>
      <c r="BH92">
        <v>1006.61</v>
      </c>
      <c r="BI92">
        <v>0</v>
      </c>
      <c r="BJ92">
        <v>134.19999999999999</v>
      </c>
      <c r="BK92">
        <v>91.35</v>
      </c>
      <c r="BL92">
        <v>35.01</v>
      </c>
      <c r="BM92">
        <v>260.56</v>
      </c>
      <c r="BN92">
        <v>746.05</v>
      </c>
      <c r="BO92">
        <v>746.05</v>
      </c>
      <c r="BP92">
        <v>746.05</v>
      </c>
      <c r="BQ92">
        <v>108.26</v>
      </c>
      <c r="BR92">
        <v>0</v>
      </c>
      <c r="BS92" t="e">
        <v>#N/A</v>
      </c>
    </row>
    <row r="93" spans="1:71" x14ac:dyDescent="0.25">
      <c r="A93" t="s">
        <v>147</v>
      </c>
      <c r="B93">
        <v>3</v>
      </c>
      <c r="C93">
        <v>2021</v>
      </c>
      <c r="D93">
        <v>288.69</v>
      </c>
      <c r="E93">
        <v>288.69</v>
      </c>
      <c r="F93">
        <v>3235.31</v>
      </c>
      <c r="G93">
        <v>3235.31</v>
      </c>
      <c r="H93">
        <v>3524</v>
      </c>
      <c r="I93">
        <v>0</v>
      </c>
      <c r="J93">
        <v>25.17</v>
      </c>
      <c r="K93">
        <v>203.91</v>
      </c>
      <c r="L93">
        <v>2434.64</v>
      </c>
      <c r="M93">
        <v>0</v>
      </c>
      <c r="N93">
        <v>511.39</v>
      </c>
      <c r="O93">
        <v>1176.54</v>
      </c>
      <c r="P93">
        <v>33.17</v>
      </c>
      <c r="Q93">
        <v>2434.9499999999998</v>
      </c>
      <c r="R93">
        <v>8458.3799999999992</v>
      </c>
      <c r="S93">
        <v>0</v>
      </c>
      <c r="T93">
        <v>0</v>
      </c>
      <c r="U93">
        <v>5827.19</v>
      </c>
      <c r="V93">
        <v>66.819999999999993</v>
      </c>
      <c r="W93">
        <v>6451.2</v>
      </c>
      <c r="X93">
        <v>11.02</v>
      </c>
      <c r="Y93">
        <v>41.79</v>
      </c>
      <c r="Z93">
        <v>130.47</v>
      </c>
      <c r="AA93">
        <v>6658.71</v>
      </c>
      <c r="AB93">
        <v>0</v>
      </c>
      <c r="AC93">
        <v>928.8</v>
      </c>
      <c r="AD93">
        <v>241.8</v>
      </c>
      <c r="AE93">
        <v>190.05</v>
      </c>
      <c r="AF93">
        <v>10.02</v>
      </c>
      <c r="AG93">
        <v>429.01</v>
      </c>
      <c r="AH93">
        <v>1799.68</v>
      </c>
      <c r="AI93">
        <v>8458.3799999999992</v>
      </c>
      <c r="AJ93">
        <v>0</v>
      </c>
      <c r="AK93">
        <v>0</v>
      </c>
      <c r="AL93">
        <v>461.75</v>
      </c>
      <c r="AM93">
        <v>0</v>
      </c>
      <c r="AN93" t="e">
        <v>#N/A</v>
      </c>
      <c r="AO93" t="e">
        <v>#N/A</v>
      </c>
      <c r="AP93" t="e">
        <v>#N/A</v>
      </c>
      <c r="AQ93">
        <v>6466.11</v>
      </c>
      <c r="AR93">
        <v>6360.46</v>
      </c>
      <c r="AS93">
        <v>89.68</v>
      </c>
      <c r="AT93">
        <v>6450.14</v>
      </c>
      <c r="AU93">
        <v>36.97</v>
      </c>
      <c r="AV93">
        <v>6487.11</v>
      </c>
      <c r="AW93">
        <v>0</v>
      </c>
      <c r="AX93">
        <v>2688.51</v>
      </c>
      <c r="AY93">
        <v>92.59</v>
      </c>
      <c r="AZ93">
        <v>-17.16</v>
      </c>
      <c r="BA93">
        <v>889.74</v>
      </c>
      <c r="BB93">
        <v>281.10000000000002</v>
      </c>
      <c r="BC93" t="e">
        <v>#N/A</v>
      </c>
      <c r="BD93">
        <v>528.70000000000005</v>
      </c>
      <c r="BE93">
        <v>1594.6</v>
      </c>
      <c r="BF93">
        <v>6058.08</v>
      </c>
      <c r="BG93">
        <v>429.03</v>
      </c>
      <c r="BH93">
        <v>429.03</v>
      </c>
      <c r="BI93">
        <v>0</v>
      </c>
      <c r="BJ93">
        <v>42.39</v>
      </c>
      <c r="BK93">
        <v>-52.52</v>
      </c>
      <c r="BL93">
        <v>15.37</v>
      </c>
      <c r="BM93">
        <v>5.23</v>
      </c>
      <c r="BN93">
        <v>423.8</v>
      </c>
      <c r="BO93">
        <v>423.8</v>
      </c>
      <c r="BP93">
        <v>423.8</v>
      </c>
      <c r="BQ93">
        <v>72.17</v>
      </c>
      <c r="BR93">
        <v>0</v>
      </c>
      <c r="BS93" t="e">
        <v>#N/A</v>
      </c>
    </row>
    <row r="94" spans="1:71" x14ac:dyDescent="0.25">
      <c r="A94" t="s">
        <v>147</v>
      </c>
      <c r="B94">
        <v>4</v>
      </c>
      <c r="C94">
        <v>2020</v>
      </c>
      <c r="D94">
        <v>288.69</v>
      </c>
      <c r="E94">
        <v>288.69</v>
      </c>
      <c r="F94">
        <v>3039.73</v>
      </c>
      <c r="G94">
        <v>3039.73</v>
      </c>
      <c r="H94">
        <v>3328.42</v>
      </c>
      <c r="I94">
        <v>0</v>
      </c>
      <c r="J94">
        <v>0.82</v>
      </c>
      <c r="K94">
        <v>170.34</v>
      </c>
      <c r="L94">
        <v>2809.04</v>
      </c>
      <c r="M94">
        <v>0</v>
      </c>
      <c r="N94">
        <v>477.66</v>
      </c>
      <c r="O94">
        <v>1245.5</v>
      </c>
      <c r="P94">
        <v>29.98</v>
      </c>
      <c r="Q94">
        <v>2220.29</v>
      </c>
      <c r="R94">
        <v>8388.43</v>
      </c>
      <c r="S94">
        <v>0</v>
      </c>
      <c r="T94">
        <v>0</v>
      </c>
      <c r="U94">
        <v>5892.5</v>
      </c>
      <c r="V94">
        <v>63.82</v>
      </c>
      <c r="W94">
        <v>6518.64</v>
      </c>
      <c r="X94">
        <v>12.85</v>
      </c>
      <c r="Y94">
        <v>44.55</v>
      </c>
      <c r="Z94">
        <v>116.29</v>
      </c>
      <c r="AA94">
        <v>6716.55</v>
      </c>
      <c r="AB94">
        <v>0</v>
      </c>
      <c r="AC94">
        <v>881.51</v>
      </c>
      <c r="AD94">
        <v>172.56</v>
      </c>
      <c r="AE94">
        <v>171.08</v>
      </c>
      <c r="AF94">
        <v>6.94</v>
      </c>
      <c r="AG94">
        <v>439.8</v>
      </c>
      <c r="AH94">
        <v>1671.88</v>
      </c>
      <c r="AI94">
        <v>8388.43</v>
      </c>
      <c r="AJ94">
        <v>0</v>
      </c>
      <c r="AK94">
        <v>0</v>
      </c>
      <c r="AL94">
        <v>685.22</v>
      </c>
      <c r="AM94">
        <v>0</v>
      </c>
      <c r="AN94" t="e">
        <v>#N/A</v>
      </c>
      <c r="AO94" t="e">
        <v>#N/A</v>
      </c>
      <c r="AP94" t="e">
        <v>#N/A</v>
      </c>
      <c r="AQ94">
        <v>7123.22</v>
      </c>
      <c r="AR94">
        <v>7004.34</v>
      </c>
      <c r="AS94">
        <v>125.24</v>
      </c>
      <c r="AT94">
        <v>7129.58</v>
      </c>
      <c r="AU94">
        <v>42.53</v>
      </c>
      <c r="AV94">
        <v>7172.11</v>
      </c>
      <c r="AW94">
        <v>0</v>
      </c>
      <c r="AX94">
        <v>2939.56</v>
      </c>
      <c r="AY94">
        <v>423.73</v>
      </c>
      <c r="AZ94">
        <v>-143.86000000000001</v>
      </c>
      <c r="BA94">
        <v>810.82</v>
      </c>
      <c r="BB94">
        <v>309.64</v>
      </c>
      <c r="BC94" t="e">
        <v>#N/A</v>
      </c>
      <c r="BD94">
        <v>488.63</v>
      </c>
      <c r="BE94">
        <v>1651.68</v>
      </c>
      <c r="BF94">
        <v>6480.2</v>
      </c>
      <c r="BG94">
        <v>691.91</v>
      </c>
      <c r="BH94">
        <v>691.91</v>
      </c>
      <c r="BI94">
        <v>0</v>
      </c>
      <c r="BJ94">
        <v>104.83</v>
      </c>
      <c r="BK94">
        <v>116.25</v>
      </c>
      <c r="BL94">
        <v>2.99</v>
      </c>
      <c r="BM94">
        <v>224.07</v>
      </c>
      <c r="BN94">
        <v>467.84</v>
      </c>
      <c r="BO94">
        <v>467.84</v>
      </c>
      <c r="BP94">
        <v>467.84</v>
      </c>
      <c r="BQ94">
        <v>69.010000000000005</v>
      </c>
      <c r="BR94">
        <v>9.17</v>
      </c>
      <c r="BS94" t="e">
        <v>#N/A</v>
      </c>
    </row>
    <row r="95" spans="1:71" x14ac:dyDescent="0.25">
      <c r="A95" t="s">
        <v>147</v>
      </c>
      <c r="B95">
        <v>5</v>
      </c>
      <c r="C95">
        <v>2019</v>
      </c>
      <c r="D95">
        <v>182.64</v>
      </c>
      <c r="E95">
        <v>182.64</v>
      </c>
      <c r="F95">
        <v>1815.82</v>
      </c>
      <c r="G95">
        <v>1815.82</v>
      </c>
      <c r="H95">
        <v>1998.5</v>
      </c>
      <c r="I95">
        <v>0</v>
      </c>
      <c r="J95">
        <v>6.78</v>
      </c>
      <c r="K95">
        <v>105.26</v>
      </c>
      <c r="L95">
        <v>2284.27</v>
      </c>
      <c r="M95">
        <v>0</v>
      </c>
      <c r="N95">
        <v>316.8</v>
      </c>
      <c r="O95">
        <v>1030.4000000000001</v>
      </c>
      <c r="P95">
        <v>16.02</v>
      </c>
      <c r="Q95">
        <v>1740.87</v>
      </c>
      <c r="R95">
        <v>6031.41</v>
      </c>
      <c r="S95">
        <v>0</v>
      </c>
      <c r="T95">
        <v>0</v>
      </c>
      <c r="U95">
        <v>3860.18</v>
      </c>
      <c r="V95">
        <v>352.36</v>
      </c>
      <c r="W95">
        <v>4737.3900000000003</v>
      </c>
      <c r="X95">
        <v>33.4</v>
      </c>
      <c r="Y95">
        <v>20.09</v>
      </c>
      <c r="Z95">
        <v>86.59</v>
      </c>
      <c r="AA95">
        <v>4890.66</v>
      </c>
      <c r="AB95">
        <v>0</v>
      </c>
      <c r="AC95">
        <v>578.4</v>
      </c>
      <c r="AD95">
        <v>128.03</v>
      </c>
      <c r="AE95">
        <v>93.48</v>
      </c>
      <c r="AF95">
        <v>1.55</v>
      </c>
      <c r="AG95">
        <v>339.29</v>
      </c>
      <c r="AH95">
        <v>1140.75</v>
      </c>
      <c r="AI95">
        <v>6031.41</v>
      </c>
      <c r="AJ95">
        <v>0</v>
      </c>
      <c r="AK95">
        <v>0</v>
      </c>
      <c r="AL95">
        <v>339.79</v>
      </c>
      <c r="AM95">
        <v>0</v>
      </c>
      <c r="AN95" t="e">
        <v>#N/A</v>
      </c>
      <c r="AO95" t="e">
        <v>#N/A</v>
      </c>
      <c r="AP95" t="e">
        <v>#N/A</v>
      </c>
      <c r="AQ95">
        <v>5111.3100000000004</v>
      </c>
      <c r="AR95">
        <v>4988.4399999999996</v>
      </c>
      <c r="AS95">
        <v>116.82</v>
      </c>
      <c r="AT95">
        <v>5105.26</v>
      </c>
      <c r="AU95">
        <v>21.82</v>
      </c>
      <c r="AV95">
        <v>5127.08</v>
      </c>
      <c r="AW95">
        <v>0</v>
      </c>
      <c r="AX95">
        <v>2112.2800000000002</v>
      </c>
      <c r="AY95">
        <v>194.22</v>
      </c>
      <c r="AZ95">
        <v>-62.4</v>
      </c>
      <c r="BA95">
        <v>582.95000000000005</v>
      </c>
      <c r="BB95">
        <v>212.56</v>
      </c>
      <c r="BC95" t="e">
        <v>#N/A</v>
      </c>
      <c r="BD95">
        <v>385.07</v>
      </c>
      <c r="BE95">
        <v>1271.6199999999999</v>
      </c>
      <c r="BF95">
        <v>4696.3</v>
      </c>
      <c r="BG95">
        <v>430.78</v>
      </c>
      <c r="BH95">
        <v>430.78</v>
      </c>
      <c r="BI95">
        <v>0</v>
      </c>
      <c r="BJ95">
        <v>109.41</v>
      </c>
      <c r="BK95">
        <v>23.09</v>
      </c>
      <c r="BL95">
        <v>1.44</v>
      </c>
      <c r="BM95">
        <v>133.94</v>
      </c>
      <c r="BN95">
        <v>296.83999999999997</v>
      </c>
      <c r="BO95">
        <v>296.83999999999997</v>
      </c>
      <c r="BP95">
        <v>296.83999999999997</v>
      </c>
      <c r="BQ95">
        <v>45.66</v>
      </c>
      <c r="BR95">
        <v>5.47</v>
      </c>
      <c r="BS95" t="e">
        <v>#N/A</v>
      </c>
    </row>
    <row r="96" spans="1:71" x14ac:dyDescent="0.25">
      <c r="A96" t="s">
        <v>147</v>
      </c>
      <c r="B96">
        <v>6</v>
      </c>
      <c r="C96">
        <v>2018</v>
      </c>
      <c r="D96">
        <v>182.59</v>
      </c>
      <c r="E96">
        <v>182.59</v>
      </c>
      <c r="F96">
        <v>1586.6</v>
      </c>
      <c r="G96">
        <v>1586.6</v>
      </c>
      <c r="H96">
        <v>1769.32</v>
      </c>
      <c r="I96">
        <v>0</v>
      </c>
      <c r="J96">
        <v>11.98</v>
      </c>
      <c r="K96">
        <v>73.260000000000005</v>
      </c>
      <c r="L96">
        <v>1926.76</v>
      </c>
      <c r="M96">
        <v>0</v>
      </c>
      <c r="N96">
        <v>190.95</v>
      </c>
      <c r="O96">
        <v>1027.79</v>
      </c>
      <c r="P96">
        <v>16.75</v>
      </c>
      <c r="Q96">
        <v>1588.85</v>
      </c>
      <c r="R96">
        <v>5283.61</v>
      </c>
      <c r="S96">
        <v>0</v>
      </c>
      <c r="T96">
        <v>0</v>
      </c>
      <c r="U96">
        <v>3541.17</v>
      </c>
      <c r="V96">
        <v>145.44</v>
      </c>
      <c r="W96">
        <v>4124.0200000000004</v>
      </c>
      <c r="X96">
        <v>8</v>
      </c>
      <c r="Y96">
        <v>19.32</v>
      </c>
      <c r="Z96">
        <v>153.47999999999999</v>
      </c>
      <c r="AA96">
        <v>4314.99</v>
      </c>
      <c r="AB96">
        <v>0</v>
      </c>
      <c r="AC96">
        <v>438.89</v>
      </c>
      <c r="AD96">
        <v>150.25</v>
      </c>
      <c r="AE96">
        <v>94.46</v>
      </c>
      <c r="AF96">
        <v>0.03</v>
      </c>
      <c r="AG96">
        <v>285</v>
      </c>
      <c r="AH96">
        <v>968.62</v>
      </c>
      <c r="AI96">
        <v>5283.61</v>
      </c>
      <c r="AJ96">
        <v>0</v>
      </c>
      <c r="AK96">
        <v>0</v>
      </c>
      <c r="AL96">
        <v>290</v>
      </c>
      <c r="AM96">
        <v>0</v>
      </c>
      <c r="AN96" t="e">
        <v>#N/A</v>
      </c>
      <c r="AO96" t="e">
        <v>#N/A</v>
      </c>
      <c r="AP96" t="e">
        <v>#N/A</v>
      </c>
      <c r="AQ96">
        <v>4407.3500000000004</v>
      </c>
      <c r="AR96">
        <v>3894.51</v>
      </c>
      <c r="AS96">
        <v>109.03</v>
      </c>
      <c r="AT96">
        <v>4003.54</v>
      </c>
      <c r="AU96">
        <v>12.51</v>
      </c>
      <c r="AV96">
        <v>4016.05</v>
      </c>
      <c r="AW96">
        <v>0</v>
      </c>
      <c r="AX96">
        <v>1855.51</v>
      </c>
      <c r="AY96">
        <v>27.77</v>
      </c>
      <c r="AZ96">
        <v>-73.22</v>
      </c>
      <c r="BA96">
        <v>462.84</v>
      </c>
      <c r="BB96">
        <v>212.18</v>
      </c>
      <c r="BC96" t="e">
        <v>#N/A</v>
      </c>
      <c r="BD96">
        <v>346.64</v>
      </c>
      <c r="BE96">
        <v>894.73</v>
      </c>
      <c r="BF96">
        <v>3726.45</v>
      </c>
      <c r="BG96">
        <v>289.60000000000002</v>
      </c>
      <c r="BH96">
        <v>289.60000000000002</v>
      </c>
      <c r="BI96">
        <v>0</v>
      </c>
      <c r="BJ96">
        <v>54.79</v>
      </c>
      <c r="BK96">
        <v>21.95</v>
      </c>
      <c r="BL96">
        <v>0.16</v>
      </c>
      <c r="BM96">
        <v>76.900000000000006</v>
      </c>
      <c r="BN96">
        <v>212.71</v>
      </c>
      <c r="BO96">
        <v>212.71</v>
      </c>
      <c r="BP96">
        <v>212.71</v>
      </c>
      <c r="BQ96">
        <v>45.63</v>
      </c>
      <c r="BR96">
        <v>9.2899999999999991</v>
      </c>
      <c r="BS96" t="e">
        <v>#N/A</v>
      </c>
    </row>
    <row r="97" spans="1:71" x14ac:dyDescent="0.25">
      <c r="A97" t="s">
        <v>148</v>
      </c>
      <c r="B97">
        <v>2</v>
      </c>
      <c r="C97">
        <v>2022</v>
      </c>
      <c r="D97">
        <v>89</v>
      </c>
      <c r="E97">
        <v>89</v>
      </c>
      <c r="F97">
        <v>9208</v>
      </c>
      <c r="G97">
        <v>9208</v>
      </c>
      <c r="H97">
        <v>9303</v>
      </c>
      <c r="I97">
        <v>0</v>
      </c>
      <c r="J97">
        <v>1143</v>
      </c>
      <c r="K97">
        <v>198</v>
      </c>
      <c r="L97">
        <v>1349</v>
      </c>
      <c r="M97">
        <v>0</v>
      </c>
      <c r="N97">
        <v>1294</v>
      </c>
      <c r="O97">
        <v>8664</v>
      </c>
      <c r="P97">
        <v>38</v>
      </c>
      <c r="Q97">
        <v>10512</v>
      </c>
      <c r="R97">
        <v>21194</v>
      </c>
      <c r="S97">
        <v>0</v>
      </c>
      <c r="T97">
        <v>0</v>
      </c>
      <c r="U97">
        <v>2192</v>
      </c>
      <c r="V97">
        <v>69</v>
      </c>
      <c r="W97">
        <v>2506</v>
      </c>
      <c r="X97">
        <v>137</v>
      </c>
      <c r="Y97">
        <v>42</v>
      </c>
      <c r="Z97">
        <v>653</v>
      </c>
      <c r="AA97">
        <v>3740</v>
      </c>
      <c r="AB97">
        <v>0</v>
      </c>
      <c r="AC97">
        <v>13609</v>
      </c>
      <c r="AD97">
        <v>565</v>
      </c>
      <c r="AE97">
        <v>1573</v>
      </c>
      <c r="AF97">
        <v>423</v>
      </c>
      <c r="AG97">
        <v>1269</v>
      </c>
      <c r="AH97">
        <v>17454</v>
      </c>
      <c r="AI97">
        <v>21194</v>
      </c>
      <c r="AJ97">
        <v>0</v>
      </c>
      <c r="AK97">
        <v>0</v>
      </c>
      <c r="AL97">
        <v>569</v>
      </c>
      <c r="AM97">
        <v>15</v>
      </c>
      <c r="AN97">
        <v>0</v>
      </c>
      <c r="AO97">
        <v>15</v>
      </c>
      <c r="AP97" t="e">
        <v>#N/A</v>
      </c>
      <c r="AQ97">
        <v>27417</v>
      </c>
      <c r="AR97">
        <v>27417</v>
      </c>
      <c r="AS97">
        <v>1382</v>
      </c>
      <c r="AT97">
        <v>28799</v>
      </c>
      <c r="AU97">
        <v>234</v>
      </c>
      <c r="AV97">
        <v>29033</v>
      </c>
      <c r="AW97">
        <v>0</v>
      </c>
      <c r="AX97">
        <v>22108</v>
      </c>
      <c r="AY97">
        <v>4328</v>
      </c>
      <c r="AZ97">
        <v>-4795</v>
      </c>
      <c r="BA97">
        <v>1349</v>
      </c>
      <c r="BB97">
        <v>218</v>
      </c>
      <c r="BC97" t="e">
        <v>#N/A</v>
      </c>
      <c r="BD97">
        <v>399</v>
      </c>
      <c r="BE97">
        <v>2468</v>
      </c>
      <c r="BF97">
        <v>26075</v>
      </c>
      <c r="BG97">
        <v>2958</v>
      </c>
      <c r="BH97">
        <v>2904</v>
      </c>
      <c r="BI97">
        <v>0</v>
      </c>
      <c r="BJ97">
        <v>786</v>
      </c>
      <c r="BK97">
        <v>-80</v>
      </c>
      <c r="BL97" t="e">
        <v>#N/A</v>
      </c>
      <c r="BM97">
        <v>706</v>
      </c>
      <c r="BN97">
        <v>2198</v>
      </c>
      <c r="BO97">
        <v>2198</v>
      </c>
      <c r="BP97">
        <v>2198</v>
      </c>
      <c r="BQ97">
        <v>355</v>
      </c>
      <c r="BR97">
        <v>0</v>
      </c>
      <c r="BS97" t="e">
        <v>#N/A</v>
      </c>
    </row>
    <row r="98" spans="1:71" x14ac:dyDescent="0.25">
      <c r="A98" t="s">
        <v>148</v>
      </c>
      <c r="B98">
        <v>3</v>
      </c>
      <c r="C98">
        <v>2021</v>
      </c>
      <c r="D98">
        <v>89</v>
      </c>
      <c r="E98">
        <v>89</v>
      </c>
      <c r="F98">
        <v>7404</v>
      </c>
      <c r="G98">
        <v>7404</v>
      </c>
      <c r="H98">
        <v>7497</v>
      </c>
      <c r="I98">
        <v>0</v>
      </c>
      <c r="J98">
        <v>1063</v>
      </c>
      <c r="K98">
        <v>156</v>
      </c>
      <c r="L98">
        <v>1236</v>
      </c>
      <c r="M98">
        <v>0</v>
      </c>
      <c r="N98">
        <v>789</v>
      </c>
      <c r="O98">
        <v>2529</v>
      </c>
      <c r="P98">
        <v>30</v>
      </c>
      <c r="Q98">
        <v>7714</v>
      </c>
      <c r="R98">
        <v>16452</v>
      </c>
      <c r="S98">
        <v>0</v>
      </c>
      <c r="T98">
        <v>0</v>
      </c>
      <c r="U98">
        <v>2157</v>
      </c>
      <c r="V98">
        <v>19</v>
      </c>
      <c r="W98">
        <v>2432</v>
      </c>
      <c r="X98">
        <v>105</v>
      </c>
      <c r="Y98">
        <v>158</v>
      </c>
      <c r="Z98">
        <v>418</v>
      </c>
      <c r="AA98">
        <v>3255</v>
      </c>
      <c r="AB98">
        <v>0</v>
      </c>
      <c r="AC98">
        <v>8408</v>
      </c>
      <c r="AD98">
        <v>366</v>
      </c>
      <c r="AE98">
        <v>560</v>
      </c>
      <c r="AF98">
        <v>109</v>
      </c>
      <c r="AG98">
        <v>949</v>
      </c>
      <c r="AH98">
        <v>13197</v>
      </c>
      <c r="AI98">
        <v>16452</v>
      </c>
      <c r="AJ98">
        <v>0</v>
      </c>
      <c r="AK98">
        <v>0</v>
      </c>
      <c r="AL98">
        <v>436</v>
      </c>
      <c r="AM98">
        <v>2805</v>
      </c>
      <c r="AN98">
        <v>0</v>
      </c>
      <c r="AO98">
        <v>2805</v>
      </c>
      <c r="AP98" t="e">
        <v>#N/A</v>
      </c>
      <c r="AQ98">
        <v>20088</v>
      </c>
      <c r="AR98">
        <v>20088</v>
      </c>
      <c r="AS98">
        <v>1556</v>
      </c>
      <c r="AT98">
        <v>21644</v>
      </c>
      <c r="AU98">
        <v>186</v>
      </c>
      <c r="AV98">
        <v>21830</v>
      </c>
      <c r="AW98">
        <v>0</v>
      </c>
      <c r="AX98">
        <v>13713</v>
      </c>
      <c r="AY98">
        <v>2579</v>
      </c>
      <c r="AZ98">
        <v>122</v>
      </c>
      <c r="BA98">
        <v>1065</v>
      </c>
      <c r="BB98">
        <v>203</v>
      </c>
      <c r="BC98" t="e">
        <v>#N/A</v>
      </c>
      <c r="BD98">
        <v>375</v>
      </c>
      <c r="BE98">
        <v>2441</v>
      </c>
      <c r="BF98">
        <v>20498</v>
      </c>
      <c r="BG98">
        <v>1332</v>
      </c>
      <c r="BH98">
        <v>1332</v>
      </c>
      <c r="BI98">
        <v>0</v>
      </c>
      <c r="BJ98">
        <v>360</v>
      </c>
      <c r="BK98">
        <v>-7</v>
      </c>
      <c r="BL98" t="e">
        <v>#N/A</v>
      </c>
      <c r="BM98">
        <v>353</v>
      </c>
      <c r="BN98">
        <v>979</v>
      </c>
      <c r="BO98">
        <v>979</v>
      </c>
      <c r="BP98">
        <v>979</v>
      </c>
      <c r="BQ98">
        <v>355</v>
      </c>
      <c r="BR98">
        <v>0</v>
      </c>
      <c r="BS98" t="e">
        <v>#N/A</v>
      </c>
    </row>
    <row r="99" spans="1:71" x14ac:dyDescent="0.25">
      <c r="A99" t="s">
        <v>148</v>
      </c>
      <c r="B99">
        <v>4</v>
      </c>
      <c r="C99">
        <v>2020</v>
      </c>
      <c r="D99">
        <v>88.78</v>
      </c>
      <c r="E99">
        <v>88.78</v>
      </c>
      <c r="F99">
        <v>6575.97</v>
      </c>
      <c r="G99">
        <v>6575.97</v>
      </c>
      <c r="H99">
        <v>6668.75</v>
      </c>
      <c r="I99">
        <v>0</v>
      </c>
      <c r="J99">
        <v>1060.81</v>
      </c>
      <c r="K99">
        <v>166.12</v>
      </c>
      <c r="L99">
        <v>1250.0899999999999</v>
      </c>
      <c r="M99">
        <v>0</v>
      </c>
      <c r="N99">
        <v>596.71</v>
      </c>
      <c r="O99">
        <v>2619.69</v>
      </c>
      <c r="P99">
        <v>119.7</v>
      </c>
      <c r="Q99">
        <v>5626.55</v>
      </c>
      <c r="R99">
        <v>13549.79</v>
      </c>
      <c r="S99">
        <v>0</v>
      </c>
      <c r="T99">
        <v>0</v>
      </c>
      <c r="U99">
        <v>2244.14</v>
      </c>
      <c r="V99">
        <v>11.52</v>
      </c>
      <c r="W99">
        <v>2528.66</v>
      </c>
      <c r="X99">
        <v>159</v>
      </c>
      <c r="Y99">
        <v>153.5</v>
      </c>
      <c r="Z99">
        <v>420.96</v>
      </c>
      <c r="AA99">
        <v>3429.49</v>
      </c>
      <c r="AB99">
        <v>0</v>
      </c>
      <c r="AC99">
        <v>8102.98</v>
      </c>
      <c r="AD99">
        <v>311.55</v>
      </c>
      <c r="AE99">
        <v>381.13</v>
      </c>
      <c r="AF99">
        <v>56.1</v>
      </c>
      <c r="AG99">
        <v>1154.97</v>
      </c>
      <c r="AH99">
        <v>10120.299999999999</v>
      </c>
      <c r="AI99">
        <v>13549.79</v>
      </c>
      <c r="AJ99">
        <v>0</v>
      </c>
      <c r="AK99">
        <v>0</v>
      </c>
      <c r="AL99">
        <v>454.91</v>
      </c>
      <c r="AM99">
        <v>113.57</v>
      </c>
      <c r="AN99">
        <v>0</v>
      </c>
      <c r="AO99">
        <v>113.57</v>
      </c>
      <c r="AP99" t="e">
        <v>#N/A</v>
      </c>
      <c r="AQ99">
        <v>20767.7</v>
      </c>
      <c r="AR99">
        <v>20767.7</v>
      </c>
      <c r="AS99">
        <v>283.83999999999997</v>
      </c>
      <c r="AT99">
        <v>21051.54</v>
      </c>
      <c r="AU99">
        <v>153.22999999999999</v>
      </c>
      <c r="AV99">
        <v>21204.77</v>
      </c>
      <c r="AW99">
        <v>0</v>
      </c>
      <c r="AX99">
        <v>13042.34</v>
      </c>
      <c r="AY99">
        <v>2990.8</v>
      </c>
      <c r="AZ99">
        <v>-878.07</v>
      </c>
      <c r="BA99">
        <v>1199.42</v>
      </c>
      <c r="BB99">
        <v>166.17</v>
      </c>
      <c r="BC99" t="e">
        <v>#N/A</v>
      </c>
      <c r="BD99">
        <v>347.96</v>
      </c>
      <c r="BE99">
        <v>2230.4699999999998</v>
      </c>
      <c r="BF99">
        <v>19099.09</v>
      </c>
      <c r="BG99">
        <v>2105.6799999999998</v>
      </c>
      <c r="BH99">
        <v>2105.6799999999998</v>
      </c>
      <c r="BI99">
        <v>0</v>
      </c>
      <c r="BJ99">
        <v>570.20000000000005</v>
      </c>
      <c r="BK99">
        <v>38.79</v>
      </c>
      <c r="BL99" t="e">
        <v>#N/A</v>
      </c>
      <c r="BM99">
        <v>608.99</v>
      </c>
      <c r="BN99">
        <v>1496.69</v>
      </c>
      <c r="BO99">
        <v>1496.69</v>
      </c>
      <c r="BP99">
        <v>1496.69</v>
      </c>
      <c r="BQ99">
        <v>443.89</v>
      </c>
      <c r="BR99">
        <v>91.24</v>
      </c>
      <c r="BS99" t="e">
        <v>#N/A</v>
      </c>
    </row>
    <row r="100" spans="1:71" x14ac:dyDescent="0.25">
      <c r="A100" t="s">
        <v>148</v>
      </c>
      <c r="B100">
        <v>5</v>
      </c>
      <c r="C100">
        <v>2019</v>
      </c>
      <c r="D100">
        <v>88.78</v>
      </c>
      <c r="E100">
        <v>88.78</v>
      </c>
      <c r="F100">
        <v>5981.37</v>
      </c>
      <c r="G100">
        <v>5981.37</v>
      </c>
      <c r="H100">
        <v>6070.15</v>
      </c>
      <c r="I100">
        <v>0</v>
      </c>
      <c r="J100">
        <v>1.33</v>
      </c>
      <c r="K100">
        <v>130.68</v>
      </c>
      <c r="L100">
        <v>169.09</v>
      </c>
      <c r="M100">
        <v>0</v>
      </c>
      <c r="N100">
        <v>905.98</v>
      </c>
      <c r="O100">
        <v>2137.63</v>
      </c>
      <c r="P100">
        <v>65.34</v>
      </c>
      <c r="Q100">
        <v>5461.93</v>
      </c>
      <c r="R100">
        <v>11715.25</v>
      </c>
      <c r="S100">
        <v>0</v>
      </c>
      <c r="T100">
        <v>0</v>
      </c>
      <c r="U100">
        <v>1206.33</v>
      </c>
      <c r="V100">
        <v>28.95</v>
      </c>
      <c r="W100">
        <v>1475.39</v>
      </c>
      <c r="X100">
        <v>74.180000000000007</v>
      </c>
      <c r="Y100">
        <v>129.13</v>
      </c>
      <c r="Z100">
        <v>287.04000000000002</v>
      </c>
      <c r="AA100">
        <v>2127.9499999999998</v>
      </c>
      <c r="AB100">
        <v>0</v>
      </c>
      <c r="AC100">
        <v>7038.82</v>
      </c>
      <c r="AD100">
        <v>420.45</v>
      </c>
      <c r="AE100">
        <v>1066.48</v>
      </c>
      <c r="AF100">
        <v>246.6</v>
      </c>
      <c r="AG100">
        <v>745.73</v>
      </c>
      <c r="AH100">
        <v>9587.2999999999993</v>
      </c>
      <c r="AI100">
        <v>11715.25</v>
      </c>
      <c r="AJ100">
        <v>0</v>
      </c>
      <c r="AK100">
        <v>0</v>
      </c>
      <c r="AL100">
        <v>426.12</v>
      </c>
      <c r="AM100">
        <v>69.22</v>
      </c>
      <c r="AN100">
        <v>0</v>
      </c>
      <c r="AO100">
        <v>69.22</v>
      </c>
      <c r="AP100" t="e">
        <v>#N/A</v>
      </c>
      <c r="AQ100">
        <v>19592.060000000001</v>
      </c>
      <c r="AR100">
        <v>19592.060000000001</v>
      </c>
      <c r="AS100">
        <v>186.46</v>
      </c>
      <c r="AT100">
        <v>19778.52</v>
      </c>
      <c r="AU100">
        <v>182.94</v>
      </c>
      <c r="AV100">
        <v>19961.46</v>
      </c>
      <c r="AW100">
        <v>0</v>
      </c>
      <c r="AX100">
        <v>12230.63</v>
      </c>
      <c r="AY100">
        <v>2940.03</v>
      </c>
      <c r="AZ100">
        <v>-776.41</v>
      </c>
      <c r="BA100">
        <v>1019.27</v>
      </c>
      <c r="BB100">
        <v>52.54</v>
      </c>
      <c r="BC100" t="e">
        <v>#N/A</v>
      </c>
      <c r="BD100">
        <v>162.84</v>
      </c>
      <c r="BE100">
        <v>2373.5100000000002</v>
      </c>
      <c r="BF100">
        <v>18002.41</v>
      </c>
      <c r="BG100">
        <v>1959.05</v>
      </c>
      <c r="BH100">
        <v>1959.05</v>
      </c>
      <c r="BI100">
        <v>0</v>
      </c>
      <c r="BJ100">
        <v>617.5</v>
      </c>
      <c r="BK100">
        <v>-49.26</v>
      </c>
      <c r="BL100" t="e">
        <v>#N/A</v>
      </c>
      <c r="BM100">
        <v>568.24</v>
      </c>
      <c r="BN100">
        <v>1390.81</v>
      </c>
      <c r="BO100">
        <v>1390.81</v>
      </c>
      <c r="BP100">
        <v>1390.81</v>
      </c>
      <c r="BQ100">
        <v>332.92</v>
      </c>
      <c r="BR100">
        <v>68.45</v>
      </c>
      <c r="BS100" t="e">
        <v>#N/A</v>
      </c>
    </row>
    <row r="101" spans="1:71" x14ac:dyDescent="0.25">
      <c r="A101" t="s">
        <v>148</v>
      </c>
      <c r="B101">
        <v>6</v>
      </c>
      <c r="C101">
        <v>2018</v>
      </c>
      <c r="D101">
        <v>88.78</v>
      </c>
      <c r="E101">
        <v>88.78</v>
      </c>
      <c r="F101">
        <v>5001.1000000000004</v>
      </c>
      <c r="G101">
        <v>5001.1000000000004</v>
      </c>
      <c r="H101">
        <v>5089.88</v>
      </c>
      <c r="I101">
        <v>0</v>
      </c>
      <c r="J101">
        <v>1.26</v>
      </c>
      <c r="K101">
        <v>116.34</v>
      </c>
      <c r="L101">
        <v>120.77</v>
      </c>
      <c r="M101">
        <v>0</v>
      </c>
      <c r="N101">
        <v>877.74</v>
      </c>
      <c r="O101">
        <v>1721.9</v>
      </c>
      <c r="P101">
        <v>24.73</v>
      </c>
      <c r="Q101">
        <v>4315.38</v>
      </c>
      <c r="R101">
        <v>9524.2099999999991</v>
      </c>
      <c r="S101">
        <v>0</v>
      </c>
      <c r="T101">
        <v>0</v>
      </c>
      <c r="U101">
        <v>1124.72</v>
      </c>
      <c r="V101">
        <v>43.01</v>
      </c>
      <c r="W101">
        <v>1394.17</v>
      </c>
      <c r="X101">
        <v>36.06</v>
      </c>
      <c r="Y101">
        <v>0</v>
      </c>
      <c r="Z101">
        <v>335.58</v>
      </c>
      <c r="AA101">
        <v>1923.2</v>
      </c>
      <c r="AB101">
        <v>0</v>
      </c>
      <c r="AC101">
        <v>5924.84</v>
      </c>
      <c r="AD101">
        <v>295.69</v>
      </c>
      <c r="AE101">
        <v>617.91</v>
      </c>
      <c r="AF101">
        <v>0</v>
      </c>
      <c r="AG101">
        <v>760.96</v>
      </c>
      <c r="AH101">
        <v>7601.01</v>
      </c>
      <c r="AI101">
        <v>9524.2099999999991</v>
      </c>
      <c r="AJ101">
        <v>0</v>
      </c>
      <c r="AK101">
        <v>0</v>
      </c>
      <c r="AL101">
        <v>0</v>
      </c>
      <c r="AM101">
        <v>1.61</v>
      </c>
      <c r="AN101">
        <v>1.61</v>
      </c>
      <c r="AO101">
        <v>0</v>
      </c>
      <c r="AP101" t="e">
        <v>#N/A</v>
      </c>
      <c r="AQ101">
        <v>15982.67</v>
      </c>
      <c r="AR101">
        <v>15946.49</v>
      </c>
      <c r="AS101">
        <v>173.28</v>
      </c>
      <c r="AT101">
        <v>16119.77</v>
      </c>
      <c r="AU101">
        <v>88.86</v>
      </c>
      <c r="AV101">
        <v>16208.63</v>
      </c>
      <c r="AW101">
        <v>0</v>
      </c>
      <c r="AX101">
        <v>10452.82</v>
      </c>
      <c r="AY101">
        <v>2212.0100000000002</v>
      </c>
      <c r="AZ101">
        <v>-978.61</v>
      </c>
      <c r="BA101">
        <v>885.08</v>
      </c>
      <c r="BB101">
        <v>52.92</v>
      </c>
      <c r="BC101" t="e">
        <v>#N/A</v>
      </c>
      <c r="BD101">
        <v>131.43</v>
      </c>
      <c r="BE101">
        <v>1903.78</v>
      </c>
      <c r="BF101">
        <v>14659.43</v>
      </c>
      <c r="BG101">
        <v>1549.2</v>
      </c>
      <c r="BH101">
        <v>1532.55</v>
      </c>
      <c r="BI101">
        <v>0</v>
      </c>
      <c r="BJ101">
        <v>449.96</v>
      </c>
      <c r="BK101">
        <v>-22.09</v>
      </c>
      <c r="BL101" t="e">
        <v>#N/A</v>
      </c>
      <c r="BM101">
        <v>427.87</v>
      </c>
      <c r="BN101">
        <v>1104.68</v>
      </c>
      <c r="BO101">
        <v>1104.68</v>
      </c>
      <c r="BP101">
        <v>1104.68</v>
      </c>
      <c r="BQ101">
        <v>230.81</v>
      </c>
      <c r="BR101">
        <v>46.99</v>
      </c>
      <c r="BS101" t="e">
        <v>#N/A</v>
      </c>
    </row>
    <row r="102" spans="1:71" x14ac:dyDescent="0.25">
      <c r="A102" t="s">
        <v>149</v>
      </c>
      <c r="B102">
        <v>2</v>
      </c>
      <c r="C102">
        <v>2022</v>
      </c>
      <c r="D102">
        <v>24.09</v>
      </c>
      <c r="E102">
        <v>24.09</v>
      </c>
      <c r="F102">
        <v>2534.0100000000002</v>
      </c>
      <c r="G102">
        <v>2534.0100000000002</v>
      </c>
      <c r="H102">
        <v>2558.1</v>
      </c>
      <c r="I102">
        <v>0</v>
      </c>
      <c r="J102">
        <v>66.400000000000006</v>
      </c>
      <c r="K102">
        <v>0</v>
      </c>
      <c r="L102">
        <v>774.2</v>
      </c>
      <c r="M102">
        <v>0</v>
      </c>
      <c r="N102">
        <v>1285.22</v>
      </c>
      <c r="O102">
        <v>626.85</v>
      </c>
      <c r="P102">
        <v>485.11</v>
      </c>
      <c r="Q102">
        <v>4155.7299999999996</v>
      </c>
      <c r="R102">
        <v>7515.53</v>
      </c>
      <c r="S102">
        <v>0</v>
      </c>
      <c r="T102">
        <v>0</v>
      </c>
      <c r="U102">
        <v>1598</v>
      </c>
      <c r="V102">
        <v>535.67999999999995</v>
      </c>
      <c r="W102">
        <v>2149.2800000000002</v>
      </c>
      <c r="X102">
        <v>44.93</v>
      </c>
      <c r="Y102">
        <v>100</v>
      </c>
      <c r="Z102">
        <v>182.65</v>
      </c>
      <c r="AA102">
        <v>3545.11</v>
      </c>
      <c r="AB102">
        <v>0</v>
      </c>
      <c r="AC102">
        <v>1367.49</v>
      </c>
      <c r="AD102">
        <v>331.93</v>
      </c>
      <c r="AE102">
        <v>184.9</v>
      </c>
      <c r="AF102">
        <v>698</v>
      </c>
      <c r="AG102">
        <v>554.37</v>
      </c>
      <c r="AH102">
        <v>3970.42</v>
      </c>
      <c r="AI102">
        <v>7515.53</v>
      </c>
      <c r="AJ102">
        <v>0</v>
      </c>
      <c r="AK102">
        <v>0</v>
      </c>
      <c r="AL102">
        <v>625.21</v>
      </c>
      <c r="AM102">
        <v>833.73</v>
      </c>
      <c r="AN102" t="e">
        <v>#N/A</v>
      </c>
      <c r="AO102">
        <v>833.73</v>
      </c>
      <c r="AP102" t="e">
        <v>#N/A</v>
      </c>
      <c r="AQ102">
        <v>13944.67</v>
      </c>
      <c r="AR102">
        <v>13944.67</v>
      </c>
      <c r="AS102">
        <v>191.59</v>
      </c>
      <c r="AT102">
        <v>14136.26</v>
      </c>
      <c r="AU102">
        <v>222.83</v>
      </c>
      <c r="AV102">
        <v>14359.09</v>
      </c>
      <c r="AW102">
        <v>0</v>
      </c>
      <c r="AX102">
        <v>7473.97</v>
      </c>
      <c r="AY102">
        <v>1361.59</v>
      </c>
      <c r="AZ102">
        <v>-75.260000000000005</v>
      </c>
      <c r="BA102">
        <v>542.26</v>
      </c>
      <c r="BB102">
        <v>144.29</v>
      </c>
      <c r="BC102" t="e">
        <v>#N/A</v>
      </c>
      <c r="BD102">
        <v>200.54</v>
      </c>
      <c r="BE102">
        <v>2632.19</v>
      </c>
      <c r="BF102">
        <v>12279.58</v>
      </c>
      <c r="BG102">
        <v>2079.5100000000002</v>
      </c>
      <c r="BH102">
        <v>2078.5300000000002</v>
      </c>
      <c r="BI102">
        <v>0</v>
      </c>
      <c r="BJ102">
        <v>612.24</v>
      </c>
      <c r="BK102">
        <v>-49.89</v>
      </c>
      <c r="BL102" t="e">
        <v>#N/A</v>
      </c>
      <c r="BM102">
        <v>562.35</v>
      </c>
      <c r="BN102">
        <v>1516.18</v>
      </c>
      <c r="BO102">
        <v>1516.18</v>
      </c>
      <c r="BP102">
        <v>1516.18</v>
      </c>
      <c r="BQ102">
        <v>1794.47</v>
      </c>
      <c r="BR102">
        <v>0</v>
      </c>
      <c r="BS102" t="e">
        <v>#N/A</v>
      </c>
    </row>
    <row r="103" spans="1:71" x14ac:dyDescent="0.25">
      <c r="A103" t="s">
        <v>149</v>
      </c>
      <c r="B103">
        <v>3</v>
      </c>
      <c r="C103">
        <v>2021</v>
      </c>
      <c r="D103">
        <v>24.09</v>
      </c>
      <c r="E103">
        <v>24.09</v>
      </c>
      <c r="F103">
        <v>3495.47</v>
      </c>
      <c r="G103">
        <v>3495.47</v>
      </c>
      <c r="H103">
        <v>3547.66</v>
      </c>
      <c r="I103">
        <v>0</v>
      </c>
      <c r="J103">
        <v>54.07</v>
      </c>
      <c r="K103">
        <v>0</v>
      </c>
      <c r="L103">
        <v>810.51</v>
      </c>
      <c r="M103">
        <v>0</v>
      </c>
      <c r="N103">
        <v>1314.75</v>
      </c>
      <c r="O103">
        <v>572.63</v>
      </c>
      <c r="P103">
        <v>387.47</v>
      </c>
      <c r="Q103">
        <v>3614.27</v>
      </c>
      <c r="R103">
        <v>8008.78</v>
      </c>
      <c r="S103">
        <v>0</v>
      </c>
      <c r="T103">
        <v>0</v>
      </c>
      <c r="U103">
        <v>1648.51</v>
      </c>
      <c r="V103">
        <v>116.52</v>
      </c>
      <c r="W103">
        <v>1773.57</v>
      </c>
      <c r="X103">
        <v>9.66</v>
      </c>
      <c r="Y103">
        <v>74.58</v>
      </c>
      <c r="Z103">
        <v>207.95</v>
      </c>
      <c r="AA103">
        <v>3589.1</v>
      </c>
      <c r="AB103">
        <v>0</v>
      </c>
      <c r="AC103">
        <v>1091.49</v>
      </c>
      <c r="AD103">
        <v>257.27</v>
      </c>
      <c r="AE103">
        <v>211.34</v>
      </c>
      <c r="AF103">
        <v>946.56</v>
      </c>
      <c r="AG103">
        <v>519.77</v>
      </c>
      <c r="AH103">
        <v>4419.68</v>
      </c>
      <c r="AI103">
        <v>8008.78</v>
      </c>
      <c r="AJ103">
        <v>0</v>
      </c>
      <c r="AK103">
        <v>0</v>
      </c>
      <c r="AL103">
        <v>584.33000000000004</v>
      </c>
      <c r="AM103">
        <v>1393.25</v>
      </c>
      <c r="AN103" t="e">
        <v>#N/A</v>
      </c>
      <c r="AO103">
        <v>1393.25</v>
      </c>
      <c r="AP103" t="e">
        <v>#N/A</v>
      </c>
      <c r="AQ103">
        <v>12883.04</v>
      </c>
      <c r="AR103">
        <v>12883.04</v>
      </c>
      <c r="AS103">
        <v>253.1</v>
      </c>
      <c r="AT103">
        <v>13136.14</v>
      </c>
      <c r="AU103">
        <v>312.87</v>
      </c>
      <c r="AV103">
        <v>13449.01</v>
      </c>
      <c r="AW103">
        <v>0</v>
      </c>
      <c r="AX103">
        <v>6502.33</v>
      </c>
      <c r="AY103">
        <v>1160.8900000000001</v>
      </c>
      <c r="AZ103">
        <v>-37.119999999999997</v>
      </c>
      <c r="BA103">
        <v>527.38</v>
      </c>
      <c r="BB103">
        <v>110.9</v>
      </c>
      <c r="BC103" t="e">
        <v>#N/A</v>
      </c>
      <c r="BD103">
        <v>197.85</v>
      </c>
      <c r="BE103">
        <v>2473.37</v>
      </c>
      <c r="BF103">
        <v>10935.6</v>
      </c>
      <c r="BG103">
        <v>2513.41</v>
      </c>
      <c r="BH103">
        <v>2512.8000000000002</v>
      </c>
      <c r="BI103">
        <v>0</v>
      </c>
      <c r="BJ103">
        <v>657.12</v>
      </c>
      <c r="BK103">
        <v>5.9</v>
      </c>
      <c r="BL103" t="e">
        <v>#N/A</v>
      </c>
      <c r="BM103">
        <v>663.02</v>
      </c>
      <c r="BN103">
        <v>1849.78</v>
      </c>
      <c r="BO103">
        <v>1849.78</v>
      </c>
      <c r="BP103">
        <v>1849.78</v>
      </c>
      <c r="BQ103">
        <v>2839.66</v>
      </c>
      <c r="BR103">
        <v>0</v>
      </c>
      <c r="BS103" t="e">
        <v>#N/A</v>
      </c>
    </row>
    <row r="104" spans="1:71" x14ac:dyDescent="0.25">
      <c r="A104" t="s">
        <v>149</v>
      </c>
      <c r="B104">
        <v>4</v>
      </c>
      <c r="C104">
        <v>2020</v>
      </c>
      <c r="D104">
        <v>24.05</v>
      </c>
      <c r="E104">
        <v>24.05</v>
      </c>
      <c r="F104">
        <v>4344.37</v>
      </c>
      <c r="G104">
        <v>4344.37</v>
      </c>
      <c r="H104">
        <v>4402.83</v>
      </c>
      <c r="I104">
        <v>0</v>
      </c>
      <c r="J104">
        <v>46.54</v>
      </c>
      <c r="K104">
        <v>0</v>
      </c>
      <c r="L104">
        <v>825.29</v>
      </c>
      <c r="M104">
        <v>0</v>
      </c>
      <c r="N104">
        <v>1047</v>
      </c>
      <c r="O104">
        <v>509.77</v>
      </c>
      <c r="P104">
        <v>273.7</v>
      </c>
      <c r="Q104">
        <v>2578.46</v>
      </c>
      <c r="R104">
        <v>7842.23</v>
      </c>
      <c r="S104">
        <v>0</v>
      </c>
      <c r="T104">
        <v>0</v>
      </c>
      <c r="U104">
        <v>1730.84</v>
      </c>
      <c r="V104">
        <v>39.549999999999997</v>
      </c>
      <c r="W104">
        <v>1778.76</v>
      </c>
      <c r="X104">
        <v>19.559999999999999</v>
      </c>
      <c r="Y104">
        <v>202.95</v>
      </c>
      <c r="Z104">
        <v>142.56</v>
      </c>
      <c r="AA104">
        <v>4167.26</v>
      </c>
      <c r="AB104">
        <v>0</v>
      </c>
      <c r="AC104">
        <v>740.96</v>
      </c>
      <c r="AD104">
        <v>320.36</v>
      </c>
      <c r="AE104">
        <v>122.85</v>
      </c>
      <c r="AF104">
        <v>1110.1099999999999</v>
      </c>
      <c r="AG104">
        <v>371.92</v>
      </c>
      <c r="AH104">
        <v>3674.97</v>
      </c>
      <c r="AI104">
        <v>7842.23</v>
      </c>
      <c r="AJ104">
        <v>0</v>
      </c>
      <c r="AK104">
        <v>0</v>
      </c>
      <c r="AL104">
        <v>277.64999999999998</v>
      </c>
      <c r="AM104">
        <v>1008.77</v>
      </c>
      <c r="AN104" t="e">
        <v>#N/A</v>
      </c>
      <c r="AO104">
        <v>1008.77</v>
      </c>
      <c r="AP104" t="e">
        <v>#N/A</v>
      </c>
      <c r="AQ104">
        <v>11443.99</v>
      </c>
      <c r="AR104">
        <v>11443.99</v>
      </c>
      <c r="AS104">
        <v>155.56</v>
      </c>
      <c r="AT104">
        <v>11599.55</v>
      </c>
      <c r="AU104">
        <v>279.39999999999998</v>
      </c>
      <c r="AV104">
        <v>11878.95</v>
      </c>
      <c r="AW104">
        <v>0</v>
      </c>
      <c r="AX104">
        <v>5684.98</v>
      </c>
      <c r="AY104">
        <v>1189.92</v>
      </c>
      <c r="AZ104">
        <v>52.57</v>
      </c>
      <c r="BA104">
        <v>486.69</v>
      </c>
      <c r="BB104">
        <v>76.900000000000006</v>
      </c>
      <c r="BC104" t="e">
        <v>#N/A</v>
      </c>
      <c r="BD104">
        <v>184.81</v>
      </c>
      <c r="BE104">
        <v>2342.21</v>
      </c>
      <c r="BF104">
        <v>10018.08</v>
      </c>
      <c r="BG104">
        <v>1860.87</v>
      </c>
      <c r="BH104">
        <v>1843.86</v>
      </c>
      <c r="BI104">
        <v>0</v>
      </c>
      <c r="BJ104">
        <v>447.69</v>
      </c>
      <c r="BK104">
        <v>3.01</v>
      </c>
      <c r="BL104" t="e">
        <v>#N/A</v>
      </c>
      <c r="BM104">
        <v>450.7</v>
      </c>
      <c r="BN104">
        <v>1393.16</v>
      </c>
      <c r="BO104">
        <v>1393.16</v>
      </c>
      <c r="BP104">
        <v>1393.16</v>
      </c>
      <c r="BQ104">
        <v>360.48</v>
      </c>
      <c r="BR104">
        <v>74.09</v>
      </c>
      <c r="BS104" t="e">
        <v>#N/A</v>
      </c>
    </row>
    <row r="105" spans="1:71" x14ac:dyDescent="0.25">
      <c r="A105" t="s">
        <v>149</v>
      </c>
      <c r="B105">
        <v>5</v>
      </c>
      <c r="C105">
        <v>2019</v>
      </c>
      <c r="D105">
        <v>24.03</v>
      </c>
      <c r="E105">
        <v>24.03</v>
      </c>
      <c r="F105">
        <v>4209.29</v>
      </c>
      <c r="G105">
        <v>4209.29</v>
      </c>
      <c r="H105">
        <v>4253.25</v>
      </c>
      <c r="I105">
        <v>0</v>
      </c>
      <c r="J105">
        <v>27.24</v>
      </c>
      <c r="K105">
        <v>11.45</v>
      </c>
      <c r="L105">
        <v>104.48</v>
      </c>
      <c r="M105">
        <v>0</v>
      </c>
      <c r="N105">
        <v>1140.51</v>
      </c>
      <c r="O105">
        <v>438.29</v>
      </c>
      <c r="P105">
        <v>196.51</v>
      </c>
      <c r="Q105">
        <v>1851.41</v>
      </c>
      <c r="R105">
        <v>6241.82</v>
      </c>
      <c r="S105">
        <v>0</v>
      </c>
      <c r="T105">
        <v>0</v>
      </c>
      <c r="U105">
        <v>1550.31</v>
      </c>
      <c r="V105">
        <v>101.24</v>
      </c>
      <c r="W105">
        <v>1659.17</v>
      </c>
      <c r="X105">
        <v>13.75</v>
      </c>
      <c r="Y105">
        <v>19.02</v>
      </c>
      <c r="Z105">
        <v>166.77</v>
      </c>
      <c r="AA105">
        <v>2715.48</v>
      </c>
      <c r="AB105">
        <v>0</v>
      </c>
      <c r="AC105">
        <v>781.38</v>
      </c>
      <c r="AD105">
        <v>394.24</v>
      </c>
      <c r="AE105">
        <v>109.82</v>
      </c>
      <c r="AF105">
        <v>1203.92</v>
      </c>
      <c r="AG105">
        <v>287.10000000000002</v>
      </c>
      <c r="AH105">
        <v>3526.34</v>
      </c>
      <c r="AI105">
        <v>6241.82</v>
      </c>
      <c r="AJ105">
        <v>0</v>
      </c>
      <c r="AK105">
        <v>0</v>
      </c>
      <c r="AL105">
        <v>287.83999999999997</v>
      </c>
      <c r="AM105">
        <v>749.88</v>
      </c>
      <c r="AN105" t="e">
        <v>#N/A</v>
      </c>
      <c r="AO105">
        <v>749.88</v>
      </c>
      <c r="AP105" t="e">
        <v>#N/A</v>
      </c>
      <c r="AQ105">
        <v>10973.46</v>
      </c>
      <c r="AR105">
        <v>10973.46</v>
      </c>
      <c r="AS105">
        <v>81.209999999999994</v>
      </c>
      <c r="AT105">
        <v>11054.67</v>
      </c>
      <c r="AU105">
        <v>206.45</v>
      </c>
      <c r="AV105">
        <v>11261.12</v>
      </c>
      <c r="AW105">
        <v>0</v>
      </c>
      <c r="AX105">
        <v>5513.01</v>
      </c>
      <c r="AY105">
        <v>1103.6300000000001</v>
      </c>
      <c r="AZ105">
        <v>-55.18</v>
      </c>
      <c r="BA105">
        <v>441.82</v>
      </c>
      <c r="BB105">
        <v>9.09</v>
      </c>
      <c r="BC105" t="e">
        <v>#N/A</v>
      </c>
      <c r="BD105">
        <v>161.88</v>
      </c>
      <c r="BE105">
        <v>2317.9699999999998</v>
      </c>
      <c r="BF105">
        <v>9492.2199999999993</v>
      </c>
      <c r="BG105">
        <v>1768.9</v>
      </c>
      <c r="BH105">
        <v>1768.9</v>
      </c>
      <c r="BI105">
        <v>0</v>
      </c>
      <c r="BJ105">
        <v>599.78</v>
      </c>
      <c r="BK105">
        <v>12.69</v>
      </c>
      <c r="BL105" t="e">
        <v>#N/A</v>
      </c>
      <c r="BM105">
        <v>612.47</v>
      </c>
      <c r="BN105">
        <v>1156.43</v>
      </c>
      <c r="BO105">
        <v>1156.43</v>
      </c>
      <c r="BP105">
        <v>1156.43</v>
      </c>
      <c r="BQ105">
        <v>360.45</v>
      </c>
      <c r="BR105">
        <v>1.4</v>
      </c>
      <c r="BS105" t="e">
        <v>#N/A</v>
      </c>
    </row>
    <row r="106" spans="1:71" x14ac:dyDescent="0.25">
      <c r="A106" t="s">
        <v>149</v>
      </c>
      <c r="B106">
        <v>6</v>
      </c>
      <c r="C106">
        <v>2018</v>
      </c>
      <c r="D106">
        <v>24.01</v>
      </c>
      <c r="E106">
        <v>24.01</v>
      </c>
      <c r="F106">
        <v>3382.22</v>
      </c>
      <c r="G106">
        <v>3382.22</v>
      </c>
      <c r="H106">
        <v>3406.23</v>
      </c>
      <c r="I106">
        <v>0</v>
      </c>
      <c r="J106">
        <v>27.14</v>
      </c>
      <c r="K106">
        <v>8.8699999999999992</v>
      </c>
      <c r="L106">
        <v>120.58</v>
      </c>
      <c r="M106">
        <v>0</v>
      </c>
      <c r="N106">
        <v>994.09</v>
      </c>
      <c r="O106">
        <v>381.26</v>
      </c>
      <c r="P106">
        <v>178.97</v>
      </c>
      <c r="Q106">
        <v>1647.97</v>
      </c>
      <c r="R106">
        <v>5187.92</v>
      </c>
      <c r="S106">
        <v>0</v>
      </c>
      <c r="T106">
        <v>0</v>
      </c>
      <c r="U106">
        <v>1209.43</v>
      </c>
      <c r="V106">
        <v>202.82</v>
      </c>
      <c r="W106">
        <v>1420.22</v>
      </c>
      <c r="X106">
        <v>22.57</v>
      </c>
      <c r="Y106">
        <v>134.24</v>
      </c>
      <c r="Z106">
        <v>108.93</v>
      </c>
      <c r="AA106">
        <v>2036.64</v>
      </c>
      <c r="AB106">
        <v>0</v>
      </c>
      <c r="AC106">
        <v>652.79</v>
      </c>
      <c r="AD106">
        <v>304.60000000000002</v>
      </c>
      <c r="AE106">
        <v>186.42</v>
      </c>
      <c r="AF106">
        <v>844.34</v>
      </c>
      <c r="AG106">
        <v>306.33</v>
      </c>
      <c r="AH106">
        <v>3151.28</v>
      </c>
      <c r="AI106">
        <v>5187.92</v>
      </c>
      <c r="AJ106">
        <v>0</v>
      </c>
      <c r="AK106">
        <v>0</v>
      </c>
      <c r="AL106">
        <v>242.47</v>
      </c>
      <c r="AM106">
        <v>856.8</v>
      </c>
      <c r="AN106" t="e">
        <v>#N/A</v>
      </c>
      <c r="AO106">
        <v>856.8</v>
      </c>
      <c r="AP106" t="e">
        <v>#N/A</v>
      </c>
      <c r="AQ106">
        <v>9905.6299999999992</v>
      </c>
      <c r="AR106">
        <v>9829.52</v>
      </c>
      <c r="AS106">
        <v>84.47</v>
      </c>
      <c r="AT106">
        <v>9913.99</v>
      </c>
      <c r="AU106">
        <v>166.37</v>
      </c>
      <c r="AV106">
        <v>10080.36</v>
      </c>
      <c r="AW106">
        <v>0</v>
      </c>
      <c r="AX106">
        <v>4906.08</v>
      </c>
      <c r="AY106">
        <v>1194.72</v>
      </c>
      <c r="AZ106">
        <v>6.3</v>
      </c>
      <c r="BA106">
        <v>401.6</v>
      </c>
      <c r="BB106">
        <v>7.59</v>
      </c>
      <c r="BC106" t="e">
        <v>#N/A</v>
      </c>
      <c r="BD106">
        <v>142.07</v>
      </c>
      <c r="BE106">
        <v>1903.64</v>
      </c>
      <c r="BF106">
        <v>8562</v>
      </c>
      <c r="BG106">
        <v>1518.36</v>
      </c>
      <c r="BH106">
        <v>1518.36</v>
      </c>
      <c r="BI106">
        <v>0</v>
      </c>
      <c r="BJ106">
        <v>513.67999999999995</v>
      </c>
      <c r="BK106">
        <v>0.54</v>
      </c>
      <c r="BL106" t="e">
        <v>#N/A</v>
      </c>
      <c r="BM106">
        <v>514.22</v>
      </c>
      <c r="BN106">
        <v>1004.14</v>
      </c>
      <c r="BO106">
        <v>1004.14</v>
      </c>
      <c r="BP106">
        <v>1004.14</v>
      </c>
      <c r="BQ106">
        <v>317.91000000000003</v>
      </c>
      <c r="BR106">
        <v>0</v>
      </c>
      <c r="BS106" t="e">
        <v>#N/A</v>
      </c>
    </row>
    <row r="107" spans="1:71" x14ac:dyDescent="0.25">
      <c r="A107" t="s">
        <v>150</v>
      </c>
      <c r="B107">
        <v>2</v>
      </c>
      <c r="C107">
        <v>2022</v>
      </c>
      <c r="D107">
        <v>131.97</v>
      </c>
      <c r="E107">
        <v>131.97</v>
      </c>
      <c r="F107">
        <v>1971.53</v>
      </c>
      <c r="G107">
        <v>1971.53</v>
      </c>
      <c r="H107">
        <v>2103.5</v>
      </c>
      <c r="I107">
        <v>0</v>
      </c>
      <c r="J107">
        <v>1765.84</v>
      </c>
      <c r="K107" t="e">
        <v>#N/A</v>
      </c>
      <c r="L107">
        <v>1765.84</v>
      </c>
      <c r="M107">
        <v>0</v>
      </c>
      <c r="N107">
        <v>535.29999999999995</v>
      </c>
      <c r="O107">
        <v>330.05</v>
      </c>
      <c r="P107">
        <v>40.69</v>
      </c>
      <c r="Q107">
        <v>906.04</v>
      </c>
      <c r="R107">
        <v>4775.38</v>
      </c>
      <c r="S107">
        <v>0</v>
      </c>
      <c r="T107">
        <v>0</v>
      </c>
      <c r="U107">
        <v>2630</v>
      </c>
      <c r="V107">
        <v>38.840000000000003</v>
      </c>
      <c r="W107">
        <v>2728.55</v>
      </c>
      <c r="X107">
        <v>57.08</v>
      </c>
      <c r="Y107">
        <v>0</v>
      </c>
      <c r="Z107">
        <v>196.43</v>
      </c>
      <c r="AA107">
        <v>3836.79</v>
      </c>
      <c r="AB107">
        <v>0</v>
      </c>
      <c r="AC107">
        <v>157.05000000000001</v>
      </c>
      <c r="AD107">
        <v>26.75</v>
      </c>
      <c r="AE107">
        <v>539.99</v>
      </c>
      <c r="AF107">
        <v>41.33</v>
      </c>
      <c r="AG107">
        <v>73.790000000000006</v>
      </c>
      <c r="AH107">
        <v>938.59</v>
      </c>
      <c r="AI107">
        <v>4775.38</v>
      </c>
      <c r="AJ107">
        <v>0</v>
      </c>
      <c r="AK107">
        <v>0</v>
      </c>
      <c r="AL107">
        <v>258.7</v>
      </c>
      <c r="AM107">
        <v>99.68</v>
      </c>
      <c r="AN107" t="s">
        <v>53</v>
      </c>
      <c r="AO107">
        <v>99.68</v>
      </c>
      <c r="AP107" t="e">
        <v>#N/A</v>
      </c>
      <c r="AQ107">
        <v>4378.7299999999996</v>
      </c>
      <c r="AR107">
        <v>4378.7299999999996</v>
      </c>
      <c r="AS107">
        <v>17.399999999999999</v>
      </c>
      <c r="AT107">
        <v>4396.12</v>
      </c>
      <c r="AU107">
        <v>41.35</v>
      </c>
      <c r="AV107">
        <v>4437.4799999999996</v>
      </c>
      <c r="AW107">
        <v>0</v>
      </c>
      <c r="AX107">
        <v>934.6</v>
      </c>
      <c r="AY107">
        <v>59.05</v>
      </c>
      <c r="AZ107">
        <v>-3.75</v>
      </c>
      <c r="BA107">
        <v>768.38</v>
      </c>
      <c r="BB107">
        <v>176.09</v>
      </c>
      <c r="BC107" t="e">
        <v>#N/A</v>
      </c>
      <c r="BD107">
        <v>393.05</v>
      </c>
      <c r="BE107">
        <v>1529.07</v>
      </c>
      <c r="BF107">
        <v>3856.49</v>
      </c>
      <c r="BG107">
        <v>580.99</v>
      </c>
      <c r="BH107">
        <v>573.66</v>
      </c>
      <c r="BI107">
        <v>0</v>
      </c>
      <c r="BJ107">
        <v>144.91999999999999</v>
      </c>
      <c r="BK107">
        <v>0</v>
      </c>
      <c r="BL107">
        <v>0.25</v>
      </c>
      <c r="BM107">
        <v>145.16999999999999</v>
      </c>
      <c r="BN107">
        <v>428.49</v>
      </c>
      <c r="BO107">
        <v>428.49</v>
      </c>
      <c r="BP107">
        <v>428.49</v>
      </c>
      <c r="BQ107">
        <v>79.180000000000007</v>
      </c>
      <c r="BR107">
        <v>0</v>
      </c>
      <c r="BS107" t="e">
        <v>#N/A</v>
      </c>
    </row>
    <row r="108" spans="1:71" x14ac:dyDescent="0.25">
      <c r="A108" t="s">
        <v>150</v>
      </c>
      <c r="B108">
        <v>3</v>
      </c>
      <c r="C108">
        <v>2021</v>
      </c>
      <c r="D108">
        <v>131.97</v>
      </c>
      <c r="E108">
        <v>131.97</v>
      </c>
      <c r="F108">
        <v>1365.16</v>
      </c>
      <c r="G108">
        <v>1365.16</v>
      </c>
      <c r="H108">
        <v>1497.13</v>
      </c>
      <c r="I108">
        <v>0</v>
      </c>
      <c r="J108">
        <v>1450.5</v>
      </c>
      <c r="K108" t="e">
        <v>#N/A</v>
      </c>
      <c r="L108">
        <v>1450.5</v>
      </c>
      <c r="M108">
        <v>0</v>
      </c>
      <c r="N108">
        <v>533.26</v>
      </c>
      <c r="O108">
        <v>278.70999999999998</v>
      </c>
      <c r="P108">
        <v>41.93</v>
      </c>
      <c r="Q108">
        <v>853.9</v>
      </c>
      <c r="R108">
        <v>3801.53</v>
      </c>
      <c r="S108">
        <v>0</v>
      </c>
      <c r="T108">
        <v>0</v>
      </c>
      <c r="U108">
        <v>2067.96</v>
      </c>
      <c r="V108">
        <v>24.45</v>
      </c>
      <c r="W108">
        <v>2130.15</v>
      </c>
      <c r="X108">
        <v>88.37</v>
      </c>
      <c r="Y108">
        <v>0</v>
      </c>
      <c r="Z108">
        <v>235.52</v>
      </c>
      <c r="AA108">
        <v>2986.47</v>
      </c>
      <c r="AB108">
        <v>0</v>
      </c>
      <c r="AC108">
        <v>130.47</v>
      </c>
      <c r="AD108">
        <v>17.920000000000002</v>
      </c>
      <c r="AE108">
        <v>517.46</v>
      </c>
      <c r="AF108">
        <v>1.4</v>
      </c>
      <c r="AG108">
        <v>66.349999999999994</v>
      </c>
      <c r="AH108">
        <v>815.06</v>
      </c>
      <c r="AI108">
        <v>3801.53</v>
      </c>
      <c r="AJ108">
        <v>0</v>
      </c>
      <c r="AK108">
        <v>0</v>
      </c>
      <c r="AL108">
        <v>188.89</v>
      </c>
      <c r="AM108">
        <v>81.45</v>
      </c>
      <c r="AN108" t="s">
        <v>53</v>
      </c>
      <c r="AO108">
        <v>81.45</v>
      </c>
      <c r="AP108" t="e">
        <v>#N/A</v>
      </c>
      <c r="AQ108">
        <v>3295.89</v>
      </c>
      <c r="AR108">
        <v>3295.89</v>
      </c>
      <c r="AS108">
        <v>15.98</v>
      </c>
      <c r="AT108">
        <v>3311.87</v>
      </c>
      <c r="AU108">
        <v>73.08</v>
      </c>
      <c r="AV108">
        <v>3384.95</v>
      </c>
      <c r="AW108">
        <v>0</v>
      </c>
      <c r="AX108">
        <v>680.72</v>
      </c>
      <c r="AY108">
        <v>46.86</v>
      </c>
      <c r="AZ108">
        <v>-1.34</v>
      </c>
      <c r="BA108">
        <v>746.88</v>
      </c>
      <c r="BB108">
        <v>162.69999999999999</v>
      </c>
      <c r="BC108" t="e">
        <v>#N/A</v>
      </c>
      <c r="BD108">
        <v>375.4</v>
      </c>
      <c r="BE108">
        <v>1067.56</v>
      </c>
      <c r="BF108">
        <v>3078.77</v>
      </c>
      <c r="BG108">
        <v>306.17</v>
      </c>
      <c r="BH108">
        <v>306.17</v>
      </c>
      <c r="BI108">
        <v>0</v>
      </c>
      <c r="BJ108">
        <v>93.13</v>
      </c>
      <c r="BK108">
        <v>-17.48</v>
      </c>
      <c r="BL108">
        <v>0</v>
      </c>
      <c r="BM108">
        <v>75.650000000000006</v>
      </c>
      <c r="BN108">
        <v>230.52</v>
      </c>
      <c r="BO108">
        <v>230.52</v>
      </c>
      <c r="BP108">
        <v>230.52</v>
      </c>
      <c r="BQ108">
        <v>0</v>
      </c>
      <c r="BR108">
        <v>0</v>
      </c>
      <c r="BS108" t="e">
        <v>#N/A</v>
      </c>
    </row>
    <row r="109" spans="1:71" x14ac:dyDescent="0.25">
      <c r="A109" t="s">
        <v>150</v>
      </c>
      <c r="B109">
        <v>4</v>
      </c>
      <c r="C109">
        <v>2020</v>
      </c>
      <c r="D109">
        <v>131.97</v>
      </c>
      <c r="E109">
        <v>131.97</v>
      </c>
      <c r="F109">
        <v>1050.97</v>
      </c>
      <c r="G109">
        <v>1050.97</v>
      </c>
      <c r="H109">
        <v>1182.94</v>
      </c>
      <c r="I109">
        <v>0</v>
      </c>
      <c r="J109">
        <v>1508.14</v>
      </c>
      <c r="K109" t="e">
        <v>#N/A</v>
      </c>
      <c r="L109">
        <v>1508.14</v>
      </c>
      <c r="M109">
        <v>0</v>
      </c>
      <c r="N109">
        <v>448.46</v>
      </c>
      <c r="O109">
        <v>231.62</v>
      </c>
      <c r="P109">
        <v>27.77</v>
      </c>
      <c r="Q109">
        <v>707.86</v>
      </c>
      <c r="R109">
        <v>3398.93</v>
      </c>
      <c r="S109">
        <v>0</v>
      </c>
      <c r="T109">
        <v>0</v>
      </c>
      <c r="U109">
        <v>2112.04</v>
      </c>
      <c r="V109">
        <v>38.94</v>
      </c>
      <c r="W109">
        <v>2188.19</v>
      </c>
      <c r="X109">
        <v>80.989999999999995</v>
      </c>
      <c r="Y109">
        <v>0</v>
      </c>
      <c r="Z109">
        <v>205.61</v>
      </c>
      <c r="AA109">
        <v>2558.1799999999998</v>
      </c>
      <c r="AB109">
        <v>0</v>
      </c>
      <c r="AC109">
        <v>92.19</v>
      </c>
      <c r="AD109">
        <v>19.29</v>
      </c>
      <c r="AE109">
        <v>639.22</v>
      </c>
      <c r="AF109">
        <v>0</v>
      </c>
      <c r="AG109">
        <v>38.869999999999997</v>
      </c>
      <c r="AH109">
        <v>840.75</v>
      </c>
      <c r="AI109">
        <v>3398.93</v>
      </c>
      <c r="AJ109">
        <v>0</v>
      </c>
      <c r="AK109">
        <v>0</v>
      </c>
      <c r="AL109">
        <v>100.88</v>
      </c>
      <c r="AM109">
        <v>51.18</v>
      </c>
      <c r="AN109" t="s">
        <v>53</v>
      </c>
      <c r="AO109">
        <v>51.18</v>
      </c>
      <c r="AP109" t="e">
        <v>#N/A</v>
      </c>
      <c r="AQ109">
        <v>3912.12</v>
      </c>
      <c r="AR109">
        <v>3912.12</v>
      </c>
      <c r="AS109">
        <v>15.15</v>
      </c>
      <c r="AT109">
        <v>3927.27</v>
      </c>
      <c r="AU109">
        <v>69.62</v>
      </c>
      <c r="AV109">
        <v>3996.89</v>
      </c>
      <c r="AW109">
        <v>0</v>
      </c>
      <c r="AX109">
        <v>914.08</v>
      </c>
      <c r="AY109">
        <v>70.42</v>
      </c>
      <c r="AZ109">
        <v>-1.03</v>
      </c>
      <c r="BA109">
        <v>796.44</v>
      </c>
      <c r="BB109">
        <v>165.24</v>
      </c>
      <c r="BC109" t="e">
        <v>#N/A</v>
      </c>
      <c r="BD109">
        <v>352.28</v>
      </c>
      <c r="BE109">
        <v>1271.77</v>
      </c>
      <c r="BF109">
        <v>3569.19</v>
      </c>
      <c r="BG109">
        <v>427.7</v>
      </c>
      <c r="BH109">
        <v>402.79</v>
      </c>
      <c r="BI109">
        <v>0</v>
      </c>
      <c r="BJ109">
        <v>119.64</v>
      </c>
      <c r="BK109">
        <v>4.3499999999999996</v>
      </c>
      <c r="BL109">
        <v>0</v>
      </c>
      <c r="BM109">
        <v>123.99</v>
      </c>
      <c r="BN109">
        <v>278.8</v>
      </c>
      <c r="BO109">
        <v>278.8</v>
      </c>
      <c r="BP109">
        <v>278.8</v>
      </c>
      <c r="BQ109">
        <v>145.16999999999999</v>
      </c>
      <c r="BR109">
        <v>29.84</v>
      </c>
      <c r="BS109" t="e">
        <v>#N/A</v>
      </c>
    </row>
    <row r="110" spans="1:71" x14ac:dyDescent="0.25">
      <c r="A110" t="s">
        <v>150</v>
      </c>
      <c r="B110">
        <v>5</v>
      </c>
      <c r="C110">
        <v>2019</v>
      </c>
      <c r="D110">
        <v>131.97</v>
      </c>
      <c r="E110">
        <v>131.97</v>
      </c>
      <c r="F110">
        <v>1191.75</v>
      </c>
      <c r="G110">
        <v>1191.75</v>
      </c>
      <c r="H110">
        <v>1323.72</v>
      </c>
      <c r="I110">
        <v>0</v>
      </c>
      <c r="J110">
        <v>0.5</v>
      </c>
      <c r="K110" t="e">
        <v>#N/A</v>
      </c>
      <c r="L110">
        <v>49.75</v>
      </c>
      <c r="M110">
        <v>0</v>
      </c>
      <c r="N110">
        <v>420.54</v>
      </c>
      <c r="O110">
        <v>95.34</v>
      </c>
      <c r="P110">
        <v>24.47</v>
      </c>
      <c r="Q110">
        <v>540.36</v>
      </c>
      <c r="R110">
        <v>1913.82</v>
      </c>
      <c r="S110">
        <v>0</v>
      </c>
      <c r="T110">
        <v>0</v>
      </c>
      <c r="U110">
        <v>748.91</v>
      </c>
      <c r="V110">
        <v>14.44</v>
      </c>
      <c r="W110">
        <v>800.36</v>
      </c>
      <c r="X110">
        <v>0</v>
      </c>
      <c r="Y110">
        <v>0</v>
      </c>
      <c r="Z110">
        <v>218.33</v>
      </c>
      <c r="AA110">
        <v>1107.4100000000001</v>
      </c>
      <c r="AB110">
        <v>0</v>
      </c>
      <c r="AC110">
        <v>73.150000000000006</v>
      </c>
      <c r="AD110">
        <v>32.68</v>
      </c>
      <c r="AE110">
        <v>489.06</v>
      </c>
      <c r="AF110">
        <v>0</v>
      </c>
      <c r="AG110">
        <v>30.72</v>
      </c>
      <c r="AH110">
        <v>806.41</v>
      </c>
      <c r="AI110">
        <v>1913.82</v>
      </c>
      <c r="AJ110">
        <v>0</v>
      </c>
      <c r="AK110">
        <v>0</v>
      </c>
      <c r="AL110">
        <v>85.75</v>
      </c>
      <c r="AM110">
        <v>180.8</v>
      </c>
      <c r="AN110" t="s">
        <v>53</v>
      </c>
      <c r="AO110">
        <v>180.8</v>
      </c>
      <c r="AP110" t="e">
        <v>#N/A</v>
      </c>
      <c r="AQ110">
        <v>3557.08</v>
      </c>
      <c r="AR110">
        <v>3557.08</v>
      </c>
      <c r="AS110">
        <v>6.06</v>
      </c>
      <c r="AT110">
        <v>3563.14</v>
      </c>
      <c r="AU110">
        <v>47.36</v>
      </c>
      <c r="AV110">
        <v>3610.51</v>
      </c>
      <c r="AW110">
        <v>0</v>
      </c>
      <c r="AX110">
        <v>794.38</v>
      </c>
      <c r="AY110">
        <v>90.93</v>
      </c>
      <c r="AZ110">
        <v>0.8</v>
      </c>
      <c r="BA110">
        <v>681.82</v>
      </c>
      <c r="BB110">
        <v>0</v>
      </c>
      <c r="BC110" t="e">
        <v>#N/A</v>
      </c>
      <c r="BD110">
        <v>157.44999999999999</v>
      </c>
      <c r="BE110">
        <v>1395.46</v>
      </c>
      <c r="BF110">
        <v>3120.83</v>
      </c>
      <c r="BG110">
        <v>489.67</v>
      </c>
      <c r="BH110">
        <v>489.67</v>
      </c>
      <c r="BI110">
        <v>0</v>
      </c>
      <c r="BJ110">
        <v>174.75</v>
      </c>
      <c r="BK110">
        <v>-3.05</v>
      </c>
      <c r="BL110">
        <v>0</v>
      </c>
      <c r="BM110">
        <v>171.69</v>
      </c>
      <c r="BN110">
        <v>317.98</v>
      </c>
      <c r="BO110">
        <v>317.98</v>
      </c>
      <c r="BP110">
        <v>317.98</v>
      </c>
      <c r="BQ110">
        <v>32.99</v>
      </c>
      <c r="BR110">
        <v>6.78</v>
      </c>
      <c r="BS110" t="e">
        <v>#N/A</v>
      </c>
    </row>
    <row r="111" spans="1:71" x14ac:dyDescent="0.25">
      <c r="A111" t="s">
        <v>150</v>
      </c>
      <c r="B111">
        <v>6</v>
      </c>
      <c r="C111">
        <v>2018</v>
      </c>
      <c r="D111">
        <v>65.98</v>
      </c>
      <c r="E111">
        <v>65.98</v>
      </c>
      <c r="F111">
        <v>977.92</v>
      </c>
      <c r="G111">
        <v>977.92</v>
      </c>
      <c r="H111">
        <v>1043.9100000000001</v>
      </c>
      <c r="I111">
        <v>0</v>
      </c>
      <c r="J111">
        <v>0.5</v>
      </c>
      <c r="K111" t="e">
        <v>#N/A</v>
      </c>
      <c r="L111">
        <v>55.48</v>
      </c>
      <c r="M111">
        <v>0</v>
      </c>
      <c r="N111">
        <v>386.83</v>
      </c>
      <c r="O111">
        <v>65.47</v>
      </c>
      <c r="P111">
        <v>16.25</v>
      </c>
      <c r="Q111">
        <v>468.55</v>
      </c>
      <c r="R111">
        <v>1567.94</v>
      </c>
      <c r="S111">
        <v>0</v>
      </c>
      <c r="T111">
        <v>0</v>
      </c>
      <c r="U111">
        <v>732.04</v>
      </c>
      <c r="V111">
        <v>10.93</v>
      </c>
      <c r="W111">
        <v>780.68</v>
      </c>
      <c r="X111">
        <v>0</v>
      </c>
      <c r="Y111">
        <v>16.93</v>
      </c>
      <c r="Z111">
        <v>186.85</v>
      </c>
      <c r="AA111">
        <v>1066.6300000000001</v>
      </c>
      <c r="AB111">
        <v>0</v>
      </c>
      <c r="AC111">
        <v>62.59</v>
      </c>
      <c r="AD111">
        <v>15.08</v>
      </c>
      <c r="AE111">
        <v>128.53</v>
      </c>
      <c r="AF111">
        <v>0</v>
      </c>
      <c r="AG111">
        <v>32.01</v>
      </c>
      <c r="AH111">
        <v>501.31</v>
      </c>
      <c r="AI111">
        <v>1567.94</v>
      </c>
      <c r="AJ111">
        <v>0</v>
      </c>
      <c r="AK111">
        <v>0</v>
      </c>
      <c r="AL111">
        <v>36.92</v>
      </c>
      <c r="AM111">
        <v>263.10000000000002</v>
      </c>
      <c r="AN111" t="s">
        <v>53</v>
      </c>
      <c r="AO111">
        <v>263.10000000000002</v>
      </c>
      <c r="AP111" t="e">
        <v>#N/A</v>
      </c>
      <c r="AQ111">
        <v>3017.74</v>
      </c>
      <c r="AR111">
        <v>3017.74</v>
      </c>
      <c r="AS111">
        <v>0.66</v>
      </c>
      <c r="AT111">
        <v>3018.4</v>
      </c>
      <c r="AU111">
        <v>23.08</v>
      </c>
      <c r="AV111">
        <v>3041.48</v>
      </c>
      <c r="AW111">
        <v>0</v>
      </c>
      <c r="AX111">
        <v>673.61</v>
      </c>
      <c r="AY111">
        <v>93.82</v>
      </c>
      <c r="AZ111">
        <v>-1.47</v>
      </c>
      <c r="BA111">
        <v>613.97</v>
      </c>
      <c r="BB111">
        <v>0</v>
      </c>
      <c r="BC111" t="e">
        <v>#N/A</v>
      </c>
      <c r="BD111">
        <v>160.11000000000001</v>
      </c>
      <c r="BE111">
        <v>1198.3699999999999</v>
      </c>
      <c r="BF111">
        <v>2738.42</v>
      </c>
      <c r="BG111">
        <v>303.06</v>
      </c>
      <c r="BH111">
        <v>303.06</v>
      </c>
      <c r="BI111">
        <v>0</v>
      </c>
      <c r="BJ111">
        <v>122.14</v>
      </c>
      <c r="BK111">
        <v>-15.31</v>
      </c>
      <c r="BL111">
        <v>0</v>
      </c>
      <c r="BM111">
        <v>106.83</v>
      </c>
      <c r="BN111">
        <v>196.23</v>
      </c>
      <c r="BO111">
        <v>196.23</v>
      </c>
      <c r="BP111">
        <v>196.23</v>
      </c>
      <c r="BQ111">
        <v>16.5</v>
      </c>
      <c r="BR111">
        <v>3.36</v>
      </c>
      <c r="BS111" t="e">
        <v>#N/A</v>
      </c>
    </row>
    <row r="112" spans="1:71" x14ac:dyDescent="0.25">
      <c r="A112" t="s">
        <v>153</v>
      </c>
      <c r="B112">
        <v>2</v>
      </c>
      <c r="C112">
        <v>2022</v>
      </c>
      <c r="D112">
        <v>21.56</v>
      </c>
      <c r="E112">
        <v>21.56</v>
      </c>
      <c r="F112">
        <v>1087.2</v>
      </c>
      <c r="G112">
        <v>1087.2</v>
      </c>
      <c r="H112">
        <v>1108.77</v>
      </c>
      <c r="I112">
        <v>0</v>
      </c>
      <c r="J112">
        <v>181.31</v>
      </c>
      <c r="K112" t="e">
        <v>#N/A</v>
      </c>
      <c r="L112">
        <v>1012.81</v>
      </c>
      <c r="M112">
        <v>0</v>
      </c>
      <c r="N112">
        <v>146.59</v>
      </c>
      <c r="O112">
        <v>332.36</v>
      </c>
      <c r="P112">
        <v>17.34</v>
      </c>
      <c r="Q112">
        <v>1420.1</v>
      </c>
      <c r="R112">
        <v>3541.67</v>
      </c>
      <c r="S112">
        <v>0</v>
      </c>
      <c r="T112">
        <v>0</v>
      </c>
      <c r="U112">
        <v>2393.58</v>
      </c>
      <c r="V112">
        <v>237.08</v>
      </c>
      <c r="W112">
        <v>2646.7</v>
      </c>
      <c r="X112" t="e">
        <v>#N/A</v>
      </c>
      <c r="Y112" t="e">
        <v>#N/A</v>
      </c>
      <c r="Z112">
        <v>81.91</v>
      </c>
      <c r="AA112">
        <v>2742.12</v>
      </c>
      <c r="AB112">
        <v>0</v>
      </c>
      <c r="AC112">
        <v>609.16999999999996</v>
      </c>
      <c r="AD112">
        <v>7.78</v>
      </c>
      <c r="AE112">
        <v>39.67</v>
      </c>
      <c r="AF112" t="e">
        <v>#N/A</v>
      </c>
      <c r="AG112">
        <v>142.93</v>
      </c>
      <c r="AH112">
        <v>799.55</v>
      </c>
      <c r="AI112">
        <v>3541.67</v>
      </c>
      <c r="AJ112">
        <v>0</v>
      </c>
      <c r="AK112">
        <v>0</v>
      </c>
      <c r="AL112">
        <v>274.35000000000002</v>
      </c>
      <c r="AM112">
        <v>0</v>
      </c>
      <c r="AN112" t="s">
        <v>53</v>
      </c>
      <c r="AO112" t="s">
        <v>53</v>
      </c>
      <c r="AP112" t="s">
        <v>3</v>
      </c>
      <c r="AQ112">
        <v>6353.51</v>
      </c>
      <c r="AR112">
        <v>6353.51</v>
      </c>
      <c r="AS112">
        <v>16.850000000000001</v>
      </c>
      <c r="AT112">
        <v>6370.36</v>
      </c>
      <c r="AU112">
        <v>9.81</v>
      </c>
      <c r="AV112">
        <v>6380.18</v>
      </c>
      <c r="AW112">
        <v>0</v>
      </c>
      <c r="AX112">
        <v>4351.8500000000004</v>
      </c>
      <c r="AY112">
        <v>5.36</v>
      </c>
      <c r="AZ112">
        <v>51.09</v>
      </c>
      <c r="BA112">
        <v>210.02</v>
      </c>
      <c r="BB112">
        <v>106.63</v>
      </c>
      <c r="BC112" t="e">
        <v>#N/A</v>
      </c>
      <c r="BD112">
        <v>310.77</v>
      </c>
      <c r="BE112">
        <v>1030.72</v>
      </c>
      <c r="BF112">
        <v>6066.45</v>
      </c>
      <c r="BG112">
        <v>313.72000000000003</v>
      </c>
      <c r="BH112">
        <v>313.72000000000003</v>
      </c>
      <c r="BI112">
        <v>0</v>
      </c>
      <c r="BJ112">
        <v>89.55</v>
      </c>
      <c r="BK112">
        <v>-24.86</v>
      </c>
      <c r="BL112">
        <v>0.78</v>
      </c>
      <c r="BM112">
        <v>65.47</v>
      </c>
      <c r="BN112">
        <v>248.25</v>
      </c>
      <c r="BO112">
        <v>248.25</v>
      </c>
      <c r="BP112">
        <v>217.91</v>
      </c>
      <c r="BQ112">
        <v>129.34</v>
      </c>
      <c r="BR112">
        <v>0</v>
      </c>
      <c r="BS112">
        <v>600</v>
      </c>
    </row>
    <row r="113" spans="1:71" x14ac:dyDescent="0.25">
      <c r="A113" t="s">
        <v>153</v>
      </c>
      <c r="B113">
        <v>3</v>
      </c>
      <c r="C113">
        <v>2021</v>
      </c>
      <c r="D113">
        <v>21.56</v>
      </c>
      <c r="E113">
        <v>21.56</v>
      </c>
      <c r="F113">
        <v>999.95</v>
      </c>
      <c r="G113">
        <v>999.95</v>
      </c>
      <c r="H113">
        <v>1021.51</v>
      </c>
      <c r="I113">
        <v>0</v>
      </c>
      <c r="J113">
        <v>150.06</v>
      </c>
      <c r="K113" t="e">
        <v>#N/A</v>
      </c>
      <c r="L113">
        <v>758.1</v>
      </c>
      <c r="M113">
        <v>0</v>
      </c>
      <c r="N113">
        <v>132.12</v>
      </c>
      <c r="O113">
        <v>626.9</v>
      </c>
      <c r="P113">
        <v>12.28</v>
      </c>
      <c r="Q113">
        <v>1337.42</v>
      </c>
      <c r="R113">
        <v>3117.03</v>
      </c>
      <c r="S113">
        <v>0</v>
      </c>
      <c r="T113">
        <v>0</v>
      </c>
      <c r="U113">
        <v>1913.86</v>
      </c>
      <c r="V113">
        <v>384.44</v>
      </c>
      <c r="W113">
        <v>2313.54</v>
      </c>
      <c r="X113" t="e">
        <v>#N/A</v>
      </c>
      <c r="Y113" t="e">
        <v>#N/A</v>
      </c>
      <c r="Z113">
        <v>77.22</v>
      </c>
      <c r="AA113">
        <v>2399.06</v>
      </c>
      <c r="AB113">
        <v>0</v>
      </c>
      <c r="AC113">
        <v>569.77</v>
      </c>
      <c r="AD113">
        <v>9.07</v>
      </c>
      <c r="AE113">
        <v>39.25</v>
      </c>
      <c r="AF113" t="e">
        <v>#N/A</v>
      </c>
      <c r="AG113">
        <v>99.88</v>
      </c>
      <c r="AH113">
        <v>717.97</v>
      </c>
      <c r="AI113">
        <v>3117.03</v>
      </c>
      <c r="AJ113">
        <v>0</v>
      </c>
      <c r="AK113">
        <v>0</v>
      </c>
      <c r="AL113">
        <v>302.68</v>
      </c>
      <c r="AM113">
        <v>0</v>
      </c>
      <c r="AN113" t="s">
        <v>53</v>
      </c>
      <c r="AO113" t="s">
        <v>53</v>
      </c>
      <c r="AP113">
        <v>0</v>
      </c>
      <c r="AQ113">
        <v>5562.27</v>
      </c>
      <c r="AR113">
        <v>5562.27</v>
      </c>
      <c r="AS113">
        <v>7.47</v>
      </c>
      <c r="AT113">
        <v>5569.74</v>
      </c>
      <c r="AU113">
        <v>5.76</v>
      </c>
      <c r="AV113">
        <v>5575.51</v>
      </c>
      <c r="AW113">
        <v>0</v>
      </c>
      <c r="AX113">
        <v>3951.96</v>
      </c>
      <c r="AY113">
        <v>3.6</v>
      </c>
      <c r="AZ113">
        <v>-150.62</v>
      </c>
      <c r="BA113">
        <v>188.37</v>
      </c>
      <c r="BB113">
        <v>110.43</v>
      </c>
      <c r="BC113" t="e">
        <v>#N/A</v>
      </c>
      <c r="BD113">
        <v>309.89999999999998</v>
      </c>
      <c r="BE113">
        <v>797.72</v>
      </c>
      <c r="BF113">
        <v>5211.3500000000004</v>
      </c>
      <c r="BG113">
        <v>364.15</v>
      </c>
      <c r="BH113">
        <v>364.15</v>
      </c>
      <c r="BI113">
        <v>0</v>
      </c>
      <c r="BJ113">
        <v>127.87</v>
      </c>
      <c r="BK113">
        <v>-7.42</v>
      </c>
      <c r="BL113">
        <v>-2.65</v>
      </c>
      <c r="BM113">
        <v>117.8</v>
      </c>
      <c r="BN113">
        <v>246.35</v>
      </c>
      <c r="BO113">
        <v>246.35</v>
      </c>
      <c r="BP113">
        <v>246.35</v>
      </c>
      <c r="BQ113">
        <v>129.34</v>
      </c>
      <c r="BR113">
        <v>0</v>
      </c>
      <c r="BS113">
        <v>800</v>
      </c>
    </row>
    <row r="114" spans="1:71" x14ac:dyDescent="0.25">
      <c r="A114" t="s">
        <v>153</v>
      </c>
      <c r="B114">
        <v>4</v>
      </c>
      <c r="C114">
        <v>2020</v>
      </c>
      <c r="D114">
        <v>16.170000000000002</v>
      </c>
      <c r="E114">
        <v>16.170000000000002</v>
      </c>
      <c r="F114">
        <v>888.31</v>
      </c>
      <c r="G114">
        <v>888.31</v>
      </c>
      <c r="H114">
        <v>904.48</v>
      </c>
      <c r="I114">
        <v>0</v>
      </c>
      <c r="J114">
        <v>183.2</v>
      </c>
      <c r="K114" t="e">
        <v>#N/A</v>
      </c>
      <c r="L114">
        <v>852.47</v>
      </c>
      <c r="M114">
        <v>0</v>
      </c>
      <c r="N114">
        <v>142.06</v>
      </c>
      <c r="O114">
        <v>512.91999999999996</v>
      </c>
      <c r="P114">
        <v>5.64</v>
      </c>
      <c r="Q114">
        <v>957.31</v>
      </c>
      <c r="R114">
        <v>2714.26</v>
      </c>
      <c r="S114">
        <v>0</v>
      </c>
      <c r="T114">
        <v>0</v>
      </c>
      <c r="U114">
        <v>1743.35</v>
      </c>
      <c r="V114">
        <v>354.57</v>
      </c>
      <c r="W114">
        <v>2110.35</v>
      </c>
      <c r="X114" t="e">
        <v>#N/A</v>
      </c>
      <c r="Y114" t="e">
        <v>#N/A</v>
      </c>
      <c r="Z114">
        <v>105.51</v>
      </c>
      <c r="AA114">
        <v>2215.98</v>
      </c>
      <c r="AB114">
        <v>0</v>
      </c>
      <c r="AC114">
        <v>373.96</v>
      </c>
      <c r="AD114">
        <v>14.55</v>
      </c>
      <c r="AE114">
        <v>44.7</v>
      </c>
      <c r="AF114" t="e">
        <v>#N/A</v>
      </c>
      <c r="AG114">
        <v>65.08</v>
      </c>
      <c r="AH114">
        <v>498.28</v>
      </c>
      <c r="AI114">
        <v>2714.26</v>
      </c>
      <c r="AJ114">
        <v>0</v>
      </c>
      <c r="AK114">
        <v>0</v>
      </c>
      <c r="AL114">
        <v>296.24</v>
      </c>
      <c r="AM114">
        <v>0</v>
      </c>
      <c r="AN114" t="s">
        <v>53</v>
      </c>
      <c r="AO114" t="s">
        <v>53</v>
      </c>
      <c r="AP114">
        <v>0</v>
      </c>
      <c r="AQ114">
        <v>5300.25</v>
      </c>
      <c r="AR114">
        <v>5300.25</v>
      </c>
      <c r="AS114">
        <v>8.08</v>
      </c>
      <c r="AT114">
        <v>5308.33</v>
      </c>
      <c r="AU114">
        <v>8.65</v>
      </c>
      <c r="AV114">
        <v>5316.99</v>
      </c>
      <c r="AW114">
        <v>0</v>
      </c>
      <c r="AX114">
        <v>3684.97</v>
      </c>
      <c r="AY114">
        <v>2.69</v>
      </c>
      <c r="AZ114">
        <v>73.33</v>
      </c>
      <c r="BA114">
        <v>167.71</v>
      </c>
      <c r="BB114">
        <v>105.85</v>
      </c>
      <c r="BC114" t="e">
        <v>#N/A</v>
      </c>
      <c r="BD114">
        <v>296.48</v>
      </c>
      <c r="BE114">
        <v>829.56</v>
      </c>
      <c r="BF114">
        <v>5160.59</v>
      </c>
      <c r="BG114">
        <v>156.38999999999999</v>
      </c>
      <c r="BH114">
        <v>156.38999999999999</v>
      </c>
      <c r="BI114">
        <v>0</v>
      </c>
      <c r="BJ114">
        <v>52.8</v>
      </c>
      <c r="BK114">
        <v>-0.46</v>
      </c>
      <c r="BL114">
        <v>-8.2100000000000009</v>
      </c>
      <c r="BM114">
        <v>44.12</v>
      </c>
      <c r="BN114">
        <v>112.27</v>
      </c>
      <c r="BO114">
        <v>112.27</v>
      </c>
      <c r="BP114">
        <v>112.27</v>
      </c>
      <c r="BQ114">
        <v>96.25</v>
      </c>
      <c r="BR114">
        <v>19.78</v>
      </c>
      <c r="BS114">
        <v>400</v>
      </c>
    </row>
    <row r="115" spans="1:71" x14ac:dyDescent="0.25">
      <c r="A115" t="s">
        <v>153</v>
      </c>
      <c r="B115">
        <v>5</v>
      </c>
      <c r="C115">
        <v>2019</v>
      </c>
      <c r="D115">
        <v>15.98</v>
      </c>
      <c r="E115">
        <v>15.98</v>
      </c>
      <c r="F115">
        <v>788.7</v>
      </c>
      <c r="G115">
        <v>788.7</v>
      </c>
      <c r="H115">
        <v>804.68</v>
      </c>
      <c r="I115">
        <v>0</v>
      </c>
      <c r="J115">
        <v>0.61</v>
      </c>
      <c r="K115" t="e">
        <v>#N/A</v>
      </c>
      <c r="L115">
        <v>542.70000000000005</v>
      </c>
      <c r="M115">
        <v>0</v>
      </c>
      <c r="N115">
        <v>177.63</v>
      </c>
      <c r="O115">
        <v>482.43</v>
      </c>
      <c r="P115">
        <v>4.17</v>
      </c>
      <c r="Q115">
        <v>898.46</v>
      </c>
      <c r="R115">
        <v>2245.83</v>
      </c>
      <c r="S115">
        <v>0</v>
      </c>
      <c r="T115">
        <v>0</v>
      </c>
      <c r="U115">
        <v>1395.28</v>
      </c>
      <c r="V115">
        <v>233.15</v>
      </c>
      <c r="W115">
        <v>1640.96</v>
      </c>
      <c r="X115" t="e">
        <v>#N/A</v>
      </c>
      <c r="Y115" t="e">
        <v>#N/A</v>
      </c>
      <c r="Z115">
        <v>64.02</v>
      </c>
      <c r="AA115">
        <v>1705.1</v>
      </c>
      <c r="AB115">
        <v>0</v>
      </c>
      <c r="AC115">
        <v>403.41</v>
      </c>
      <c r="AD115">
        <v>8.25</v>
      </c>
      <c r="AE115">
        <v>36.409999999999997</v>
      </c>
      <c r="AF115" t="e">
        <v>#N/A</v>
      </c>
      <c r="AG115">
        <v>92.66</v>
      </c>
      <c r="AH115">
        <v>540.73</v>
      </c>
      <c r="AI115">
        <v>2245.83</v>
      </c>
      <c r="AJ115">
        <v>0</v>
      </c>
      <c r="AK115">
        <v>0</v>
      </c>
      <c r="AL115">
        <v>116.42</v>
      </c>
      <c r="AM115">
        <v>0</v>
      </c>
      <c r="AN115" t="s">
        <v>53</v>
      </c>
      <c r="AO115" t="s">
        <v>53</v>
      </c>
      <c r="AP115">
        <v>0</v>
      </c>
      <c r="AQ115">
        <v>4751.76</v>
      </c>
      <c r="AR115">
        <v>4751.76</v>
      </c>
      <c r="AS115">
        <v>8.5399999999999991</v>
      </c>
      <c r="AT115">
        <v>4760.3</v>
      </c>
      <c r="AU115">
        <v>6.05</v>
      </c>
      <c r="AV115">
        <v>4766.3500000000004</v>
      </c>
      <c r="AW115">
        <v>0</v>
      </c>
      <c r="AX115">
        <v>3289.59</v>
      </c>
      <c r="AY115">
        <v>0.61</v>
      </c>
      <c r="AZ115">
        <v>52.37</v>
      </c>
      <c r="BA115">
        <v>155.91999999999999</v>
      </c>
      <c r="BB115">
        <v>85.72</v>
      </c>
      <c r="BC115" t="e">
        <v>#N/A</v>
      </c>
      <c r="BD115">
        <v>200.59</v>
      </c>
      <c r="BE115">
        <v>820.35</v>
      </c>
      <c r="BF115">
        <v>4605.16</v>
      </c>
      <c r="BG115">
        <v>161.18</v>
      </c>
      <c r="BH115">
        <v>161.18</v>
      </c>
      <c r="BI115">
        <v>0</v>
      </c>
      <c r="BJ115">
        <v>46.28</v>
      </c>
      <c r="BK115">
        <v>0.06</v>
      </c>
      <c r="BL115">
        <v>0</v>
      </c>
      <c r="BM115">
        <v>46.34</v>
      </c>
      <c r="BN115">
        <v>114.85</v>
      </c>
      <c r="BO115">
        <v>114.85</v>
      </c>
      <c r="BP115">
        <v>114.85</v>
      </c>
      <c r="BQ115">
        <v>77.61</v>
      </c>
      <c r="BR115">
        <v>15.95</v>
      </c>
      <c r="BS115">
        <v>400</v>
      </c>
    </row>
    <row r="116" spans="1:71" x14ac:dyDescent="0.25">
      <c r="A116" t="s">
        <v>153</v>
      </c>
      <c r="B116">
        <v>6</v>
      </c>
      <c r="C116">
        <v>2018</v>
      </c>
      <c r="D116">
        <v>15.22</v>
      </c>
      <c r="E116">
        <v>15.22</v>
      </c>
      <c r="F116">
        <v>350.31</v>
      </c>
      <c r="G116">
        <v>350.31</v>
      </c>
      <c r="H116">
        <v>365.53</v>
      </c>
      <c r="I116">
        <v>0</v>
      </c>
      <c r="J116">
        <v>0.77</v>
      </c>
      <c r="K116" t="e">
        <v>#N/A</v>
      </c>
      <c r="L116">
        <v>570.91</v>
      </c>
      <c r="M116">
        <v>0</v>
      </c>
      <c r="N116">
        <v>171.43</v>
      </c>
      <c r="O116">
        <v>454.65</v>
      </c>
      <c r="P116">
        <v>2.11</v>
      </c>
      <c r="Q116">
        <v>1095.18</v>
      </c>
      <c r="R116">
        <v>2031.62</v>
      </c>
      <c r="S116">
        <v>0</v>
      </c>
      <c r="T116">
        <v>0</v>
      </c>
      <c r="U116">
        <v>1205.1199999999999</v>
      </c>
      <c r="V116">
        <v>259.33999999999997</v>
      </c>
      <c r="W116">
        <v>1475.94</v>
      </c>
      <c r="X116" t="e">
        <v>#N/A</v>
      </c>
      <c r="Y116" t="e">
        <v>#N/A</v>
      </c>
      <c r="Z116">
        <v>70.58</v>
      </c>
      <c r="AA116">
        <v>1546.64</v>
      </c>
      <c r="AB116">
        <v>0</v>
      </c>
      <c r="AC116">
        <v>383.73</v>
      </c>
      <c r="AD116">
        <v>7.05</v>
      </c>
      <c r="AE116">
        <v>32.840000000000003</v>
      </c>
      <c r="AF116" t="e">
        <v>#N/A</v>
      </c>
      <c r="AG116">
        <v>61.35</v>
      </c>
      <c r="AH116">
        <v>484.97</v>
      </c>
      <c r="AI116">
        <v>2031.62</v>
      </c>
      <c r="AJ116">
        <v>0</v>
      </c>
      <c r="AK116">
        <v>0</v>
      </c>
      <c r="AL116">
        <v>0</v>
      </c>
      <c r="AM116">
        <v>0</v>
      </c>
      <c r="AN116" t="s">
        <v>53</v>
      </c>
      <c r="AO116" t="s">
        <v>53</v>
      </c>
      <c r="AP116">
        <v>0</v>
      </c>
      <c r="AQ116">
        <v>4281.12</v>
      </c>
      <c r="AR116">
        <v>4278.6899999999996</v>
      </c>
      <c r="AS116">
        <v>8.68</v>
      </c>
      <c r="AT116">
        <v>4287.37</v>
      </c>
      <c r="AU116">
        <v>8.32</v>
      </c>
      <c r="AV116">
        <v>4295.68</v>
      </c>
      <c r="AW116">
        <v>0</v>
      </c>
      <c r="AX116">
        <v>3183.48</v>
      </c>
      <c r="AY116">
        <v>1.46</v>
      </c>
      <c r="AZ116">
        <v>-101.19</v>
      </c>
      <c r="BA116">
        <v>140.84</v>
      </c>
      <c r="BB116">
        <v>87.64</v>
      </c>
      <c r="BC116" t="e">
        <v>#N/A</v>
      </c>
      <c r="BD116">
        <v>173.64</v>
      </c>
      <c r="BE116">
        <v>691.13</v>
      </c>
      <c r="BF116">
        <v>4177</v>
      </c>
      <c r="BG116">
        <v>118.68</v>
      </c>
      <c r="BH116">
        <v>118.68</v>
      </c>
      <c r="BI116">
        <v>0</v>
      </c>
      <c r="BJ116">
        <v>24.88</v>
      </c>
      <c r="BK116">
        <v>0.91</v>
      </c>
      <c r="BL116">
        <v>2.0499999999999998</v>
      </c>
      <c r="BM116">
        <v>27.84</v>
      </c>
      <c r="BN116">
        <v>90.84</v>
      </c>
      <c r="BO116">
        <v>90.84</v>
      </c>
      <c r="BP116">
        <v>90.84</v>
      </c>
      <c r="BQ116">
        <v>60.58</v>
      </c>
      <c r="BR116">
        <v>12.67</v>
      </c>
      <c r="BS116">
        <v>400</v>
      </c>
    </row>
    <row r="117" spans="1:71" x14ac:dyDescent="0.25">
      <c r="A117" t="s">
        <v>154</v>
      </c>
      <c r="B117">
        <v>2</v>
      </c>
      <c r="C117">
        <v>2022</v>
      </c>
      <c r="D117">
        <v>31.98</v>
      </c>
      <c r="E117">
        <v>31.98</v>
      </c>
      <c r="F117">
        <v>1012.26</v>
      </c>
      <c r="G117">
        <v>1012.26</v>
      </c>
      <c r="H117">
        <v>1044.25</v>
      </c>
      <c r="I117">
        <v>0</v>
      </c>
      <c r="J117">
        <v>3.25</v>
      </c>
      <c r="K117">
        <v>8.1999999999999993</v>
      </c>
      <c r="L117">
        <v>13.84</v>
      </c>
      <c r="M117">
        <v>0</v>
      </c>
      <c r="N117">
        <v>502.69</v>
      </c>
      <c r="O117">
        <v>37.72</v>
      </c>
      <c r="P117">
        <v>2.59</v>
      </c>
      <c r="Q117">
        <v>832.05</v>
      </c>
      <c r="R117">
        <v>1890.14</v>
      </c>
      <c r="S117">
        <v>0</v>
      </c>
      <c r="T117">
        <v>0</v>
      </c>
      <c r="U117">
        <v>224.74</v>
      </c>
      <c r="V117">
        <v>11.42</v>
      </c>
      <c r="W117">
        <v>237.24</v>
      </c>
      <c r="X117">
        <v>0</v>
      </c>
      <c r="Y117">
        <v>2.57</v>
      </c>
      <c r="Z117">
        <v>42.71</v>
      </c>
      <c r="AA117">
        <v>406.02</v>
      </c>
      <c r="AB117">
        <v>0</v>
      </c>
      <c r="AC117">
        <v>1149.26</v>
      </c>
      <c r="AD117">
        <v>235.25</v>
      </c>
      <c r="AE117">
        <v>19.22</v>
      </c>
      <c r="AF117">
        <v>1.35</v>
      </c>
      <c r="AG117">
        <v>79.040000000000006</v>
      </c>
      <c r="AH117">
        <v>1484.12</v>
      </c>
      <c r="AI117">
        <v>1890.14</v>
      </c>
      <c r="AJ117">
        <v>0</v>
      </c>
      <c r="AK117">
        <v>0</v>
      </c>
      <c r="AL117">
        <v>0</v>
      </c>
      <c r="AM117">
        <v>0</v>
      </c>
      <c r="AN117" t="s">
        <v>53</v>
      </c>
      <c r="AO117" t="s">
        <v>53</v>
      </c>
      <c r="AP117" t="s">
        <v>3</v>
      </c>
      <c r="AQ117">
        <v>2840</v>
      </c>
      <c r="AR117">
        <v>2840</v>
      </c>
      <c r="AS117">
        <v>0</v>
      </c>
      <c r="AT117">
        <v>2840</v>
      </c>
      <c r="AU117">
        <v>23.59</v>
      </c>
      <c r="AV117">
        <v>2863.58</v>
      </c>
      <c r="AW117">
        <v>0</v>
      </c>
      <c r="AX117">
        <v>1640.73</v>
      </c>
      <c r="AY117">
        <v>544.36</v>
      </c>
      <c r="AZ117">
        <v>18.04</v>
      </c>
      <c r="BA117">
        <v>78.02</v>
      </c>
      <c r="BB117">
        <v>22.79</v>
      </c>
      <c r="BC117" t="e">
        <v>#N/A</v>
      </c>
      <c r="BD117">
        <v>32.47</v>
      </c>
      <c r="BE117">
        <v>378.43</v>
      </c>
      <c r="BF117">
        <v>2714.83</v>
      </c>
      <c r="BG117">
        <v>148.76</v>
      </c>
      <c r="BH117">
        <v>148.76</v>
      </c>
      <c r="BI117">
        <v>0</v>
      </c>
      <c r="BJ117">
        <v>37.68</v>
      </c>
      <c r="BK117">
        <v>-2.27</v>
      </c>
      <c r="BL117">
        <v>1.1000000000000001</v>
      </c>
      <c r="BM117">
        <v>36.51</v>
      </c>
      <c r="BN117">
        <v>112.25</v>
      </c>
      <c r="BO117">
        <v>112.25</v>
      </c>
      <c r="BP117">
        <v>112.25</v>
      </c>
      <c r="BQ117">
        <v>31.98</v>
      </c>
      <c r="BR117">
        <v>0</v>
      </c>
      <c r="BS117">
        <v>100</v>
      </c>
    </row>
    <row r="118" spans="1:71" x14ac:dyDescent="0.25">
      <c r="A118" t="s">
        <v>154</v>
      </c>
      <c r="B118">
        <v>3</v>
      </c>
      <c r="C118">
        <v>2021</v>
      </c>
      <c r="D118">
        <v>31.98</v>
      </c>
      <c r="E118">
        <v>31.98</v>
      </c>
      <c r="F118">
        <v>933.87</v>
      </c>
      <c r="G118">
        <v>933.87</v>
      </c>
      <c r="H118">
        <v>965.86</v>
      </c>
      <c r="I118">
        <v>0</v>
      </c>
      <c r="J118">
        <v>1.82</v>
      </c>
      <c r="K118">
        <v>6.3</v>
      </c>
      <c r="L118">
        <v>12.68</v>
      </c>
      <c r="M118">
        <v>0</v>
      </c>
      <c r="N118">
        <v>177.54</v>
      </c>
      <c r="O118">
        <v>33.65</v>
      </c>
      <c r="P118">
        <v>1.49</v>
      </c>
      <c r="Q118">
        <v>591.78</v>
      </c>
      <c r="R118">
        <v>1570.32</v>
      </c>
      <c r="S118">
        <v>0</v>
      </c>
      <c r="T118">
        <v>0</v>
      </c>
      <c r="U118">
        <v>198.28</v>
      </c>
      <c r="V118">
        <v>22.22</v>
      </c>
      <c r="W118">
        <v>222.13</v>
      </c>
      <c r="X118">
        <v>0</v>
      </c>
      <c r="Y118">
        <v>9.25</v>
      </c>
      <c r="Z118">
        <v>33.83</v>
      </c>
      <c r="AA118">
        <v>391.35</v>
      </c>
      <c r="AB118">
        <v>0</v>
      </c>
      <c r="AC118">
        <v>949.45</v>
      </c>
      <c r="AD118">
        <v>129.31</v>
      </c>
      <c r="AE118">
        <v>14.36</v>
      </c>
      <c r="AF118">
        <v>4.43</v>
      </c>
      <c r="AG118">
        <v>81.42</v>
      </c>
      <c r="AH118">
        <v>1178.97</v>
      </c>
      <c r="AI118">
        <v>1570.32</v>
      </c>
      <c r="AJ118">
        <v>0</v>
      </c>
      <c r="AK118">
        <v>0</v>
      </c>
      <c r="AL118">
        <v>391.17</v>
      </c>
      <c r="AM118">
        <v>0</v>
      </c>
      <c r="AN118" t="s">
        <v>53</v>
      </c>
      <c r="AO118" t="s">
        <v>53</v>
      </c>
      <c r="AP118">
        <v>0</v>
      </c>
      <c r="AQ118">
        <v>2296.87</v>
      </c>
      <c r="AR118">
        <v>2296.87</v>
      </c>
      <c r="AS118">
        <v>7.28</v>
      </c>
      <c r="AT118">
        <v>2304.15</v>
      </c>
      <c r="AU118">
        <v>22.21</v>
      </c>
      <c r="AV118">
        <v>2326.36</v>
      </c>
      <c r="AW118">
        <v>0</v>
      </c>
      <c r="AX118">
        <v>1777.95</v>
      </c>
      <c r="AY118">
        <v>199.47</v>
      </c>
      <c r="AZ118">
        <v>-125.35</v>
      </c>
      <c r="BA118">
        <v>65.790000000000006</v>
      </c>
      <c r="BB118">
        <v>33.64</v>
      </c>
      <c r="BC118" t="e">
        <v>#N/A</v>
      </c>
      <c r="BD118">
        <v>25.86</v>
      </c>
      <c r="BE118">
        <v>203.25</v>
      </c>
      <c r="BF118">
        <v>2180.61</v>
      </c>
      <c r="BG118">
        <v>145.75</v>
      </c>
      <c r="BH118">
        <v>145.75</v>
      </c>
      <c r="BI118">
        <v>0</v>
      </c>
      <c r="BJ118">
        <v>36.47</v>
      </c>
      <c r="BK118">
        <v>2.13</v>
      </c>
      <c r="BL118">
        <v>0.67</v>
      </c>
      <c r="BM118">
        <v>39.270000000000003</v>
      </c>
      <c r="BN118">
        <v>106.48</v>
      </c>
      <c r="BO118">
        <v>106.48</v>
      </c>
      <c r="BP118">
        <v>106.48</v>
      </c>
      <c r="BQ118">
        <v>31.98</v>
      </c>
      <c r="BR118">
        <v>0</v>
      </c>
      <c r="BS118">
        <v>100</v>
      </c>
    </row>
    <row r="119" spans="1:71" x14ac:dyDescent="0.25">
      <c r="A119" t="s">
        <v>154</v>
      </c>
      <c r="B119">
        <v>4</v>
      </c>
      <c r="C119">
        <v>2020</v>
      </c>
      <c r="D119">
        <v>31.98</v>
      </c>
      <c r="E119">
        <v>31.98</v>
      </c>
      <c r="F119">
        <v>839.42</v>
      </c>
      <c r="G119">
        <v>839.42</v>
      </c>
      <c r="H119">
        <v>871.41</v>
      </c>
      <c r="I119">
        <v>0</v>
      </c>
      <c r="J119">
        <v>2.5299999999999998</v>
      </c>
      <c r="K119">
        <v>3.41</v>
      </c>
      <c r="L119">
        <v>7.83</v>
      </c>
      <c r="M119">
        <v>0</v>
      </c>
      <c r="N119">
        <v>112.88</v>
      </c>
      <c r="O119">
        <v>45.25</v>
      </c>
      <c r="P119">
        <v>2.69</v>
      </c>
      <c r="Q119">
        <v>726.78</v>
      </c>
      <c r="R119">
        <v>1606.02</v>
      </c>
      <c r="S119">
        <v>0</v>
      </c>
      <c r="T119">
        <v>0</v>
      </c>
      <c r="U119">
        <v>201.53</v>
      </c>
      <c r="V119">
        <v>5.2</v>
      </c>
      <c r="W119">
        <v>210.43</v>
      </c>
      <c r="X119">
        <v>2.36</v>
      </c>
      <c r="Y119">
        <v>7.61</v>
      </c>
      <c r="Z119">
        <v>39.17</v>
      </c>
      <c r="AA119">
        <v>387.07</v>
      </c>
      <c r="AB119">
        <v>0</v>
      </c>
      <c r="AC119">
        <v>844.34</v>
      </c>
      <c r="AD119">
        <v>247.13</v>
      </c>
      <c r="AE119">
        <v>4.8499999999999996</v>
      </c>
      <c r="AF119">
        <v>7.08</v>
      </c>
      <c r="AG119">
        <v>115.53</v>
      </c>
      <c r="AH119">
        <v>1218.94</v>
      </c>
      <c r="AI119">
        <v>1606.02</v>
      </c>
      <c r="AJ119">
        <v>0</v>
      </c>
      <c r="AK119">
        <v>0</v>
      </c>
      <c r="AL119">
        <v>437.89</v>
      </c>
      <c r="AM119">
        <v>0</v>
      </c>
      <c r="AN119" t="s">
        <v>53</v>
      </c>
      <c r="AO119" t="s">
        <v>53</v>
      </c>
      <c r="AP119">
        <v>0</v>
      </c>
      <c r="AQ119">
        <v>2342.2800000000002</v>
      </c>
      <c r="AR119">
        <v>2342.2800000000002</v>
      </c>
      <c r="AS119">
        <v>7.78</v>
      </c>
      <c r="AT119">
        <v>2350.0700000000002</v>
      </c>
      <c r="AU119">
        <v>27.72</v>
      </c>
      <c r="AV119">
        <v>2377.79</v>
      </c>
      <c r="AW119">
        <v>0</v>
      </c>
      <c r="AX119">
        <v>1620.31</v>
      </c>
      <c r="AY119">
        <v>310.60000000000002</v>
      </c>
      <c r="AZ119">
        <v>7.18</v>
      </c>
      <c r="BA119">
        <v>62.61</v>
      </c>
      <c r="BB119">
        <v>60.1</v>
      </c>
      <c r="BC119" t="e">
        <v>#N/A</v>
      </c>
      <c r="BD119">
        <v>26.45</v>
      </c>
      <c r="BE119">
        <v>177.89</v>
      </c>
      <c r="BF119">
        <v>2265.14</v>
      </c>
      <c r="BG119">
        <v>112.65</v>
      </c>
      <c r="BH119">
        <v>112.65</v>
      </c>
      <c r="BI119">
        <v>0</v>
      </c>
      <c r="BJ119">
        <v>31.93</v>
      </c>
      <c r="BK119">
        <v>-4.4400000000000004</v>
      </c>
      <c r="BL119">
        <v>0</v>
      </c>
      <c r="BM119">
        <v>27.49</v>
      </c>
      <c r="BN119">
        <v>85.16</v>
      </c>
      <c r="BO119">
        <v>85.16</v>
      </c>
      <c r="BP119">
        <v>85.16</v>
      </c>
      <c r="BQ119">
        <v>20.79</v>
      </c>
      <c r="BR119">
        <v>4.2699999999999996</v>
      </c>
      <c r="BS119">
        <v>50</v>
      </c>
    </row>
    <row r="120" spans="1:71" x14ac:dyDescent="0.25">
      <c r="A120" t="s">
        <v>154</v>
      </c>
      <c r="B120">
        <v>5</v>
      </c>
      <c r="C120">
        <v>2019</v>
      </c>
      <c r="D120">
        <v>31.98</v>
      </c>
      <c r="E120">
        <v>31.98</v>
      </c>
      <c r="F120">
        <v>809.54</v>
      </c>
      <c r="G120">
        <v>809.54</v>
      </c>
      <c r="H120">
        <v>841.52</v>
      </c>
      <c r="I120">
        <v>0</v>
      </c>
      <c r="J120">
        <v>2.93</v>
      </c>
      <c r="K120">
        <v>3.94</v>
      </c>
      <c r="L120">
        <v>16.920000000000002</v>
      </c>
      <c r="M120">
        <v>0</v>
      </c>
      <c r="N120">
        <v>134.33000000000001</v>
      </c>
      <c r="O120">
        <v>40.72</v>
      </c>
      <c r="P120">
        <v>1.25</v>
      </c>
      <c r="Q120">
        <v>839.04</v>
      </c>
      <c r="R120">
        <v>1697.48</v>
      </c>
      <c r="S120">
        <v>0</v>
      </c>
      <c r="T120">
        <v>0</v>
      </c>
      <c r="U120">
        <v>198.49</v>
      </c>
      <c r="V120">
        <v>18.34</v>
      </c>
      <c r="W120">
        <v>218.07</v>
      </c>
      <c r="X120">
        <v>0</v>
      </c>
      <c r="Y120">
        <v>6.91</v>
      </c>
      <c r="Z120">
        <v>37.14</v>
      </c>
      <c r="AA120">
        <v>389.93</v>
      </c>
      <c r="AB120">
        <v>0</v>
      </c>
      <c r="AC120">
        <v>899.41</v>
      </c>
      <c r="AD120">
        <v>309.51</v>
      </c>
      <c r="AE120">
        <v>10.41</v>
      </c>
      <c r="AF120">
        <v>0.99</v>
      </c>
      <c r="AG120">
        <v>87.23</v>
      </c>
      <c r="AH120">
        <v>1307.55</v>
      </c>
      <c r="AI120">
        <v>1697.48</v>
      </c>
      <c r="AJ120">
        <v>0</v>
      </c>
      <c r="AK120">
        <v>0</v>
      </c>
      <c r="AL120">
        <v>533.88</v>
      </c>
      <c r="AM120">
        <v>0</v>
      </c>
      <c r="AN120" t="s">
        <v>53</v>
      </c>
      <c r="AO120" t="s">
        <v>53</v>
      </c>
      <c r="AP120">
        <v>0</v>
      </c>
      <c r="AQ120">
        <v>2185.85</v>
      </c>
      <c r="AR120">
        <v>2185.85</v>
      </c>
      <c r="AS120">
        <v>6.71</v>
      </c>
      <c r="AT120">
        <v>2192.56</v>
      </c>
      <c r="AU120">
        <v>17.54</v>
      </c>
      <c r="AV120">
        <v>2210.09</v>
      </c>
      <c r="AW120">
        <v>0</v>
      </c>
      <c r="AX120">
        <v>1843.77</v>
      </c>
      <c r="AY120">
        <v>17.32</v>
      </c>
      <c r="AZ120">
        <v>-62.37</v>
      </c>
      <c r="BA120">
        <v>60.55</v>
      </c>
      <c r="BB120">
        <v>76.44</v>
      </c>
      <c r="BC120" t="e">
        <v>#N/A</v>
      </c>
      <c r="BD120">
        <v>23.36</v>
      </c>
      <c r="BE120">
        <v>167.79</v>
      </c>
      <c r="BF120">
        <v>2126.87</v>
      </c>
      <c r="BG120">
        <v>83.22</v>
      </c>
      <c r="BH120">
        <v>83.22</v>
      </c>
      <c r="BI120">
        <v>0</v>
      </c>
      <c r="BJ120">
        <v>27.99</v>
      </c>
      <c r="BK120">
        <v>0.74</v>
      </c>
      <c r="BL120">
        <v>0</v>
      </c>
      <c r="BM120">
        <v>28.74</v>
      </c>
      <c r="BN120">
        <v>54.49</v>
      </c>
      <c r="BO120">
        <v>54.49</v>
      </c>
      <c r="BP120">
        <v>54.49</v>
      </c>
      <c r="BQ120">
        <v>4.8</v>
      </c>
      <c r="BR120">
        <v>0.99</v>
      </c>
      <c r="BS120">
        <v>15</v>
      </c>
    </row>
    <row r="121" spans="1:71" x14ac:dyDescent="0.25">
      <c r="A121" t="s">
        <v>154</v>
      </c>
      <c r="B121">
        <v>6</v>
      </c>
      <c r="C121">
        <v>2018</v>
      </c>
      <c r="D121">
        <v>31.98</v>
      </c>
      <c r="E121">
        <v>31.98</v>
      </c>
      <c r="F121">
        <v>748.56</v>
      </c>
      <c r="G121">
        <v>748.56</v>
      </c>
      <c r="H121">
        <v>780.55</v>
      </c>
      <c r="I121">
        <v>0</v>
      </c>
      <c r="J121">
        <v>3.44</v>
      </c>
      <c r="K121">
        <v>3.45</v>
      </c>
      <c r="L121">
        <v>38.58</v>
      </c>
      <c r="M121">
        <v>0</v>
      </c>
      <c r="N121">
        <v>100.46</v>
      </c>
      <c r="O121">
        <v>40.42</v>
      </c>
      <c r="P121">
        <v>0.86</v>
      </c>
      <c r="Q121">
        <v>789.22</v>
      </c>
      <c r="R121">
        <v>1608.34</v>
      </c>
      <c r="S121">
        <v>0</v>
      </c>
      <c r="T121">
        <v>0</v>
      </c>
      <c r="U121">
        <v>188.62</v>
      </c>
      <c r="V121">
        <v>2.93</v>
      </c>
      <c r="W121">
        <v>194.12</v>
      </c>
      <c r="X121">
        <v>0</v>
      </c>
      <c r="Y121">
        <v>6.94</v>
      </c>
      <c r="Z121">
        <v>30.13</v>
      </c>
      <c r="AA121">
        <v>318.43</v>
      </c>
      <c r="AB121">
        <v>0</v>
      </c>
      <c r="AC121">
        <v>862.46</v>
      </c>
      <c r="AD121">
        <v>350.17</v>
      </c>
      <c r="AE121">
        <v>8.56</v>
      </c>
      <c r="AF121">
        <v>7.83</v>
      </c>
      <c r="AG121">
        <v>60.9</v>
      </c>
      <c r="AH121">
        <v>1289.92</v>
      </c>
      <c r="AI121">
        <v>1608.34</v>
      </c>
      <c r="AJ121">
        <v>0</v>
      </c>
      <c r="AK121">
        <v>0</v>
      </c>
      <c r="AL121">
        <v>558.33000000000004</v>
      </c>
      <c r="AM121">
        <v>0</v>
      </c>
      <c r="AN121" t="s">
        <v>53</v>
      </c>
      <c r="AO121" t="s">
        <v>53</v>
      </c>
      <c r="AP121">
        <v>0</v>
      </c>
      <c r="AQ121">
        <v>2130.85</v>
      </c>
      <c r="AR121">
        <v>2130.85</v>
      </c>
      <c r="AS121">
        <v>8.48</v>
      </c>
      <c r="AT121">
        <v>2139.33</v>
      </c>
      <c r="AU121">
        <v>17.32</v>
      </c>
      <c r="AV121">
        <v>2156.66</v>
      </c>
      <c r="AW121">
        <v>0</v>
      </c>
      <c r="AX121">
        <v>1807.32</v>
      </c>
      <c r="AY121">
        <v>21.63</v>
      </c>
      <c r="AZ121">
        <v>-71.98</v>
      </c>
      <c r="BA121">
        <v>57.37</v>
      </c>
      <c r="BB121">
        <v>85.3</v>
      </c>
      <c r="BC121" t="e">
        <v>#N/A</v>
      </c>
      <c r="BD121">
        <v>18.100000000000001</v>
      </c>
      <c r="BE121">
        <v>185.34</v>
      </c>
      <c r="BF121">
        <v>2103.09</v>
      </c>
      <c r="BG121">
        <v>53.57</v>
      </c>
      <c r="BH121">
        <v>53.57</v>
      </c>
      <c r="BI121">
        <v>0</v>
      </c>
      <c r="BJ121">
        <v>13.09</v>
      </c>
      <c r="BK121">
        <v>-1.47</v>
      </c>
      <c r="BL121">
        <v>0</v>
      </c>
      <c r="BM121">
        <v>11.62</v>
      </c>
      <c r="BN121">
        <v>41.96</v>
      </c>
      <c r="BO121">
        <v>41.96</v>
      </c>
      <c r="BP121">
        <v>41.96</v>
      </c>
      <c r="BQ121">
        <v>4</v>
      </c>
      <c r="BR121">
        <v>0.81</v>
      </c>
      <c r="BS121">
        <v>15</v>
      </c>
    </row>
    <row r="122" spans="1:71" x14ac:dyDescent="0.25">
      <c r="A122" t="s">
        <v>157</v>
      </c>
      <c r="B122">
        <v>2</v>
      </c>
      <c r="C122">
        <v>2022</v>
      </c>
      <c r="D122">
        <v>2.57</v>
      </c>
      <c r="E122">
        <v>2.57</v>
      </c>
      <c r="F122">
        <v>214.61</v>
      </c>
      <c r="G122">
        <v>214.61</v>
      </c>
      <c r="H122">
        <v>217.18</v>
      </c>
      <c r="I122">
        <v>0</v>
      </c>
      <c r="J122">
        <v>58.54</v>
      </c>
      <c r="K122">
        <v>5.96</v>
      </c>
      <c r="L122">
        <v>108.06</v>
      </c>
      <c r="M122">
        <v>0</v>
      </c>
      <c r="N122">
        <v>61.42</v>
      </c>
      <c r="O122">
        <v>12.68</v>
      </c>
      <c r="P122">
        <v>0.74</v>
      </c>
      <c r="Q122">
        <v>105.58</v>
      </c>
      <c r="R122">
        <v>430.82</v>
      </c>
      <c r="S122">
        <v>0</v>
      </c>
      <c r="T122">
        <v>0</v>
      </c>
      <c r="U122">
        <v>188.63</v>
      </c>
      <c r="V122">
        <v>61.69</v>
      </c>
      <c r="W122">
        <v>250.57</v>
      </c>
      <c r="X122">
        <v>2.25</v>
      </c>
      <c r="Y122">
        <v>4.5999999999999996</v>
      </c>
      <c r="Z122">
        <v>14.39</v>
      </c>
      <c r="AA122">
        <v>271.8</v>
      </c>
      <c r="AB122">
        <v>0</v>
      </c>
      <c r="AC122">
        <v>66.349999999999994</v>
      </c>
      <c r="AD122">
        <v>54.45</v>
      </c>
      <c r="AE122">
        <v>4.03</v>
      </c>
      <c r="AF122">
        <v>0.6</v>
      </c>
      <c r="AG122">
        <v>33.590000000000003</v>
      </c>
      <c r="AH122">
        <v>159.01</v>
      </c>
      <c r="AI122">
        <v>430.82</v>
      </c>
      <c r="AJ122">
        <v>0</v>
      </c>
      <c r="AK122">
        <v>0</v>
      </c>
      <c r="AL122">
        <v>51.3</v>
      </c>
      <c r="AM122">
        <v>0</v>
      </c>
      <c r="AN122" t="s">
        <v>53</v>
      </c>
      <c r="AO122" t="s">
        <v>53</v>
      </c>
      <c r="AP122" t="s">
        <v>3</v>
      </c>
      <c r="AQ122">
        <v>370.67</v>
      </c>
      <c r="AR122">
        <v>370.67</v>
      </c>
      <c r="AS122">
        <v>1.43</v>
      </c>
      <c r="AT122">
        <v>372.09</v>
      </c>
      <c r="AU122">
        <v>13.47</v>
      </c>
      <c r="AV122">
        <v>385.56</v>
      </c>
      <c r="AW122">
        <v>0</v>
      </c>
      <c r="AX122">
        <v>248.2</v>
      </c>
      <c r="AY122">
        <v>0</v>
      </c>
      <c r="AZ122">
        <v>-2.19</v>
      </c>
      <c r="BA122">
        <v>32.19</v>
      </c>
      <c r="BB122">
        <v>8.2899999999999991</v>
      </c>
      <c r="BC122" t="e">
        <v>#N/A</v>
      </c>
      <c r="BD122">
        <v>24.29</v>
      </c>
      <c r="BE122">
        <v>60.31</v>
      </c>
      <c r="BF122">
        <v>371.08</v>
      </c>
      <c r="BG122">
        <v>14.48</v>
      </c>
      <c r="BH122">
        <v>14.48</v>
      </c>
      <c r="BI122">
        <v>0</v>
      </c>
      <c r="BJ122">
        <v>6.05</v>
      </c>
      <c r="BK122">
        <v>-1.91</v>
      </c>
      <c r="BL122" t="e">
        <v>#N/A</v>
      </c>
      <c r="BM122">
        <v>4.1500000000000004</v>
      </c>
      <c r="BN122">
        <v>10.33</v>
      </c>
      <c r="BO122">
        <v>10.33</v>
      </c>
      <c r="BP122">
        <v>10.33</v>
      </c>
      <c r="BQ122">
        <v>0.51</v>
      </c>
      <c r="BR122" t="e">
        <v>#N/A</v>
      </c>
      <c r="BS122">
        <v>10</v>
      </c>
    </row>
    <row r="123" spans="1:71" x14ac:dyDescent="0.25">
      <c r="A123" t="s">
        <v>157</v>
      </c>
      <c r="B123">
        <v>3</v>
      </c>
      <c r="C123">
        <v>2021</v>
      </c>
      <c r="D123">
        <v>2.57</v>
      </c>
      <c r="E123">
        <v>2.57</v>
      </c>
      <c r="F123">
        <v>204.05</v>
      </c>
      <c r="G123">
        <v>204.05</v>
      </c>
      <c r="H123">
        <v>206.62</v>
      </c>
      <c r="I123">
        <v>0</v>
      </c>
      <c r="J123">
        <v>63.7</v>
      </c>
      <c r="K123">
        <v>7.36</v>
      </c>
      <c r="L123">
        <v>120.73</v>
      </c>
      <c r="M123">
        <v>0</v>
      </c>
      <c r="N123">
        <v>49.14</v>
      </c>
      <c r="O123">
        <v>20.98</v>
      </c>
      <c r="P123">
        <v>0.45</v>
      </c>
      <c r="Q123">
        <v>120.16</v>
      </c>
      <c r="R123">
        <v>447.51</v>
      </c>
      <c r="S123">
        <v>0</v>
      </c>
      <c r="T123">
        <v>0</v>
      </c>
      <c r="U123">
        <v>178.3</v>
      </c>
      <c r="V123">
        <v>42.45</v>
      </c>
      <c r="W123">
        <v>221.02</v>
      </c>
      <c r="X123">
        <v>0.6</v>
      </c>
      <c r="Y123">
        <v>0</v>
      </c>
      <c r="Z123">
        <v>26.15</v>
      </c>
      <c r="AA123">
        <v>247.77</v>
      </c>
      <c r="AB123">
        <v>0</v>
      </c>
      <c r="AC123">
        <v>69.28</v>
      </c>
      <c r="AD123">
        <v>54.34</v>
      </c>
      <c r="AE123">
        <v>34.909999999999997</v>
      </c>
      <c r="AF123">
        <v>0</v>
      </c>
      <c r="AG123">
        <v>41.21</v>
      </c>
      <c r="AH123">
        <v>199.74</v>
      </c>
      <c r="AI123">
        <v>447.51</v>
      </c>
      <c r="AJ123">
        <v>0</v>
      </c>
      <c r="AK123">
        <v>0</v>
      </c>
      <c r="AL123">
        <v>73.599999999999994</v>
      </c>
      <c r="AM123">
        <v>0</v>
      </c>
      <c r="AN123" t="s">
        <v>53</v>
      </c>
      <c r="AO123" t="s">
        <v>53</v>
      </c>
      <c r="AP123">
        <v>0</v>
      </c>
      <c r="AQ123">
        <v>384.49</v>
      </c>
      <c r="AR123">
        <v>384.49</v>
      </c>
      <c r="AS123">
        <v>0.83</v>
      </c>
      <c r="AT123">
        <v>385.31</v>
      </c>
      <c r="AU123">
        <v>18.98</v>
      </c>
      <c r="AV123">
        <v>404.29</v>
      </c>
      <c r="AW123">
        <v>0</v>
      </c>
      <c r="AX123">
        <v>248.09</v>
      </c>
      <c r="AY123">
        <v>0</v>
      </c>
      <c r="AZ123">
        <v>-4.59</v>
      </c>
      <c r="BA123">
        <v>29.74</v>
      </c>
      <c r="BB123">
        <v>3.03</v>
      </c>
      <c r="BC123" t="e">
        <v>#N/A</v>
      </c>
      <c r="BD123">
        <v>17.170000000000002</v>
      </c>
      <c r="BE123">
        <v>58.28</v>
      </c>
      <c r="BF123">
        <v>351.71</v>
      </c>
      <c r="BG123">
        <v>52.58</v>
      </c>
      <c r="BH123">
        <v>52.58</v>
      </c>
      <c r="BI123">
        <v>0</v>
      </c>
      <c r="BJ123">
        <v>13.43</v>
      </c>
      <c r="BK123">
        <v>-0.2</v>
      </c>
      <c r="BL123" t="e">
        <v>#N/A</v>
      </c>
      <c r="BM123">
        <v>13.23</v>
      </c>
      <c r="BN123">
        <v>39.340000000000003</v>
      </c>
      <c r="BO123">
        <v>39.340000000000003</v>
      </c>
      <c r="BP123">
        <v>39.340000000000003</v>
      </c>
      <c r="BQ123">
        <v>0.51</v>
      </c>
      <c r="BR123" t="e">
        <v>#N/A</v>
      </c>
      <c r="BS123">
        <v>20</v>
      </c>
    </row>
    <row r="124" spans="1:71" x14ac:dyDescent="0.25">
      <c r="A124" t="s">
        <v>157</v>
      </c>
      <c r="B124">
        <v>4</v>
      </c>
      <c r="C124">
        <v>2020</v>
      </c>
      <c r="D124">
        <v>2.57</v>
      </c>
      <c r="E124">
        <v>2.57</v>
      </c>
      <c r="F124">
        <v>160.57</v>
      </c>
      <c r="G124">
        <v>160.57</v>
      </c>
      <c r="H124">
        <v>163.13999999999999</v>
      </c>
      <c r="I124">
        <v>0</v>
      </c>
      <c r="J124">
        <v>8.11</v>
      </c>
      <c r="K124">
        <v>6.9</v>
      </c>
      <c r="L124">
        <v>35.79</v>
      </c>
      <c r="M124">
        <v>0</v>
      </c>
      <c r="N124">
        <v>47.87</v>
      </c>
      <c r="O124">
        <v>18.63</v>
      </c>
      <c r="P124">
        <v>0.36</v>
      </c>
      <c r="Q124">
        <v>100.77</v>
      </c>
      <c r="R124">
        <v>299.7</v>
      </c>
      <c r="S124">
        <v>0</v>
      </c>
      <c r="T124">
        <v>0</v>
      </c>
      <c r="U124">
        <v>98.21</v>
      </c>
      <c r="V124">
        <v>26.5</v>
      </c>
      <c r="W124">
        <v>124.95</v>
      </c>
      <c r="X124">
        <v>1.97</v>
      </c>
      <c r="Y124">
        <v>0</v>
      </c>
      <c r="Z124">
        <v>22.36</v>
      </c>
      <c r="AA124">
        <v>149.27000000000001</v>
      </c>
      <c r="AB124">
        <v>0</v>
      </c>
      <c r="AC124">
        <v>59.56</v>
      </c>
      <c r="AD124">
        <v>57.03</v>
      </c>
      <c r="AE124">
        <v>7.76</v>
      </c>
      <c r="AF124">
        <v>0</v>
      </c>
      <c r="AG124">
        <v>26.08</v>
      </c>
      <c r="AH124">
        <v>150.41999999999999</v>
      </c>
      <c r="AI124">
        <v>299.7</v>
      </c>
      <c r="AJ124">
        <v>0</v>
      </c>
      <c r="AK124">
        <v>0</v>
      </c>
      <c r="AL124">
        <v>32.49</v>
      </c>
      <c r="AM124">
        <v>0</v>
      </c>
      <c r="AN124" t="s">
        <v>53</v>
      </c>
      <c r="AO124" t="s">
        <v>53</v>
      </c>
      <c r="AP124">
        <v>0</v>
      </c>
      <c r="AQ124">
        <v>424.64</v>
      </c>
      <c r="AR124">
        <v>424.64</v>
      </c>
      <c r="AS124">
        <v>1.1299999999999999</v>
      </c>
      <c r="AT124">
        <v>425.77</v>
      </c>
      <c r="AU124">
        <v>29.06</v>
      </c>
      <c r="AV124">
        <v>454.83</v>
      </c>
      <c r="AW124">
        <v>0</v>
      </c>
      <c r="AX124">
        <v>286.3</v>
      </c>
      <c r="AY124">
        <v>0</v>
      </c>
      <c r="AZ124">
        <v>-3.13</v>
      </c>
      <c r="BA124">
        <v>31.44</v>
      </c>
      <c r="BB124">
        <v>3.52</v>
      </c>
      <c r="BC124" t="e">
        <v>#N/A</v>
      </c>
      <c r="BD124">
        <v>16.850000000000001</v>
      </c>
      <c r="BE124">
        <v>66.510000000000005</v>
      </c>
      <c r="BF124">
        <v>401.48</v>
      </c>
      <c r="BG124">
        <v>53.35</v>
      </c>
      <c r="BH124">
        <v>53.35</v>
      </c>
      <c r="BI124">
        <v>0</v>
      </c>
      <c r="BJ124">
        <v>16.25</v>
      </c>
      <c r="BK124">
        <v>-3.76</v>
      </c>
      <c r="BL124" t="e">
        <v>#N/A</v>
      </c>
      <c r="BM124">
        <v>12.49</v>
      </c>
      <c r="BN124">
        <v>40.86</v>
      </c>
      <c r="BO124">
        <v>40.86</v>
      </c>
      <c r="BP124">
        <v>40.86</v>
      </c>
      <c r="BQ124">
        <v>0.62</v>
      </c>
      <c r="BR124" t="e">
        <v>#N/A</v>
      </c>
      <c r="BS124">
        <v>20</v>
      </c>
    </row>
    <row r="125" spans="1:71" x14ac:dyDescent="0.25">
      <c r="A125" t="s">
        <v>157</v>
      </c>
      <c r="B125">
        <v>5</v>
      </c>
      <c r="C125">
        <v>2019</v>
      </c>
      <c r="D125">
        <v>2.57</v>
      </c>
      <c r="E125">
        <v>2.57</v>
      </c>
      <c r="F125">
        <v>129.43</v>
      </c>
      <c r="G125">
        <v>129.43</v>
      </c>
      <c r="H125">
        <v>132</v>
      </c>
      <c r="I125">
        <v>0</v>
      </c>
      <c r="J125">
        <v>0</v>
      </c>
      <c r="K125">
        <v>4.57</v>
      </c>
      <c r="L125">
        <v>35.24</v>
      </c>
      <c r="M125">
        <v>0</v>
      </c>
      <c r="N125">
        <v>38.44</v>
      </c>
      <c r="O125">
        <v>12.37</v>
      </c>
      <c r="P125">
        <v>0.74</v>
      </c>
      <c r="Q125">
        <v>57.55</v>
      </c>
      <c r="R125">
        <v>224.78</v>
      </c>
      <c r="S125">
        <v>0</v>
      </c>
      <c r="T125">
        <v>0</v>
      </c>
      <c r="U125">
        <v>81.91</v>
      </c>
      <c r="V125">
        <v>10.32</v>
      </c>
      <c r="W125">
        <v>92.43</v>
      </c>
      <c r="X125">
        <v>0</v>
      </c>
      <c r="Y125">
        <v>0</v>
      </c>
      <c r="Z125">
        <v>11.76</v>
      </c>
      <c r="AA125">
        <v>104.19</v>
      </c>
      <c r="AB125">
        <v>0</v>
      </c>
      <c r="AC125">
        <v>48.9</v>
      </c>
      <c r="AD125">
        <v>38.369999999999997</v>
      </c>
      <c r="AE125">
        <v>7.84</v>
      </c>
      <c r="AF125">
        <v>0</v>
      </c>
      <c r="AG125">
        <v>25.48</v>
      </c>
      <c r="AH125">
        <v>120.59</v>
      </c>
      <c r="AI125">
        <v>224.78</v>
      </c>
      <c r="AJ125">
        <v>0</v>
      </c>
      <c r="AK125">
        <v>0</v>
      </c>
      <c r="AL125">
        <v>19.34</v>
      </c>
      <c r="AM125">
        <v>0</v>
      </c>
      <c r="AN125" t="s">
        <v>53</v>
      </c>
      <c r="AO125" t="s">
        <v>53</v>
      </c>
      <c r="AP125">
        <v>0</v>
      </c>
      <c r="AQ125">
        <v>336.09</v>
      </c>
      <c r="AR125">
        <v>336.09</v>
      </c>
      <c r="AS125">
        <v>0.84</v>
      </c>
      <c r="AT125">
        <v>336.93</v>
      </c>
      <c r="AU125">
        <v>18.23</v>
      </c>
      <c r="AV125">
        <v>355.16</v>
      </c>
      <c r="AW125">
        <v>0</v>
      </c>
      <c r="AX125">
        <v>209.83</v>
      </c>
      <c r="AY125">
        <v>0</v>
      </c>
      <c r="AZ125">
        <v>-3.98</v>
      </c>
      <c r="BA125">
        <v>27</v>
      </c>
      <c r="BB125">
        <v>4.33</v>
      </c>
      <c r="BC125" t="e">
        <v>#N/A</v>
      </c>
      <c r="BD125">
        <v>12.65</v>
      </c>
      <c r="BE125">
        <v>58.26</v>
      </c>
      <c r="BF125">
        <v>308.08</v>
      </c>
      <c r="BG125">
        <v>47.08</v>
      </c>
      <c r="BH125">
        <v>47.08</v>
      </c>
      <c r="BI125">
        <v>0</v>
      </c>
      <c r="BJ125">
        <v>18.43</v>
      </c>
      <c r="BK125">
        <v>-1.41</v>
      </c>
      <c r="BL125" t="e">
        <v>#N/A</v>
      </c>
      <c r="BM125">
        <v>17.010000000000002</v>
      </c>
      <c r="BN125">
        <v>30.06</v>
      </c>
      <c r="BO125">
        <v>30.06</v>
      </c>
      <c r="BP125">
        <v>30.06</v>
      </c>
      <c r="BQ125">
        <v>0.62</v>
      </c>
      <c r="BR125" t="e">
        <v>#N/A</v>
      </c>
      <c r="BS125">
        <v>20</v>
      </c>
    </row>
    <row r="126" spans="1:71" x14ac:dyDescent="0.25">
      <c r="A126" t="s">
        <v>157</v>
      </c>
      <c r="B126">
        <v>6</v>
      </c>
      <c r="C126">
        <v>2018</v>
      </c>
      <c r="D126">
        <v>2.57</v>
      </c>
      <c r="E126">
        <v>2.57</v>
      </c>
      <c r="F126">
        <v>96.71</v>
      </c>
      <c r="G126">
        <v>96.71</v>
      </c>
      <c r="H126">
        <v>99.28</v>
      </c>
      <c r="I126">
        <v>0</v>
      </c>
      <c r="J126">
        <v>0</v>
      </c>
      <c r="K126">
        <v>3.67</v>
      </c>
      <c r="L126">
        <v>39.340000000000003</v>
      </c>
      <c r="M126">
        <v>0</v>
      </c>
      <c r="N126">
        <v>0</v>
      </c>
      <c r="O126">
        <v>45.79</v>
      </c>
      <c r="P126">
        <v>0.96</v>
      </c>
      <c r="Q126">
        <v>53.26</v>
      </c>
      <c r="R126">
        <v>191.87</v>
      </c>
      <c r="S126">
        <v>0</v>
      </c>
      <c r="T126">
        <v>0</v>
      </c>
      <c r="U126">
        <v>76.17</v>
      </c>
      <c r="V126">
        <v>2.2200000000000002</v>
      </c>
      <c r="W126">
        <v>78.540000000000006</v>
      </c>
      <c r="X126">
        <v>0</v>
      </c>
      <c r="Y126">
        <v>0</v>
      </c>
      <c r="Z126">
        <v>7.71</v>
      </c>
      <c r="AA126">
        <v>86.25</v>
      </c>
      <c r="AB126">
        <v>0</v>
      </c>
      <c r="AC126">
        <v>33.75</v>
      </c>
      <c r="AD126">
        <v>36.89</v>
      </c>
      <c r="AE126">
        <v>5.78</v>
      </c>
      <c r="AF126">
        <v>0</v>
      </c>
      <c r="AG126">
        <v>29.2</v>
      </c>
      <c r="AH126">
        <v>105.63</v>
      </c>
      <c r="AI126">
        <v>191.87</v>
      </c>
      <c r="AJ126">
        <v>0</v>
      </c>
      <c r="AK126">
        <v>0</v>
      </c>
      <c r="AL126">
        <v>16</v>
      </c>
      <c r="AM126">
        <v>0</v>
      </c>
      <c r="AN126" t="s">
        <v>53</v>
      </c>
      <c r="AO126" t="s">
        <v>53</v>
      </c>
      <c r="AP126">
        <v>0</v>
      </c>
      <c r="AQ126">
        <v>278.55</v>
      </c>
      <c r="AR126">
        <v>278.3</v>
      </c>
      <c r="AS126">
        <v>17.77</v>
      </c>
      <c r="AT126">
        <v>296.07</v>
      </c>
      <c r="AU126">
        <v>6.79</v>
      </c>
      <c r="AV126">
        <v>302.86</v>
      </c>
      <c r="AW126">
        <v>0</v>
      </c>
      <c r="AX126">
        <v>171.36</v>
      </c>
      <c r="AY126">
        <v>1.52</v>
      </c>
      <c r="AZ126">
        <v>-1.68</v>
      </c>
      <c r="BA126">
        <v>21.21</v>
      </c>
      <c r="BB126">
        <v>2.34</v>
      </c>
      <c r="BC126" t="e">
        <v>#N/A</v>
      </c>
      <c r="BD126">
        <v>10.98</v>
      </c>
      <c r="BE126">
        <v>56.09</v>
      </c>
      <c r="BF126">
        <v>261.82</v>
      </c>
      <c r="BG126">
        <v>41.04</v>
      </c>
      <c r="BH126">
        <v>41.04</v>
      </c>
      <c r="BI126">
        <v>0</v>
      </c>
      <c r="BJ126">
        <v>13.49</v>
      </c>
      <c r="BK126">
        <v>1.1000000000000001</v>
      </c>
      <c r="BL126" t="e">
        <v>#N/A</v>
      </c>
      <c r="BM126">
        <v>14.58</v>
      </c>
      <c r="BN126">
        <v>26.46</v>
      </c>
      <c r="BO126">
        <v>26.46</v>
      </c>
      <c r="BP126">
        <v>26.46</v>
      </c>
      <c r="BQ126">
        <v>0.62</v>
      </c>
      <c r="BR126" t="e">
        <v>#N/A</v>
      </c>
      <c r="BS126">
        <v>20</v>
      </c>
    </row>
    <row r="127" spans="1:71" x14ac:dyDescent="0.25">
      <c r="A127" t="s">
        <v>158</v>
      </c>
      <c r="B127">
        <v>2</v>
      </c>
      <c r="C127">
        <v>2022</v>
      </c>
      <c r="D127">
        <v>3.2</v>
      </c>
      <c r="E127">
        <v>3.2</v>
      </c>
      <c r="F127">
        <v>219.58</v>
      </c>
      <c r="G127">
        <v>219.58</v>
      </c>
      <c r="H127">
        <v>222.78</v>
      </c>
      <c r="I127">
        <v>0</v>
      </c>
      <c r="J127" t="e">
        <v>#N/A</v>
      </c>
      <c r="K127" t="e">
        <v>#N/A</v>
      </c>
      <c r="L127">
        <v>12.43</v>
      </c>
      <c r="M127">
        <v>0</v>
      </c>
      <c r="N127">
        <v>18.59</v>
      </c>
      <c r="O127">
        <v>20.02</v>
      </c>
      <c r="P127">
        <v>0</v>
      </c>
      <c r="Q127">
        <v>45.44</v>
      </c>
      <c r="R127">
        <v>280.64</v>
      </c>
      <c r="S127">
        <v>0</v>
      </c>
      <c r="T127">
        <v>0</v>
      </c>
      <c r="U127">
        <v>38.14</v>
      </c>
      <c r="V127">
        <v>1.92</v>
      </c>
      <c r="W127">
        <v>40.18</v>
      </c>
      <c r="X127" t="e">
        <v>#N/A</v>
      </c>
      <c r="Y127">
        <v>0.19</v>
      </c>
      <c r="Z127">
        <v>2.62</v>
      </c>
      <c r="AA127">
        <v>44.02</v>
      </c>
      <c r="AB127">
        <v>0</v>
      </c>
      <c r="AC127">
        <v>162.46</v>
      </c>
      <c r="AD127">
        <v>1.23</v>
      </c>
      <c r="AE127">
        <v>16.7</v>
      </c>
      <c r="AF127">
        <v>1.87</v>
      </c>
      <c r="AG127">
        <v>8.76</v>
      </c>
      <c r="AH127">
        <v>236.63</v>
      </c>
      <c r="AI127">
        <v>280.64</v>
      </c>
      <c r="AJ127">
        <v>0</v>
      </c>
      <c r="AK127">
        <v>0</v>
      </c>
      <c r="AL127">
        <v>4.2300000000000004</v>
      </c>
      <c r="AM127">
        <v>45.6</v>
      </c>
      <c r="AN127" t="s">
        <v>53</v>
      </c>
      <c r="AO127" t="s">
        <v>53</v>
      </c>
      <c r="AP127" t="s">
        <v>3</v>
      </c>
      <c r="AQ127">
        <v>1670.06</v>
      </c>
      <c r="AR127">
        <v>1670.06</v>
      </c>
      <c r="AS127" t="e">
        <v>#N/A</v>
      </c>
      <c r="AT127">
        <v>1670.06</v>
      </c>
      <c r="AU127">
        <v>5.99</v>
      </c>
      <c r="AV127">
        <v>1676.05</v>
      </c>
      <c r="AW127">
        <v>0</v>
      </c>
      <c r="AX127">
        <v>1393.55</v>
      </c>
      <c r="AY127">
        <v>105.29</v>
      </c>
      <c r="AZ127">
        <v>-12.67</v>
      </c>
      <c r="BA127">
        <v>55.34</v>
      </c>
      <c r="BB127">
        <v>1.9</v>
      </c>
      <c r="BC127" t="e">
        <v>#N/A</v>
      </c>
      <c r="BD127">
        <v>3.02</v>
      </c>
      <c r="BE127">
        <v>117.49</v>
      </c>
      <c r="BF127">
        <v>1663.92</v>
      </c>
      <c r="BG127">
        <v>12.13</v>
      </c>
      <c r="BH127">
        <v>9.2799999999999994</v>
      </c>
      <c r="BI127">
        <v>0</v>
      </c>
      <c r="BJ127">
        <v>3.3</v>
      </c>
      <c r="BK127">
        <v>-0.59</v>
      </c>
      <c r="BL127">
        <v>0</v>
      </c>
      <c r="BM127">
        <v>2.71</v>
      </c>
      <c r="BN127">
        <v>6.57</v>
      </c>
      <c r="BO127">
        <v>6.57</v>
      </c>
      <c r="BP127">
        <v>6.57</v>
      </c>
      <c r="BQ127">
        <v>27.2</v>
      </c>
      <c r="BR127">
        <v>0</v>
      </c>
      <c r="BS127">
        <v>200</v>
      </c>
    </row>
    <row r="128" spans="1:71" x14ac:dyDescent="0.25">
      <c r="A128" t="s">
        <v>158</v>
      </c>
      <c r="B128">
        <v>3</v>
      </c>
      <c r="C128">
        <v>2021</v>
      </c>
      <c r="D128">
        <v>3.2</v>
      </c>
      <c r="E128">
        <v>3.2</v>
      </c>
      <c r="F128">
        <v>239.89</v>
      </c>
      <c r="G128">
        <v>239.89</v>
      </c>
      <c r="H128">
        <v>243.09</v>
      </c>
      <c r="I128">
        <v>0</v>
      </c>
      <c r="J128" t="e">
        <v>#N/A</v>
      </c>
      <c r="K128" t="e">
        <v>#N/A</v>
      </c>
      <c r="L128">
        <v>10.58</v>
      </c>
      <c r="M128">
        <v>0</v>
      </c>
      <c r="N128">
        <v>19.25</v>
      </c>
      <c r="O128">
        <v>35.799999999999997</v>
      </c>
      <c r="P128">
        <v>0.1</v>
      </c>
      <c r="Q128">
        <v>81.28</v>
      </c>
      <c r="R128">
        <v>334.95</v>
      </c>
      <c r="S128">
        <v>0</v>
      </c>
      <c r="T128">
        <v>0</v>
      </c>
      <c r="U128">
        <v>23.9</v>
      </c>
      <c r="V128">
        <v>2.02</v>
      </c>
      <c r="W128">
        <v>26.08</v>
      </c>
      <c r="X128" t="e">
        <v>#N/A</v>
      </c>
      <c r="Y128">
        <v>1.85</v>
      </c>
      <c r="Z128">
        <v>0.76</v>
      </c>
      <c r="AA128">
        <v>28.71</v>
      </c>
      <c r="AB128">
        <v>0</v>
      </c>
      <c r="AC128">
        <v>169.95</v>
      </c>
      <c r="AD128">
        <v>0.38</v>
      </c>
      <c r="AE128">
        <v>7.84</v>
      </c>
      <c r="AF128">
        <v>2.06</v>
      </c>
      <c r="AG128">
        <v>10.08</v>
      </c>
      <c r="AH128">
        <v>306.23</v>
      </c>
      <c r="AI128">
        <v>334.95</v>
      </c>
      <c r="AJ128">
        <v>0</v>
      </c>
      <c r="AK128">
        <v>0</v>
      </c>
      <c r="AL128">
        <v>12.36</v>
      </c>
      <c r="AM128">
        <v>115.94</v>
      </c>
      <c r="AN128" t="s">
        <v>53</v>
      </c>
      <c r="AO128" t="s">
        <v>53</v>
      </c>
      <c r="AP128">
        <v>0</v>
      </c>
      <c r="AQ128">
        <v>1543.26</v>
      </c>
      <c r="AR128">
        <v>1543.26</v>
      </c>
      <c r="AS128" t="e">
        <v>#N/A</v>
      </c>
      <c r="AT128">
        <v>1543.26</v>
      </c>
      <c r="AU128">
        <v>8.31</v>
      </c>
      <c r="AV128">
        <v>1551.57</v>
      </c>
      <c r="AW128">
        <v>0</v>
      </c>
      <c r="AX128">
        <v>1175.32</v>
      </c>
      <c r="AY128">
        <v>66.36</v>
      </c>
      <c r="AZ128">
        <v>10.97</v>
      </c>
      <c r="BA128">
        <v>52.99</v>
      </c>
      <c r="BB128">
        <v>1.48</v>
      </c>
      <c r="BC128" t="e">
        <v>#N/A</v>
      </c>
      <c r="BD128">
        <v>2.42</v>
      </c>
      <c r="BE128">
        <v>99.02</v>
      </c>
      <c r="BF128">
        <v>1408.57</v>
      </c>
      <c r="BG128">
        <v>143.01</v>
      </c>
      <c r="BH128">
        <v>149.69</v>
      </c>
      <c r="BI128">
        <v>0</v>
      </c>
      <c r="BJ128">
        <v>36.5</v>
      </c>
      <c r="BK128">
        <v>0.66</v>
      </c>
      <c r="BL128">
        <v>-0.4</v>
      </c>
      <c r="BM128">
        <v>36.76</v>
      </c>
      <c r="BN128">
        <v>112.93</v>
      </c>
      <c r="BO128">
        <v>112.93</v>
      </c>
      <c r="BP128">
        <v>112.93</v>
      </c>
      <c r="BQ128">
        <v>11.2</v>
      </c>
      <c r="BR128">
        <v>0</v>
      </c>
      <c r="BS128">
        <v>1000</v>
      </c>
    </row>
    <row r="129" spans="1:71" x14ac:dyDescent="0.25">
      <c r="A129" t="s">
        <v>158</v>
      </c>
      <c r="B129">
        <v>4</v>
      </c>
      <c r="C129">
        <v>2020</v>
      </c>
      <c r="D129">
        <v>3.2</v>
      </c>
      <c r="E129">
        <v>3.2</v>
      </c>
      <c r="F129">
        <v>138.83000000000001</v>
      </c>
      <c r="G129">
        <v>138.83000000000001</v>
      </c>
      <c r="H129">
        <v>142.03</v>
      </c>
      <c r="I129">
        <v>0</v>
      </c>
      <c r="J129" t="e">
        <v>#N/A</v>
      </c>
      <c r="K129" t="e">
        <v>#N/A</v>
      </c>
      <c r="L129">
        <v>9.1300000000000008</v>
      </c>
      <c r="M129">
        <v>0</v>
      </c>
      <c r="N129">
        <v>7.08</v>
      </c>
      <c r="O129">
        <v>28.19</v>
      </c>
      <c r="P129">
        <v>0</v>
      </c>
      <c r="Q129">
        <v>38.700000000000003</v>
      </c>
      <c r="R129">
        <v>189.87</v>
      </c>
      <c r="S129">
        <v>0</v>
      </c>
      <c r="T129">
        <v>0</v>
      </c>
      <c r="U129">
        <v>24.51</v>
      </c>
      <c r="V129">
        <v>0.85</v>
      </c>
      <c r="W129">
        <v>25.43</v>
      </c>
      <c r="X129" t="e">
        <v>#N/A</v>
      </c>
      <c r="Y129">
        <v>1.39</v>
      </c>
      <c r="Z129">
        <v>0.11</v>
      </c>
      <c r="AA129">
        <v>26.96</v>
      </c>
      <c r="AB129">
        <v>0</v>
      </c>
      <c r="AC129">
        <v>82.36</v>
      </c>
      <c r="AD129">
        <v>0.41</v>
      </c>
      <c r="AE129">
        <v>2.21</v>
      </c>
      <c r="AF129">
        <v>1.65</v>
      </c>
      <c r="AG129">
        <v>10.69</v>
      </c>
      <c r="AH129">
        <v>162.91</v>
      </c>
      <c r="AI129">
        <v>189.87</v>
      </c>
      <c r="AJ129">
        <v>0</v>
      </c>
      <c r="AK129">
        <v>0</v>
      </c>
      <c r="AL129">
        <v>13.01</v>
      </c>
      <c r="AM129">
        <v>65.599999999999994</v>
      </c>
      <c r="AN129" t="s">
        <v>53</v>
      </c>
      <c r="AO129" t="s">
        <v>53</v>
      </c>
      <c r="AP129">
        <v>0</v>
      </c>
      <c r="AQ129">
        <v>1428.52</v>
      </c>
      <c r="AR129">
        <v>1428.52</v>
      </c>
      <c r="AS129" t="e">
        <v>#N/A</v>
      </c>
      <c r="AT129">
        <v>1428.52</v>
      </c>
      <c r="AU129">
        <v>4.22</v>
      </c>
      <c r="AV129">
        <v>1432.74</v>
      </c>
      <c r="AW129">
        <v>0</v>
      </c>
      <c r="AX129">
        <v>1249.78</v>
      </c>
      <c r="AY129">
        <v>0</v>
      </c>
      <c r="AZ129">
        <v>8.1</v>
      </c>
      <c r="BA129">
        <v>53.28</v>
      </c>
      <c r="BB129">
        <v>1.53</v>
      </c>
      <c r="BC129" t="e">
        <v>#N/A</v>
      </c>
      <c r="BD129">
        <v>2.81</v>
      </c>
      <c r="BE129">
        <v>91.15</v>
      </c>
      <c r="BF129">
        <v>1406.66</v>
      </c>
      <c r="BG129">
        <v>26.08</v>
      </c>
      <c r="BH129">
        <v>26.08</v>
      </c>
      <c r="BI129">
        <v>0</v>
      </c>
      <c r="BJ129">
        <v>7</v>
      </c>
      <c r="BK129">
        <v>0.37</v>
      </c>
      <c r="BL129">
        <v>-0.19</v>
      </c>
      <c r="BM129">
        <v>7.18</v>
      </c>
      <c r="BN129">
        <v>18.899999999999999</v>
      </c>
      <c r="BO129">
        <v>18.899999999999999</v>
      </c>
      <c r="BP129">
        <v>18.899999999999999</v>
      </c>
      <c r="BQ129">
        <v>5.79</v>
      </c>
      <c r="BR129">
        <v>0</v>
      </c>
      <c r="BS129">
        <v>200</v>
      </c>
    </row>
    <row r="130" spans="1:71" x14ac:dyDescent="0.25">
      <c r="A130" t="s">
        <v>158</v>
      </c>
      <c r="B130">
        <v>5</v>
      </c>
      <c r="C130">
        <v>2019</v>
      </c>
      <c r="D130">
        <v>3.2</v>
      </c>
      <c r="E130">
        <v>3.2</v>
      </c>
      <c r="F130">
        <v>126.57</v>
      </c>
      <c r="G130">
        <v>126.57</v>
      </c>
      <c r="H130">
        <v>129.77000000000001</v>
      </c>
      <c r="I130">
        <v>0</v>
      </c>
      <c r="J130" t="e">
        <v>#N/A</v>
      </c>
      <c r="K130" t="e">
        <v>#N/A</v>
      </c>
      <c r="L130">
        <v>7.12</v>
      </c>
      <c r="M130">
        <v>0</v>
      </c>
      <c r="N130">
        <v>8</v>
      </c>
      <c r="O130">
        <v>19.350000000000001</v>
      </c>
      <c r="P130">
        <v>0</v>
      </c>
      <c r="Q130">
        <v>60.34</v>
      </c>
      <c r="R130">
        <v>197.23</v>
      </c>
      <c r="S130">
        <v>0</v>
      </c>
      <c r="T130">
        <v>0</v>
      </c>
      <c r="U130">
        <v>25.71</v>
      </c>
      <c r="V130">
        <v>0.46</v>
      </c>
      <c r="W130">
        <v>26.2</v>
      </c>
      <c r="X130" t="e">
        <v>#N/A</v>
      </c>
      <c r="Y130">
        <v>1.19</v>
      </c>
      <c r="Z130">
        <v>0.79</v>
      </c>
      <c r="AA130">
        <v>28.2</v>
      </c>
      <c r="AB130">
        <v>0</v>
      </c>
      <c r="AC130">
        <v>87.63</v>
      </c>
      <c r="AD130">
        <v>0.15</v>
      </c>
      <c r="AE130">
        <v>25.6</v>
      </c>
      <c r="AF130">
        <v>1.56</v>
      </c>
      <c r="AG130">
        <v>11.49</v>
      </c>
      <c r="AH130">
        <v>169.03</v>
      </c>
      <c r="AI130">
        <v>197.23</v>
      </c>
      <c r="AJ130">
        <v>0</v>
      </c>
      <c r="AK130">
        <v>0</v>
      </c>
      <c r="AL130">
        <v>2.46</v>
      </c>
      <c r="AM130">
        <v>42.61</v>
      </c>
      <c r="AN130" t="s">
        <v>53</v>
      </c>
      <c r="AO130" t="s">
        <v>53</v>
      </c>
      <c r="AP130">
        <v>0</v>
      </c>
      <c r="AQ130">
        <v>1209.4100000000001</v>
      </c>
      <c r="AR130">
        <v>1209.4100000000001</v>
      </c>
      <c r="AS130" t="e">
        <v>#N/A</v>
      </c>
      <c r="AT130">
        <v>1209.4100000000001</v>
      </c>
      <c r="AU130">
        <v>7.66</v>
      </c>
      <c r="AV130">
        <v>1217.07</v>
      </c>
      <c r="AW130">
        <v>0</v>
      </c>
      <c r="AX130">
        <v>1075.21</v>
      </c>
      <c r="AY130">
        <v>0</v>
      </c>
      <c r="AZ130">
        <v>-22.42</v>
      </c>
      <c r="BA130">
        <v>48.87</v>
      </c>
      <c r="BB130">
        <v>1.31</v>
      </c>
      <c r="BC130" t="e">
        <v>#N/A</v>
      </c>
      <c r="BD130">
        <v>3.34</v>
      </c>
      <c r="BE130">
        <v>94.42</v>
      </c>
      <c r="BF130">
        <v>1200.74</v>
      </c>
      <c r="BG130">
        <v>16.329999999999998</v>
      </c>
      <c r="BH130">
        <v>14.63</v>
      </c>
      <c r="BI130">
        <v>0</v>
      </c>
      <c r="BJ130">
        <v>6.25</v>
      </c>
      <c r="BK130">
        <v>-0.69</v>
      </c>
      <c r="BL130">
        <v>-0.35</v>
      </c>
      <c r="BM130">
        <v>5.2</v>
      </c>
      <c r="BN130">
        <v>9.43</v>
      </c>
      <c r="BO130">
        <v>9.43</v>
      </c>
      <c r="BP130">
        <v>9.43</v>
      </c>
      <c r="BQ130">
        <v>19.2</v>
      </c>
      <c r="BR130">
        <v>3.95</v>
      </c>
      <c r="BS130">
        <v>150</v>
      </c>
    </row>
    <row r="131" spans="1:71" x14ac:dyDescent="0.25">
      <c r="A131" t="s">
        <v>158</v>
      </c>
      <c r="B131">
        <v>6</v>
      </c>
      <c r="C131">
        <v>2018</v>
      </c>
      <c r="D131">
        <v>3.2</v>
      </c>
      <c r="E131">
        <v>3.2</v>
      </c>
      <c r="F131">
        <v>140.59</v>
      </c>
      <c r="G131">
        <v>140.59</v>
      </c>
      <c r="H131">
        <v>143.79</v>
      </c>
      <c r="I131">
        <v>0</v>
      </c>
      <c r="J131" t="e">
        <v>#N/A</v>
      </c>
      <c r="K131" t="e">
        <v>#N/A</v>
      </c>
      <c r="L131">
        <v>6.6</v>
      </c>
      <c r="M131">
        <v>0</v>
      </c>
      <c r="N131">
        <v>15.12</v>
      </c>
      <c r="O131">
        <v>29.51</v>
      </c>
      <c r="P131">
        <v>0</v>
      </c>
      <c r="Q131">
        <v>79.25</v>
      </c>
      <c r="R131">
        <v>229.65</v>
      </c>
      <c r="S131">
        <v>0</v>
      </c>
      <c r="T131">
        <v>0</v>
      </c>
      <c r="U131">
        <v>27.26</v>
      </c>
      <c r="V131">
        <v>0.17</v>
      </c>
      <c r="W131">
        <v>27.44</v>
      </c>
      <c r="X131" t="e">
        <v>#N/A</v>
      </c>
      <c r="Y131">
        <v>1.39</v>
      </c>
      <c r="Z131">
        <v>0.49</v>
      </c>
      <c r="AA131">
        <v>29.35</v>
      </c>
      <c r="AB131">
        <v>0</v>
      </c>
      <c r="AC131">
        <v>90.52</v>
      </c>
      <c r="AD131">
        <v>0.17</v>
      </c>
      <c r="AE131">
        <v>20.74</v>
      </c>
      <c r="AF131">
        <v>1.39</v>
      </c>
      <c r="AG131">
        <v>4.1399999999999997</v>
      </c>
      <c r="AH131">
        <v>200.3</v>
      </c>
      <c r="AI131">
        <v>229.65</v>
      </c>
      <c r="AJ131">
        <v>0</v>
      </c>
      <c r="AK131">
        <v>0</v>
      </c>
      <c r="AL131">
        <v>2.67</v>
      </c>
      <c r="AM131">
        <v>83.33</v>
      </c>
      <c r="AN131" t="s">
        <v>53</v>
      </c>
      <c r="AO131">
        <v>82.03</v>
      </c>
      <c r="AP131">
        <v>0</v>
      </c>
      <c r="AQ131">
        <v>1304.17</v>
      </c>
      <c r="AR131">
        <v>1304.17</v>
      </c>
      <c r="AS131" t="e">
        <v>#N/A</v>
      </c>
      <c r="AT131">
        <v>1304.17</v>
      </c>
      <c r="AU131">
        <v>5.19</v>
      </c>
      <c r="AV131">
        <v>1309.3599999999999</v>
      </c>
      <c r="AW131">
        <v>0</v>
      </c>
      <c r="AX131">
        <v>960.9</v>
      </c>
      <c r="AY131">
        <v>105.55</v>
      </c>
      <c r="AZ131">
        <v>2.67</v>
      </c>
      <c r="BA131">
        <v>46.77</v>
      </c>
      <c r="BB131">
        <v>1.2</v>
      </c>
      <c r="BC131" t="e">
        <v>#N/A</v>
      </c>
      <c r="BD131">
        <v>3.52</v>
      </c>
      <c r="BE131">
        <v>80.099999999999994</v>
      </c>
      <c r="BF131">
        <v>1200.71</v>
      </c>
      <c r="BG131">
        <v>108.65</v>
      </c>
      <c r="BH131">
        <v>108.65</v>
      </c>
      <c r="BI131">
        <v>0</v>
      </c>
      <c r="BJ131">
        <v>38</v>
      </c>
      <c r="BK131">
        <v>1.23</v>
      </c>
      <c r="BL131">
        <v>-0.21</v>
      </c>
      <c r="BM131">
        <v>39.020000000000003</v>
      </c>
      <c r="BN131">
        <v>69.63</v>
      </c>
      <c r="BO131">
        <v>69.63</v>
      </c>
      <c r="BP131">
        <v>69.63</v>
      </c>
      <c r="BQ131">
        <v>9.6</v>
      </c>
      <c r="BR131">
        <v>1.95</v>
      </c>
      <c r="BS131">
        <v>600</v>
      </c>
    </row>
    <row r="132" spans="1:71" x14ac:dyDescent="0.25">
      <c r="A132" t="s">
        <v>159</v>
      </c>
      <c r="B132">
        <v>2</v>
      </c>
      <c r="C132">
        <v>2022</v>
      </c>
      <c r="D132">
        <v>4.8899999999999997</v>
      </c>
      <c r="E132">
        <v>4.8899999999999997</v>
      </c>
      <c r="F132">
        <v>117.79</v>
      </c>
      <c r="G132">
        <v>117.79</v>
      </c>
      <c r="H132">
        <v>122.68</v>
      </c>
      <c r="I132">
        <v>0</v>
      </c>
      <c r="J132">
        <v>78.849999999999994</v>
      </c>
      <c r="K132">
        <v>2</v>
      </c>
      <c r="L132">
        <v>107.14</v>
      </c>
      <c r="M132">
        <v>0</v>
      </c>
      <c r="N132">
        <v>15.61</v>
      </c>
      <c r="O132">
        <v>2.38</v>
      </c>
      <c r="P132">
        <v>1.4</v>
      </c>
      <c r="Q132">
        <v>74.430000000000007</v>
      </c>
      <c r="R132">
        <v>304.25</v>
      </c>
      <c r="S132">
        <v>0</v>
      </c>
      <c r="T132">
        <v>0</v>
      </c>
      <c r="U132">
        <v>182.45</v>
      </c>
      <c r="V132">
        <v>4.7</v>
      </c>
      <c r="W132">
        <v>189.17</v>
      </c>
      <c r="X132" t="e">
        <v>#N/A</v>
      </c>
      <c r="Y132">
        <v>0</v>
      </c>
      <c r="Z132">
        <v>12.89</v>
      </c>
      <c r="AA132">
        <v>202.09</v>
      </c>
      <c r="AB132">
        <v>0</v>
      </c>
      <c r="AC132">
        <v>19.760000000000002</v>
      </c>
      <c r="AD132">
        <v>57.51</v>
      </c>
      <c r="AE132">
        <v>1.4</v>
      </c>
      <c r="AF132">
        <v>0</v>
      </c>
      <c r="AG132">
        <v>23.49</v>
      </c>
      <c r="AH132">
        <v>102.16</v>
      </c>
      <c r="AI132">
        <v>304.25</v>
      </c>
      <c r="AJ132">
        <v>0</v>
      </c>
      <c r="AK132">
        <v>0</v>
      </c>
      <c r="AL132">
        <v>0</v>
      </c>
      <c r="AM132">
        <v>0</v>
      </c>
      <c r="AN132" t="s">
        <v>53</v>
      </c>
      <c r="AO132" t="s">
        <v>53</v>
      </c>
      <c r="AP132" t="e">
        <v>#N/A</v>
      </c>
      <c r="AQ132">
        <v>305.57</v>
      </c>
      <c r="AR132">
        <v>305.57</v>
      </c>
      <c r="AS132">
        <v>10.63</v>
      </c>
      <c r="AT132">
        <v>316.2</v>
      </c>
      <c r="AU132">
        <v>3.15</v>
      </c>
      <c r="AV132">
        <v>319.35000000000002</v>
      </c>
      <c r="AW132">
        <v>0</v>
      </c>
      <c r="AX132">
        <v>244.29</v>
      </c>
      <c r="AY132" t="e">
        <v>#N/A</v>
      </c>
      <c r="AZ132">
        <v>14.44</v>
      </c>
      <c r="BA132">
        <v>22.73</v>
      </c>
      <c r="BB132">
        <v>7.32</v>
      </c>
      <c r="BC132" t="e">
        <v>#N/A</v>
      </c>
      <c r="BD132">
        <v>6.54</v>
      </c>
      <c r="BE132">
        <v>21.72</v>
      </c>
      <c r="BF132">
        <v>317.04000000000002</v>
      </c>
      <c r="BG132">
        <v>2.31</v>
      </c>
      <c r="BH132">
        <v>2.31</v>
      </c>
      <c r="BI132">
        <v>0</v>
      </c>
      <c r="BJ132">
        <v>0.52</v>
      </c>
      <c r="BK132">
        <v>-1.21</v>
      </c>
      <c r="BL132">
        <v>0.11</v>
      </c>
      <c r="BM132">
        <v>-1.18</v>
      </c>
      <c r="BN132">
        <v>3.49</v>
      </c>
      <c r="BO132">
        <v>3.49</v>
      </c>
      <c r="BP132">
        <v>3.49</v>
      </c>
      <c r="BQ132" t="e">
        <v>#N/A</v>
      </c>
      <c r="BR132" t="e">
        <v>#N/A</v>
      </c>
      <c r="BS132" t="e">
        <v>#N/A</v>
      </c>
    </row>
    <row r="133" spans="1:71" x14ac:dyDescent="0.25">
      <c r="A133" t="s">
        <v>159</v>
      </c>
      <c r="B133">
        <v>3</v>
      </c>
      <c r="C133">
        <v>2021</v>
      </c>
      <c r="D133">
        <v>4.8899999999999997</v>
      </c>
      <c r="E133">
        <v>4.8899999999999997</v>
      </c>
      <c r="F133">
        <v>114.15</v>
      </c>
      <c r="G133">
        <v>114.15</v>
      </c>
      <c r="H133">
        <v>119.04</v>
      </c>
      <c r="I133">
        <v>0</v>
      </c>
      <c r="J133">
        <v>73.38</v>
      </c>
      <c r="K133">
        <v>1.74</v>
      </c>
      <c r="L133">
        <v>100.87</v>
      </c>
      <c r="M133">
        <v>0</v>
      </c>
      <c r="N133">
        <v>27.98</v>
      </c>
      <c r="O133">
        <v>13.22</v>
      </c>
      <c r="P133">
        <v>1.72</v>
      </c>
      <c r="Q133">
        <v>89.58</v>
      </c>
      <c r="R133">
        <v>309.49</v>
      </c>
      <c r="S133">
        <v>0</v>
      </c>
      <c r="T133">
        <v>0</v>
      </c>
      <c r="U133">
        <v>180.92</v>
      </c>
      <c r="V133">
        <v>1.56</v>
      </c>
      <c r="W133">
        <v>185.53</v>
      </c>
      <c r="X133" t="e">
        <v>#N/A</v>
      </c>
      <c r="Y133">
        <v>1.1399999999999999</v>
      </c>
      <c r="Z133">
        <v>11.7</v>
      </c>
      <c r="AA133">
        <v>198.4</v>
      </c>
      <c r="AB133">
        <v>0</v>
      </c>
      <c r="AC133">
        <v>32.81</v>
      </c>
      <c r="AD133">
        <v>53.27</v>
      </c>
      <c r="AE133">
        <v>0.92</v>
      </c>
      <c r="AF133">
        <v>0.16</v>
      </c>
      <c r="AG133">
        <v>23.93</v>
      </c>
      <c r="AH133">
        <v>111.09</v>
      </c>
      <c r="AI133">
        <v>309.49</v>
      </c>
      <c r="AJ133">
        <v>0</v>
      </c>
      <c r="AK133">
        <v>0</v>
      </c>
      <c r="AL133">
        <v>0</v>
      </c>
      <c r="AM133">
        <v>0</v>
      </c>
      <c r="AN133" t="s">
        <v>53</v>
      </c>
      <c r="AO133" t="s">
        <v>53</v>
      </c>
      <c r="AP133" t="e">
        <v>#N/A</v>
      </c>
      <c r="AQ133">
        <v>360.79</v>
      </c>
      <c r="AR133">
        <v>360.79</v>
      </c>
      <c r="AS133">
        <v>7.12</v>
      </c>
      <c r="AT133">
        <v>367.91</v>
      </c>
      <c r="AU133">
        <v>0.39</v>
      </c>
      <c r="AV133">
        <v>368.3</v>
      </c>
      <c r="AW133">
        <v>0</v>
      </c>
      <c r="AX133">
        <v>283.17</v>
      </c>
      <c r="AY133" t="e">
        <v>#N/A</v>
      </c>
      <c r="AZ133">
        <v>24.68</v>
      </c>
      <c r="BA133">
        <v>21.31</v>
      </c>
      <c r="BB133">
        <v>8.2100000000000009</v>
      </c>
      <c r="BC133" t="e">
        <v>#N/A</v>
      </c>
      <c r="BD133">
        <v>8.75</v>
      </c>
      <c r="BE133">
        <v>18.920000000000002</v>
      </c>
      <c r="BF133">
        <v>365.04</v>
      </c>
      <c r="BG133">
        <v>3.26</v>
      </c>
      <c r="BH133">
        <v>3.26</v>
      </c>
      <c r="BI133">
        <v>0</v>
      </c>
      <c r="BJ133">
        <v>0.71</v>
      </c>
      <c r="BK133">
        <v>0.72</v>
      </c>
      <c r="BL133">
        <v>0.02</v>
      </c>
      <c r="BM133">
        <v>0.82</v>
      </c>
      <c r="BN133">
        <v>2.44</v>
      </c>
      <c r="BO133">
        <v>2.44</v>
      </c>
      <c r="BP133">
        <v>2.44</v>
      </c>
      <c r="BQ133" t="e">
        <v>#N/A</v>
      </c>
      <c r="BR133" t="e">
        <v>#N/A</v>
      </c>
      <c r="BS133" t="e">
        <v>#N/A</v>
      </c>
    </row>
    <row r="134" spans="1:71" x14ac:dyDescent="0.25">
      <c r="A134" t="s">
        <v>159</v>
      </c>
      <c r="B134">
        <v>4</v>
      </c>
      <c r="C134">
        <v>2020</v>
      </c>
      <c r="D134">
        <v>4.8899999999999997</v>
      </c>
      <c r="E134">
        <v>4.8899999999999997</v>
      </c>
      <c r="F134">
        <v>111.8</v>
      </c>
      <c r="G134">
        <v>111.8</v>
      </c>
      <c r="H134">
        <v>116.69</v>
      </c>
      <c r="I134">
        <v>0</v>
      </c>
      <c r="J134">
        <v>62.23</v>
      </c>
      <c r="K134">
        <v>2.06</v>
      </c>
      <c r="L134">
        <v>85.17</v>
      </c>
      <c r="M134">
        <v>0</v>
      </c>
      <c r="N134">
        <v>31.44</v>
      </c>
      <c r="O134">
        <v>16.7</v>
      </c>
      <c r="P134">
        <v>1.3</v>
      </c>
      <c r="Q134">
        <v>98.32</v>
      </c>
      <c r="R134">
        <v>300.18</v>
      </c>
      <c r="S134">
        <v>0</v>
      </c>
      <c r="T134">
        <v>0</v>
      </c>
      <c r="U134">
        <v>180.91</v>
      </c>
      <c r="V134">
        <v>1.63</v>
      </c>
      <c r="W134">
        <v>186.5</v>
      </c>
      <c r="X134" t="e">
        <v>#N/A</v>
      </c>
      <c r="Y134">
        <v>1.06</v>
      </c>
      <c r="Z134">
        <v>11.1</v>
      </c>
      <c r="AA134">
        <v>198.69</v>
      </c>
      <c r="AB134">
        <v>0</v>
      </c>
      <c r="AC134">
        <v>58.57</v>
      </c>
      <c r="AD134">
        <v>32.86</v>
      </c>
      <c r="AE134">
        <v>2.58</v>
      </c>
      <c r="AF134">
        <v>0.33</v>
      </c>
      <c r="AG134">
        <v>7.15</v>
      </c>
      <c r="AH134">
        <v>101.49</v>
      </c>
      <c r="AI134">
        <v>300.18</v>
      </c>
      <c r="AJ134">
        <v>0</v>
      </c>
      <c r="AK134">
        <v>0</v>
      </c>
      <c r="AL134">
        <v>0.71</v>
      </c>
      <c r="AM134">
        <v>0</v>
      </c>
      <c r="AN134" t="s">
        <v>53</v>
      </c>
      <c r="AO134" t="s">
        <v>53</v>
      </c>
      <c r="AP134" t="e">
        <v>#N/A</v>
      </c>
      <c r="AQ134">
        <v>540.66</v>
      </c>
      <c r="AR134">
        <v>540.66</v>
      </c>
      <c r="AS134">
        <v>10.75</v>
      </c>
      <c r="AT134">
        <v>551.41</v>
      </c>
      <c r="AU134">
        <v>0.61</v>
      </c>
      <c r="AV134">
        <v>552.02</v>
      </c>
      <c r="AW134">
        <v>0</v>
      </c>
      <c r="AX134">
        <v>472.05</v>
      </c>
      <c r="AY134" t="e">
        <v>#N/A</v>
      </c>
      <c r="AZ134">
        <v>7.45</v>
      </c>
      <c r="BA134">
        <v>20.85</v>
      </c>
      <c r="BB134">
        <v>8.4</v>
      </c>
      <c r="BC134" t="e">
        <v>#N/A</v>
      </c>
      <c r="BD134">
        <v>8.11</v>
      </c>
      <c r="BE134">
        <v>26.39</v>
      </c>
      <c r="BF134">
        <v>543.25</v>
      </c>
      <c r="BG134">
        <v>8.77</v>
      </c>
      <c r="BH134">
        <v>8.77</v>
      </c>
      <c r="BI134">
        <v>0</v>
      </c>
      <c r="BJ134">
        <v>2.13</v>
      </c>
      <c r="BK134">
        <v>3.33</v>
      </c>
      <c r="BL134">
        <v>7.0000000000000007E-2</v>
      </c>
      <c r="BM134">
        <v>0.38</v>
      </c>
      <c r="BN134">
        <v>8.39</v>
      </c>
      <c r="BO134">
        <v>8.39</v>
      </c>
      <c r="BP134">
        <v>8.39</v>
      </c>
      <c r="BQ134" t="e">
        <v>#N/A</v>
      </c>
      <c r="BR134" t="e">
        <v>#N/A</v>
      </c>
      <c r="BS134" t="e">
        <v>#N/A</v>
      </c>
    </row>
    <row r="135" spans="1:71" x14ac:dyDescent="0.25">
      <c r="A135" t="s">
        <v>159</v>
      </c>
      <c r="B135">
        <v>5</v>
      </c>
      <c r="C135">
        <v>2019</v>
      </c>
      <c r="D135">
        <v>4.8899999999999997</v>
      </c>
      <c r="E135">
        <v>4.8899999999999997</v>
      </c>
      <c r="F135">
        <v>103.4</v>
      </c>
      <c r="G135">
        <v>103.4</v>
      </c>
      <c r="H135">
        <v>108.29</v>
      </c>
      <c r="I135">
        <v>0</v>
      </c>
      <c r="J135">
        <v>58.27</v>
      </c>
      <c r="K135">
        <v>2.0699999999999998</v>
      </c>
      <c r="L135">
        <v>75.61</v>
      </c>
      <c r="M135">
        <v>0</v>
      </c>
      <c r="N135">
        <v>44.48</v>
      </c>
      <c r="O135">
        <v>11.7</v>
      </c>
      <c r="P135">
        <v>0.94</v>
      </c>
      <c r="Q135">
        <v>98.69</v>
      </c>
      <c r="R135">
        <v>282.58999999999997</v>
      </c>
      <c r="S135">
        <v>0</v>
      </c>
      <c r="T135">
        <v>0</v>
      </c>
      <c r="U135">
        <v>166.21</v>
      </c>
      <c r="V135">
        <v>1.73</v>
      </c>
      <c r="W135">
        <v>170.13</v>
      </c>
      <c r="X135" t="e">
        <v>#N/A</v>
      </c>
      <c r="Y135">
        <v>1.1599999999999999</v>
      </c>
      <c r="Z135">
        <v>4.78</v>
      </c>
      <c r="AA135">
        <v>176.09</v>
      </c>
      <c r="AB135">
        <v>0</v>
      </c>
      <c r="AC135">
        <v>68.09</v>
      </c>
      <c r="AD135">
        <v>21.99</v>
      </c>
      <c r="AE135">
        <v>4.6100000000000003</v>
      </c>
      <c r="AF135">
        <v>0.8</v>
      </c>
      <c r="AG135">
        <v>11.01</v>
      </c>
      <c r="AH135">
        <v>106.5</v>
      </c>
      <c r="AI135">
        <v>282.58999999999997</v>
      </c>
      <c r="AJ135">
        <v>0</v>
      </c>
      <c r="AK135">
        <v>0</v>
      </c>
      <c r="AL135">
        <v>3.41</v>
      </c>
      <c r="AM135">
        <v>0</v>
      </c>
      <c r="AN135" t="s">
        <v>53</v>
      </c>
      <c r="AO135" t="s">
        <v>53</v>
      </c>
      <c r="AP135" t="e">
        <v>#N/A</v>
      </c>
      <c r="AQ135">
        <v>524.01</v>
      </c>
      <c r="AR135">
        <v>524.01</v>
      </c>
      <c r="AS135">
        <v>6.58</v>
      </c>
      <c r="AT135">
        <v>530.59</v>
      </c>
      <c r="AU135">
        <v>0.31</v>
      </c>
      <c r="AV135">
        <v>530.9</v>
      </c>
      <c r="AW135">
        <v>0</v>
      </c>
      <c r="AX135">
        <v>451.78</v>
      </c>
      <c r="AY135" t="e">
        <v>#N/A</v>
      </c>
      <c r="AZ135">
        <v>6.51</v>
      </c>
      <c r="BA135">
        <v>20.170000000000002</v>
      </c>
      <c r="BB135">
        <v>7.88</v>
      </c>
      <c r="BC135" t="e">
        <v>#N/A</v>
      </c>
      <c r="BD135">
        <v>6.83</v>
      </c>
      <c r="BE135">
        <v>24.37</v>
      </c>
      <c r="BF135">
        <v>517.54</v>
      </c>
      <c r="BG135">
        <v>13.36</v>
      </c>
      <c r="BH135">
        <v>13.36</v>
      </c>
      <c r="BI135">
        <v>0</v>
      </c>
      <c r="BJ135">
        <v>2.95</v>
      </c>
      <c r="BK135">
        <v>3.23</v>
      </c>
      <c r="BL135">
        <v>0.17</v>
      </c>
      <c r="BM135">
        <v>3.13</v>
      </c>
      <c r="BN135">
        <v>10.23</v>
      </c>
      <c r="BO135">
        <v>10.23</v>
      </c>
      <c r="BP135">
        <v>10.23</v>
      </c>
      <c r="BQ135" t="e">
        <v>#N/A</v>
      </c>
      <c r="BR135" t="e">
        <v>#N/A</v>
      </c>
      <c r="BS135" t="e">
        <v>#N/A</v>
      </c>
    </row>
    <row r="136" spans="1:71" x14ac:dyDescent="0.25">
      <c r="A136" t="s">
        <v>159</v>
      </c>
      <c r="B136">
        <v>6</v>
      </c>
      <c r="C136">
        <v>2018</v>
      </c>
      <c r="D136">
        <v>4.8899999999999997</v>
      </c>
      <c r="E136">
        <v>4.8899999999999997</v>
      </c>
      <c r="F136">
        <v>93.31</v>
      </c>
      <c r="G136">
        <v>93.31</v>
      </c>
      <c r="H136">
        <v>98.2</v>
      </c>
      <c r="I136">
        <v>0</v>
      </c>
      <c r="J136">
        <v>47.04</v>
      </c>
      <c r="K136">
        <v>1.9</v>
      </c>
      <c r="L136">
        <v>63.98</v>
      </c>
      <c r="M136">
        <v>0</v>
      </c>
      <c r="N136">
        <v>32.700000000000003</v>
      </c>
      <c r="O136">
        <v>12.97</v>
      </c>
      <c r="P136">
        <v>0.72</v>
      </c>
      <c r="Q136">
        <v>97.07</v>
      </c>
      <c r="R136">
        <v>259.25</v>
      </c>
      <c r="S136">
        <v>0</v>
      </c>
      <c r="T136">
        <v>0</v>
      </c>
      <c r="U136">
        <v>163.32</v>
      </c>
      <c r="V136">
        <v>1.49</v>
      </c>
      <c r="W136">
        <v>166.76</v>
      </c>
      <c r="X136" t="e">
        <v>#N/A</v>
      </c>
      <c r="Y136">
        <v>1.1499999999999999</v>
      </c>
      <c r="Z136">
        <v>2.17</v>
      </c>
      <c r="AA136">
        <v>170.1</v>
      </c>
      <c r="AB136">
        <v>0</v>
      </c>
      <c r="AC136">
        <v>74.55</v>
      </c>
      <c r="AD136">
        <v>4.8600000000000003</v>
      </c>
      <c r="AE136">
        <v>0.75</v>
      </c>
      <c r="AF136">
        <v>1.63</v>
      </c>
      <c r="AG136">
        <v>7.36</v>
      </c>
      <c r="AH136">
        <v>89.15</v>
      </c>
      <c r="AI136">
        <v>259.25</v>
      </c>
      <c r="AJ136">
        <v>0</v>
      </c>
      <c r="AK136">
        <v>0</v>
      </c>
      <c r="AL136">
        <v>0</v>
      </c>
      <c r="AM136">
        <v>0</v>
      </c>
      <c r="AN136" t="s">
        <v>53</v>
      </c>
      <c r="AO136" t="s">
        <v>53</v>
      </c>
      <c r="AP136" t="e">
        <v>#N/A</v>
      </c>
      <c r="AQ136">
        <v>479.92</v>
      </c>
      <c r="AR136">
        <v>479.92</v>
      </c>
      <c r="AS136">
        <v>11.01</v>
      </c>
      <c r="AT136">
        <v>490.93</v>
      </c>
      <c r="AU136">
        <v>0.2</v>
      </c>
      <c r="AV136">
        <v>491.13</v>
      </c>
      <c r="AW136">
        <v>0</v>
      </c>
      <c r="AX136">
        <v>427.58</v>
      </c>
      <c r="AY136" t="e">
        <v>#N/A</v>
      </c>
      <c r="AZ136">
        <v>1.03</v>
      </c>
      <c r="BA136">
        <v>14.97</v>
      </c>
      <c r="BB136">
        <v>10.47</v>
      </c>
      <c r="BC136" t="e">
        <v>#N/A</v>
      </c>
      <c r="BD136">
        <v>6.35</v>
      </c>
      <c r="BE136">
        <v>21.03</v>
      </c>
      <c r="BF136">
        <v>481.43</v>
      </c>
      <c r="BG136">
        <v>9.6999999999999993</v>
      </c>
      <c r="BH136">
        <v>9.6999999999999993</v>
      </c>
      <c r="BI136">
        <v>0</v>
      </c>
      <c r="BJ136">
        <v>1.89</v>
      </c>
      <c r="BK136">
        <v>-0.35</v>
      </c>
      <c r="BL136">
        <v>0</v>
      </c>
      <c r="BM136">
        <v>1.54</v>
      </c>
      <c r="BN136">
        <v>8.16</v>
      </c>
      <c r="BO136">
        <v>8.16</v>
      </c>
      <c r="BP136">
        <v>8.16</v>
      </c>
      <c r="BQ136" t="e">
        <v>#N/A</v>
      </c>
      <c r="BR136" t="e">
        <v>#N/A</v>
      </c>
      <c r="BS136" t="e">
        <v>#N/A</v>
      </c>
    </row>
    <row r="137" spans="1:71" x14ac:dyDescent="0.25">
      <c r="A137" t="s">
        <v>161</v>
      </c>
      <c r="B137">
        <v>2</v>
      </c>
      <c r="C137">
        <v>2022</v>
      </c>
      <c r="D137">
        <v>12.84</v>
      </c>
      <c r="E137">
        <v>20.23</v>
      </c>
      <c r="F137">
        <v>-12.42</v>
      </c>
      <c r="G137">
        <v>-12.42</v>
      </c>
      <c r="H137">
        <v>7.81</v>
      </c>
      <c r="I137">
        <v>0</v>
      </c>
      <c r="J137" t="e">
        <v>#N/A</v>
      </c>
      <c r="K137">
        <v>0.52</v>
      </c>
      <c r="L137">
        <v>6.48</v>
      </c>
      <c r="M137">
        <v>0</v>
      </c>
      <c r="N137">
        <v>5.41</v>
      </c>
      <c r="O137">
        <v>0.12</v>
      </c>
      <c r="P137" t="e">
        <v>#N/A</v>
      </c>
      <c r="Q137">
        <v>13.17</v>
      </c>
      <c r="R137">
        <v>27.46</v>
      </c>
      <c r="S137">
        <v>0</v>
      </c>
      <c r="T137">
        <v>0</v>
      </c>
      <c r="U137">
        <v>1.6</v>
      </c>
      <c r="V137">
        <v>0</v>
      </c>
      <c r="W137">
        <v>1.6</v>
      </c>
      <c r="X137" t="e">
        <v>#N/A</v>
      </c>
      <c r="Y137">
        <v>0.35</v>
      </c>
      <c r="Z137">
        <v>1.27</v>
      </c>
      <c r="AA137">
        <v>3.22</v>
      </c>
      <c r="AB137">
        <v>0</v>
      </c>
      <c r="AC137">
        <v>12.66</v>
      </c>
      <c r="AD137">
        <v>8.18</v>
      </c>
      <c r="AE137">
        <v>0.36</v>
      </c>
      <c r="AF137">
        <v>0.01</v>
      </c>
      <c r="AG137">
        <v>3.02</v>
      </c>
      <c r="AH137">
        <v>24.24</v>
      </c>
      <c r="AI137">
        <v>27.46</v>
      </c>
      <c r="AJ137">
        <v>0</v>
      </c>
      <c r="AK137">
        <v>0</v>
      </c>
      <c r="AL137">
        <v>13.05</v>
      </c>
      <c r="AM137">
        <v>0</v>
      </c>
      <c r="AN137" t="s">
        <v>53</v>
      </c>
      <c r="AO137" t="s">
        <v>53</v>
      </c>
      <c r="AP137" t="s">
        <v>3</v>
      </c>
      <c r="AQ137">
        <v>86.97</v>
      </c>
      <c r="AR137">
        <v>86.97</v>
      </c>
      <c r="AS137" t="e">
        <v>#N/A</v>
      </c>
      <c r="AT137">
        <v>86.97</v>
      </c>
      <c r="AU137">
        <v>0.2</v>
      </c>
      <c r="AV137">
        <v>87.18</v>
      </c>
      <c r="AW137">
        <v>0</v>
      </c>
      <c r="AX137">
        <v>71.849999999999994</v>
      </c>
      <c r="AY137" t="e">
        <v>#N/A</v>
      </c>
      <c r="AZ137">
        <v>-0.9</v>
      </c>
      <c r="BA137">
        <v>2.74</v>
      </c>
      <c r="BB137">
        <v>0.31</v>
      </c>
      <c r="BC137" t="e">
        <v>#N/A</v>
      </c>
      <c r="BD137">
        <v>0.22</v>
      </c>
      <c r="BE137">
        <v>3.11</v>
      </c>
      <c r="BF137">
        <v>81.16</v>
      </c>
      <c r="BG137">
        <v>6.01</v>
      </c>
      <c r="BH137">
        <v>6.01</v>
      </c>
      <c r="BI137">
        <v>0</v>
      </c>
      <c r="BJ137" t="e">
        <v>#N/A</v>
      </c>
      <c r="BK137">
        <v>0</v>
      </c>
      <c r="BL137" t="e">
        <v>#N/A</v>
      </c>
      <c r="BM137">
        <v>0</v>
      </c>
      <c r="BN137">
        <v>6.01</v>
      </c>
      <c r="BO137">
        <v>6.01</v>
      </c>
      <c r="BP137">
        <v>6.01</v>
      </c>
      <c r="BQ137" t="e">
        <v>#N/A</v>
      </c>
      <c r="BR137" t="e">
        <v>#N/A</v>
      </c>
      <c r="BS137" t="e">
        <v>#N/A</v>
      </c>
    </row>
    <row r="138" spans="1:71" x14ac:dyDescent="0.25">
      <c r="A138" t="s">
        <v>161</v>
      </c>
      <c r="B138">
        <v>3</v>
      </c>
      <c r="C138">
        <v>2021</v>
      </c>
      <c r="D138">
        <v>12.84</v>
      </c>
      <c r="E138">
        <v>20.23</v>
      </c>
      <c r="F138">
        <v>-18.43</v>
      </c>
      <c r="G138">
        <v>-18.43</v>
      </c>
      <c r="H138">
        <v>1.8</v>
      </c>
      <c r="I138">
        <v>0</v>
      </c>
      <c r="J138" t="e">
        <v>#N/A</v>
      </c>
      <c r="K138">
        <v>0.45</v>
      </c>
      <c r="L138">
        <v>12.08</v>
      </c>
      <c r="M138">
        <v>0</v>
      </c>
      <c r="N138">
        <v>3.55</v>
      </c>
      <c r="O138">
        <v>0.3</v>
      </c>
      <c r="P138" t="e">
        <v>#N/A</v>
      </c>
      <c r="Q138">
        <v>8.41</v>
      </c>
      <c r="R138">
        <v>22.3</v>
      </c>
      <c r="S138">
        <v>0</v>
      </c>
      <c r="T138">
        <v>0</v>
      </c>
      <c r="U138">
        <v>1.49</v>
      </c>
      <c r="V138">
        <v>0.01</v>
      </c>
      <c r="W138">
        <v>1.5</v>
      </c>
      <c r="X138" t="e">
        <v>#N/A</v>
      </c>
      <c r="Y138">
        <v>0.45</v>
      </c>
      <c r="Z138">
        <v>1.19</v>
      </c>
      <c r="AA138">
        <v>3.14</v>
      </c>
      <c r="AB138">
        <v>0</v>
      </c>
      <c r="AC138">
        <v>9.2100000000000009</v>
      </c>
      <c r="AD138">
        <v>8.27</v>
      </c>
      <c r="AE138">
        <v>0.94</v>
      </c>
      <c r="AF138">
        <v>0.35</v>
      </c>
      <c r="AG138">
        <v>0.39</v>
      </c>
      <c r="AH138">
        <v>19.16</v>
      </c>
      <c r="AI138">
        <v>22.3</v>
      </c>
      <c r="AJ138">
        <v>0</v>
      </c>
      <c r="AK138">
        <v>0</v>
      </c>
      <c r="AL138">
        <v>13.05</v>
      </c>
      <c r="AM138">
        <v>0</v>
      </c>
      <c r="AN138" t="s">
        <v>53</v>
      </c>
      <c r="AO138" t="s">
        <v>53</v>
      </c>
      <c r="AP138">
        <v>0</v>
      </c>
      <c r="AQ138">
        <v>47.87</v>
      </c>
      <c r="AR138">
        <v>47.87</v>
      </c>
      <c r="AS138" t="e">
        <v>#N/A</v>
      </c>
      <c r="AT138">
        <v>47.87</v>
      </c>
      <c r="AU138">
        <v>0.06</v>
      </c>
      <c r="AV138">
        <v>47.93</v>
      </c>
      <c r="AW138">
        <v>0</v>
      </c>
      <c r="AX138">
        <v>38.799999999999997</v>
      </c>
      <c r="AY138" t="e">
        <v>#N/A</v>
      </c>
      <c r="AZ138">
        <v>0.42</v>
      </c>
      <c r="BA138">
        <v>1.99</v>
      </c>
      <c r="BB138">
        <v>0.2</v>
      </c>
      <c r="BC138" t="e">
        <v>#N/A</v>
      </c>
      <c r="BD138">
        <v>0.62</v>
      </c>
      <c r="BE138">
        <v>1.63</v>
      </c>
      <c r="BF138">
        <v>46.3</v>
      </c>
      <c r="BG138">
        <v>1.63</v>
      </c>
      <c r="BH138">
        <v>1.63</v>
      </c>
      <c r="BI138">
        <v>0</v>
      </c>
      <c r="BJ138" t="e">
        <v>#N/A</v>
      </c>
      <c r="BK138">
        <v>-0.09</v>
      </c>
      <c r="BL138" t="e">
        <v>#N/A</v>
      </c>
      <c r="BM138">
        <v>-0.09</v>
      </c>
      <c r="BN138">
        <v>1.72</v>
      </c>
      <c r="BO138">
        <v>1.72</v>
      </c>
      <c r="BP138">
        <v>1.72</v>
      </c>
      <c r="BQ138" t="e">
        <v>#N/A</v>
      </c>
      <c r="BR138" t="e">
        <v>#N/A</v>
      </c>
      <c r="BS138" t="e">
        <v>#N/A</v>
      </c>
    </row>
    <row r="139" spans="1:71" x14ac:dyDescent="0.25">
      <c r="A139" t="s">
        <v>161</v>
      </c>
      <c r="B139">
        <v>4</v>
      </c>
      <c r="C139">
        <v>2020</v>
      </c>
      <c r="D139">
        <v>12.84</v>
      </c>
      <c r="E139">
        <v>20.23</v>
      </c>
      <c r="F139">
        <v>-20.2</v>
      </c>
      <c r="G139">
        <v>-20.2</v>
      </c>
      <c r="H139">
        <v>0.03</v>
      </c>
      <c r="I139">
        <v>0</v>
      </c>
      <c r="J139" t="e">
        <v>#N/A</v>
      </c>
      <c r="K139">
        <v>0.28999999999999998</v>
      </c>
      <c r="L139">
        <v>13.28</v>
      </c>
      <c r="M139">
        <v>0</v>
      </c>
      <c r="N139">
        <v>5.99</v>
      </c>
      <c r="O139">
        <v>0.44</v>
      </c>
      <c r="P139" t="e">
        <v>#N/A</v>
      </c>
      <c r="Q139">
        <v>7.74</v>
      </c>
      <c r="R139">
        <v>21.05</v>
      </c>
      <c r="S139">
        <v>0</v>
      </c>
      <c r="T139">
        <v>0</v>
      </c>
      <c r="U139">
        <v>2.11</v>
      </c>
      <c r="V139">
        <v>0.01</v>
      </c>
      <c r="W139">
        <v>2.13</v>
      </c>
      <c r="X139" t="e">
        <v>#N/A</v>
      </c>
      <c r="Y139">
        <v>0.45</v>
      </c>
      <c r="Z139">
        <v>0.41</v>
      </c>
      <c r="AA139">
        <v>2.98</v>
      </c>
      <c r="AB139">
        <v>0</v>
      </c>
      <c r="AC139">
        <v>9.01</v>
      </c>
      <c r="AD139">
        <v>6.34</v>
      </c>
      <c r="AE139">
        <v>1.51</v>
      </c>
      <c r="AF139">
        <v>0.42</v>
      </c>
      <c r="AG139">
        <v>0.8</v>
      </c>
      <c r="AH139">
        <v>18.07</v>
      </c>
      <c r="AI139">
        <v>21.05</v>
      </c>
      <c r="AJ139">
        <v>0</v>
      </c>
      <c r="AK139">
        <v>0</v>
      </c>
      <c r="AL139">
        <v>13.05</v>
      </c>
      <c r="AM139">
        <v>0</v>
      </c>
      <c r="AN139" t="s">
        <v>53</v>
      </c>
      <c r="AO139" t="s">
        <v>53</v>
      </c>
      <c r="AP139">
        <v>0</v>
      </c>
      <c r="AQ139">
        <v>69.89</v>
      </c>
      <c r="AR139">
        <v>69.89</v>
      </c>
      <c r="AS139" t="e">
        <v>#N/A</v>
      </c>
      <c r="AT139">
        <v>69.89</v>
      </c>
      <c r="AU139">
        <v>0.05</v>
      </c>
      <c r="AV139">
        <v>69.94</v>
      </c>
      <c r="AW139">
        <v>0</v>
      </c>
      <c r="AX139">
        <v>59.17</v>
      </c>
      <c r="AY139" t="e">
        <v>#N/A</v>
      </c>
      <c r="AZ139">
        <v>0.69</v>
      </c>
      <c r="BA139">
        <v>2.5</v>
      </c>
      <c r="BB139">
        <v>0.2</v>
      </c>
      <c r="BC139" t="e">
        <v>#N/A</v>
      </c>
      <c r="BD139">
        <v>0.65</v>
      </c>
      <c r="BE139">
        <v>2.19</v>
      </c>
      <c r="BF139">
        <v>69.17</v>
      </c>
      <c r="BG139">
        <v>0.77</v>
      </c>
      <c r="BH139">
        <v>0.77</v>
      </c>
      <c r="BI139">
        <v>0</v>
      </c>
      <c r="BJ139" t="e">
        <v>#N/A</v>
      </c>
      <c r="BK139">
        <v>-0.11</v>
      </c>
      <c r="BL139" t="e">
        <v>#N/A</v>
      </c>
      <c r="BM139">
        <v>-0.11</v>
      </c>
      <c r="BN139">
        <v>0.88</v>
      </c>
      <c r="BO139">
        <v>0.88</v>
      </c>
      <c r="BP139">
        <v>0.88</v>
      </c>
      <c r="BQ139" t="e">
        <v>#N/A</v>
      </c>
      <c r="BR139" t="e">
        <v>#N/A</v>
      </c>
      <c r="BS139" t="e">
        <v>#N/A</v>
      </c>
    </row>
    <row r="140" spans="1:71" x14ac:dyDescent="0.25">
      <c r="A140" t="s">
        <v>161</v>
      </c>
      <c r="B140">
        <v>5</v>
      </c>
      <c r="C140">
        <v>2019</v>
      </c>
      <c r="D140">
        <v>12.84</v>
      </c>
      <c r="E140">
        <v>20.23</v>
      </c>
      <c r="F140">
        <v>-21.13</v>
      </c>
      <c r="G140">
        <v>-21.13</v>
      </c>
      <c r="H140">
        <v>-0.89</v>
      </c>
      <c r="I140">
        <v>0</v>
      </c>
      <c r="J140" t="e">
        <v>#N/A</v>
      </c>
      <c r="K140">
        <v>0.25</v>
      </c>
      <c r="L140">
        <v>14.95</v>
      </c>
      <c r="M140">
        <v>0</v>
      </c>
      <c r="N140">
        <v>5.55</v>
      </c>
      <c r="O140">
        <v>0.56000000000000005</v>
      </c>
      <c r="P140" t="e">
        <v>#N/A</v>
      </c>
      <c r="Q140">
        <v>7.04</v>
      </c>
      <c r="R140">
        <v>21.1</v>
      </c>
      <c r="S140">
        <v>0</v>
      </c>
      <c r="T140">
        <v>0</v>
      </c>
      <c r="U140">
        <v>2.76</v>
      </c>
      <c r="V140">
        <v>0.01</v>
      </c>
      <c r="W140">
        <v>2.79</v>
      </c>
      <c r="X140" t="e">
        <v>#N/A</v>
      </c>
      <c r="Y140">
        <v>0.45</v>
      </c>
      <c r="Z140">
        <v>0.41</v>
      </c>
      <c r="AA140">
        <v>3.64</v>
      </c>
      <c r="AB140">
        <v>0</v>
      </c>
      <c r="AC140">
        <v>10.11</v>
      </c>
      <c r="AD140">
        <v>6.41</v>
      </c>
      <c r="AE140">
        <v>0.5</v>
      </c>
      <c r="AF140">
        <v>0.19</v>
      </c>
      <c r="AG140">
        <v>0.25</v>
      </c>
      <c r="AH140">
        <v>17.46</v>
      </c>
      <c r="AI140">
        <v>21.1</v>
      </c>
      <c r="AJ140">
        <v>0</v>
      </c>
      <c r="AK140">
        <v>0</v>
      </c>
      <c r="AL140">
        <v>13.05</v>
      </c>
      <c r="AM140">
        <v>0</v>
      </c>
      <c r="AN140" t="s">
        <v>53</v>
      </c>
      <c r="AO140" t="s">
        <v>53</v>
      </c>
      <c r="AP140">
        <v>0</v>
      </c>
      <c r="AQ140">
        <v>65.69</v>
      </c>
      <c r="AR140">
        <v>65.69</v>
      </c>
      <c r="AS140" t="e">
        <v>#N/A</v>
      </c>
      <c r="AT140">
        <v>65.69</v>
      </c>
      <c r="AU140">
        <v>7.0000000000000007E-2</v>
      </c>
      <c r="AV140">
        <v>65.760000000000005</v>
      </c>
      <c r="AW140">
        <v>0</v>
      </c>
      <c r="AX140">
        <v>57.15</v>
      </c>
      <c r="AY140" t="e">
        <v>#N/A</v>
      </c>
      <c r="AZ140">
        <v>-1.94</v>
      </c>
      <c r="BA140">
        <v>3.07</v>
      </c>
      <c r="BB140">
        <v>0.15</v>
      </c>
      <c r="BC140" t="e">
        <v>#N/A</v>
      </c>
      <c r="BD140">
        <v>0.65</v>
      </c>
      <c r="BE140">
        <v>1.82</v>
      </c>
      <c r="BF140">
        <v>64.55</v>
      </c>
      <c r="BG140">
        <v>1.21</v>
      </c>
      <c r="BH140">
        <v>1.21</v>
      </c>
      <c r="BI140">
        <v>0</v>
      </c>
      <c r="BJ140" t="e">
        <v>#N/A</v>
      </c>
      <c r="BK140">
        <v>-0.12</v>
      </c>
      <c r="BL140" t="e">
        <v>#N/A</v>
      </c>
      <c r="BM140">
        <v>-0.12</v>
      </c>
      <c r="BN140">
        <v>1.33</v>
      </c>
      <c r="BO140">
        <v>1.33</v>
      </c>
      <c r="BP140">
        <v>1.33</v>
      </c>
      <c r="BQ140" t="e">
        <v>#N/A</v>
      </c>
      <c r="BR140" t="e">
        <v>#N/A</v>
      </c>
      <c r="BS140" t="e">
        <v>#N/A</v>
      </c>
    </row>
    <row r="141" spans="1:71" x14ac:dyDescent="0.25">
      <c r="A141" t="s">
        <v>161</v>
      </c>
      <c r="B141">
        <v>6</v>
      </c>
      <c r="C141">
        <v>2018</v>
      </c>
      <c r="D141">
        <v>12.84</v>
      </c>
      <c r="E141">
        <v>20.23</v>
      </c>
      <c r="F141">
        <v>-22.45</v>
      </c>
      <c r="G141">
        <v>-22.45</v>
      </c>
      <c r="H141">
        <v>-2.2200000000000002</v>
      </c>
      <c r="I141">
        <v>0</v>
      </c>
      <c r="J141" t="e">
        <v>#N/A</v>
      </c>
      <c r="K141">
        <v>0.17</v>
      </c>
      <c r="L141">
        <v>16.8</v>
      </c>
      <c r="M141">
        <v>0</v>
      </c>
      <c r="N141">
        <v>5.61</v>
      </c>
      <c r="O141">
        <v>1.77</v>
      </c>
      <c r="P141" t="e">
        <v>#N/A</v>
      </c>
      <c r="Q141">
        <v>7.68</v>
      </c>
      <c r="R141">
        <v>22.27</v>
      </c>
      <c r="S141">
        <v>0</v>
      </c>
      <c r="T141">
        <v>0</v>
      </c>
      <c r="U141">
        <v>3.41</v>
      </c>
      <c r="V141">
        <v>0.01</v>
      </c>
      <c r="W141">
        <v>3.43</v>
      </c>
      <c r="X141" t="e">
        <v>#N/A</v>
      </c>
      <c r="Y141">
        <v>0.46</v>
      </c>
      <c r="Z141">
        <v>0.41</v>
      </c>
      <c r="AA141">
        <v>4.3</v>
      </c>
      <c r="AB141">
        <v>0</v>
      </c>
      <c r="AC141">
        <v>8.77</v>
      </c>
      <c r="AD141">
        <v>7.22</v>
      </c>
      <c r="AE141">
        <v>1.2</v>
      </c>
      <c r="AF141">
        <v>0.33</v>
      </c>
      <c r="AG141">
        <v>0.44</v>
      </c>
      <c r="AH141">
        <v>17.97</v>
      </c>
      <c r="AI141">
        <v>22.27</v>
      </c>
      <c r="AJ141">
        <v>0</v>
      </c>
      <c r="AK141">
        <v>0</v>
      </c>
      <c r="AL141">
        <v>0</v>
      </c>
      <c r="AM141">
        <v>0</v>
      </c>
      <c r="AN141" t="s">
        <v>53</v>
      </c>
      <c r="AO141" t="s">
        <v>53</v>
      </c>
      <c r="AP141">
        <v>0</v>
      </c>
      <c r="AQ141">
        <v>58.68</v>
      </c>
      <c r="AR141">
        <v>56.92</v>
      </c>
      <c r="AS141" t="e">
        <v>#N/A</v>
      </c>
      <c r="AT141">
        <v>56.92</v>
      </c>
      <c r="AU141">
        <v>0.02</v>
      </c>
      <c r="AV141">
        <v>56.94</v>
      </c>
      <c r="AW141">
        <v>0</v>
      </c>
      <c r="AX141">
        <v>42.89</v>
      </c>
      <c r="AY141" t="e">
        <v>#N/A</v>
      </c>
      <c r="AZ141">
        <v>2.14</v>
      </c>
      <c r="BA141">
        <v>2.86</v>
      </c>
      <c r="BB141">
        <v>0.66</v>
      </c>
      <c r="BC141" t="e">
        <v>#N/A</v>
      </c>
      <c r="BD141">
        <v>0.8</v>
      </c>
      <c r="BE141">
        <v>2.4300000000000002</v>
      </c>
      <c r="BF141">
        <v>55.68</v>
      </c>
      <c r="BG141">
        <v>1.26</v>
      </c>
      <c r="BH141">
        <v>1.26</v>
      </c>
      <c r="BI141">
        <v>0</v>
      </c>
      <c r="BJ141" t="e">
        <v>#N/A</v>
      </c>
      <c r="BK141">
        <v>0.33</v>
      </c>
      <c r="BL141" t="e">
        <v>#N/A</v>
      </c>
      <c r="BM141">
        <v>0.33</v>
      </c>
      <c r="BN141">
        <v>0.93</v>
      </c>
      <c r="BO141">
        <v>0.93</v>
      </c>
      <c r="BP141">
        <v>0.93</v>
      </c>
      <c r="BQ141" t="e">
        <v>#N/A</v>
      </c>
      <c r="BR141" t="e">
        <v>#N/A</v>
      </c>
      <c r="BS141" t="e">
        <v>#N/A</v>
      </c>
    </row>
    <row r="142" spans="1:71" x14ac:dyDescent="0.25">
      <c r="A142" t="s">
        <v>162</v>
      </c>
      <c r="B142">
        <v>2</v>
      </c>
      <c r="C142">
        <v>2022</v>
      </c>
      <c r="D142">
        <v>13.62</v>
      </c>
      <c r="E142">
        <v>13.62</v>
      </c>
      <c r="F142">
        <v>1881.78</v>
      </c>
      <c r="G142">
        <v>1881.78</v>
      </c>
      <c r="H142">
        <v>1895.4</v>
      </c>
      <c r="I142">
        <v>0</v>
      </c>
      <c r="J142">
        <v>16.96</v>
      </c>
      <c r="K142">
        <v>0.84</v>
      </c>
      <c r="L142">
        <v>17.8</v>
      </c>
      <c r="M142">
        <v>0</v>
      </c>
      <c r="N142">
        <v>304.75</v>
      </c>
      <c r="O142">
        <v>45.6</v>
      </c>
      <c r="P142">
        <v>0.67</v>
      </c>
      <c r="Q142">
        <v>351.02</v>
      </c>
      <c r="R142">
        <v>2516.21</v>
      </c>
      <c r="S142">
        <v>0</v>
      </c>
      <c r="T142">
        <v>0</v>
      </c>
      <c r="U142">
        <v>269.54000000000002</v>
      </c>
      <c r="V142">
        <v>39.97</v>
      </c>
      <c r="W142">
        <v>312.52999999999997</v>
      </c>
      <c r="X142">
        <v>1.65</v>
      </c>
      <c r="Y142">
        <v>0.68</v>
      </c>
      <c r="Z142">
        <v>55.4</v>
      </c>
      <c r="AA142">
        <v>487.28</v>
      </c>
      <c r="AB142">
        <v>0</v>
      </c>
      <c r="AC142">
        <v>989.31</v>
      </c>
      <c r="AD142">
        <v>113.69</v>
      </c>
      <c r="AE142">
        <v>74.739999999999995</v>
      </c>
      <c r="AF142">
        <v>0.96</v>
      </c>
      <c r="AG142">
        <v>36.049999999999997</v>
      </c>
      <c r="AH142">
        <v>2028.92</v>
      </c>
      <c r="AI142">
        <v>2516.21</v>
      </c>
      <c r="AJ142">
        <v>0</v>
      </c>
      <c r="AK142">
        <v>0</v>
      </c>
      <c r="AL142">
        <v>49.23</v>
      </c>
      <c r="AM142">
        <v>814.18</v>
      </c>
      <c r="AN142" t="e">
        <v>#N/A</v>
      </c>
      <c r="AO142" t="e">
        <v>#N/A</v>
      </c>
      <c r="AP142" t="e">
        <v>#N/A</v>
      </c>
      <c r="AQ142">
        <v>4980.58</v>
      </c>
      <c r="AR142">
        <v>4980.58</v>
      </c>
      <c r="AS142">
        <v>55.38</v>
      </c>
      <c r="AT142">
        <v>5035.96</v>
      </c>
      <c r="AU142">
        <v>81.67</v>
      </c>
      <c r="AV142">
        <v>5117.63</v>
      </c>
      <c r="AW142">
        <v>0</v>
      </c>
      <c r="AX142">
        <v>4246.6000000000004</v>
      </c>
      <c r="AY142">
        <v>1.23</v>
      </c>
      <c r="AZ142">
        <v>-10</v>
      </c>
      <c r="BA142">
        <v>127.26</v>
      </c>
      <c r="BB142">
        <v>2.0099999999999998</v>
      </c>
      <c r="BC142" t="e">
        <v>#N/A</v>
      </c>
      <c r="BD142">
        <v>40.79</v>
      </c>
      <c r="BE142">
        <v>272.10000000000002</v>
      </c>
      <c r="BF142">
        <v>4756.75</v>
      </c>
      <c r="BG142">
        <v>360.88</v>
      </c>
      <c r="BH142">
        <v>333.38</v>
      </c>
      <c r="BI142">
        <v>0</v>
      </c>
      <c r="BJ142">
        <v>77.7</v>
      </c>
      <c r="BK142">
        <v>0.96</v>
      </c>
      <c r="BL142" t="e">
        <v>#N/A</v>
      </c>
      <c r="BM142">
        <v>78.67</v>
      </c>
      <c r="BN142">
        <v>254.71</v>
      </c>
      <c r="BO142">
        <v>254.71</v>
      </c>
      <c r="BP142">
        <v>254.71</v>
      </c>
      <c r="BQ142">
        <v>86.09</v>
      </c>
      <c r="BR142" t="e">
        <v>#N/A</v>
      </c>
      <c r="BS142" t="e">
        <v>#N/A</v>
      </c>
    </row>
    <row r="143" spans="1:71" x14ac:dyDescent="0.25">
      <c r="A143" t="s">
        <v>162</v>
      </c>
      <c r="B143">
        <v>3</v>
      </c>
      <c r="C143">
        <v>2021</v>
      </c>
      <c r="D143">
        <v>13.62</v>
      </c>
      <c r="E143">
        <v>13.62</v>
      </c>
      <c r="F143">
        <v>1747.59</v>
      </c>
      <c r="G143">
        <v>1747.59</v>
      </c>
      <c r="H143">
        <v>1761.22</v>
      </c>
      <c r="I143">
        <v>0</v>
      </c>
      <c r="J143">
        <v>19.32</v>
      </c>
      <c r="K143">
        <v>0</v>
      </c>
      <c r="L143">
        <v>19.32</v>
      </c>
      <c r="M143">
        <v>0</v>
      </c>
      <c r="N143">
        <v>239.3</v>
      </c>
      <c r="O143">
        <v>31.77</v>
      </c>
      <c r="P143">
        <v>2.2799999999999998</v>
      </c>
      <c r="Q143">
        <v>273.35000000000002</v>
      </c>
      <c r="R143">
        <v>2282.23</v>
      </c>
      <c r="S143">
        <v>0</v>
      </c>
      <c r="T143">
        <v>0</v>
      </c>
      <c r="U143">
        <v>288.31</v>
      </c>
      <c r="V143">
        <v>6.04</v>
      </c>
      <c r="W143">
        <v>298.47000000000003</v>
      </c>
      <c r="X143">
        <v>2.61</v>
      </c>
      <c r="Y143">
        <v>0.87</v>
      </c>
      <c r="Z143">
        <v>34.21</v>
      </c>
      <c r="AA143">
        <v>454.69</v>
      </c>
      <c r="AB143">
        <v>0</v>
      </c>
      <c r="AC143">
        <v>555.13</v>
      </c>
      <c r="AD143">
        <v>66.61</v>
      </c>
      <c r="AE143">
        <v>60.82</v>
      </c>
      <c r="AF143">
        <v>1.19</v>
      </c>
      <c r="AG143">
        <v>27.44</v>
      </c>
      <c r="AH143">
        <v>1827.53</v>
      </c>
      <c r="AI143">
        <v>2282.23</v>
      </c>
      <c r="AJ143">
        <v>0</v>
      </c>
      <c r="AK143">
        <v>0</v>
      </c>
      <c r="AL143">
        <v>2.8</v>
      </c>
      <c r="AM143">
        <v>1116.3499999999999</v>
      </c>
      <c r="AN143" t="e">
        <v>#N/A</v>
      </c>
      <c r="AO143" t="e">
        <v>#N/A</v>
      </c>
      <c r="AP143" t="e">
        <v>#N/A</v>
      </c>
      <c r="AQ143">
        <v>4070.36</v>
      </c>
      <c r="AR143">
        <v>4070.36</v>
      </c>
      <c r="AS143">
        <v>30.2</v>
      </c>
      <c r="AT143">
        <v>4100.5600000000004</v>
      </c>
      <c r="AU143">
        <v>92.58</v>
      </c>
      <c r="AV143">
        <v>4193.1400000000003</v>
      </c>
      <c r="AW143">
        <v>0</v>
      </c>
      <c r="AX143">
        <v>3262.94</v>
      </c>
      <c r="AY143">
        <v>0</v>
      </c>
      <c r="AZ143">
        <v>-59.04</v>
      </c>
      <c r="BA143">
        <v>126.24</v>
      </c>
      <c r="BB143">
        <v>1.68</v>
      </c>
      <c r="BC143" t="e">
        <v>#N/A</v>
      </c>
      <c r="BD143">
        <v>40.93</v>
      </c>
      <c r="BE143">
        <v>243.22</v>
      </c>
      <c r="BF143">
        <v>3683.03</v>
      </c>
      <c r="BG143">
        <v>510.1</v>
      </c>
      <c r="BH143">
        <v>510.1</v>
      </c>
      <c r="BI143">
        <v>0</v>
      </c>
      <c r="BJ143">
        <v>119.45</v>
      </c>
      <c r="BK143">
        <v>-7.16</v>
      </c>
      <c r="BL143" t="e">
        <v>#N/A</v>
      </c>
      <c r="BM143">
        <v>112.29</v>
      </c>
      <c r="BN143">
        <v>397.81</v>
      </c>
      <c r="BO143">
        <v>397.81</v>
      </c>
      <c r="BP143">
        <v>397.81</v>
      </c>
      <c r="BQ143">
        <v>2.16</v>
      </c>
      <c r="BR143" t="e">
        <v>#N/A</v>
      </c>
      <c r="BS143" t="e">
        <v>#N/A</v>
      </c>
    </row>
    <row r="144" spans="1:71" x14ac:dyDescent="0.25">
      <c r="A144" t="s">
        <v>162</v>
      </c>
      <c r="B144">
        <v>4</v>
      </c>
      <c r="C144">
        <v>2020</v>
      </c>
      <c r="D144">
        <v>13.62</v>
      </c>
      <c r="E144">
        <v>13.62</v>
      </c>
      <c r="F144">
        <v>1747.59</v>
      </c>
      <c r="G144">
        <v>1747.59</v>
      </c>
      <c r="H144">
        <v>1761.22</v>
      </c>
      <c r="I144">
        <v>0</v>
      </c>
      <c r="J144">
        <v>19.32</v>
      </c>
      <c r="K144">
        <v>0</v>
      </c>
      <c r="L144">
        <v>19.32</v>
      </c>
      <c r="M144">
        <v>0</v>
      </c>
      <c r="N144">
        <v>239.3</v>
      </c>
      <c r="O144">
        <v>31.77</v>
      </c>
      <c r="P144">
        <v>2.2799999999999998</v>
      </c>
      <c r="Q144">
        <v>273.35000000000002</v>
      </c>
      <c r="R144">
        <v>2282.23</v>
      </c>
      <c r="S144">
        <v>0</v>
      </c>
      <c r="T144">
        <v>0</v>
      </c>
      <c r="U144">
        <v>288.31</v>
      </c>
      <c r="V144">
        <v>6.04</v>
      </c>
      <c r="W144">
        <v>298.47000000000003</v>
      </c>
      <c r="X144">
        <v>2.61</v>
      </c>
      <c r="Y144">
        <v>0.87</v>
      </c>
      <c r="Z144">
        <v>34.21</v>
      </c>
      <c r="AA144">
        <v>454.69</v>
      </c>
      <c r="AB144">
        <v>0</v>
      </c>
      <c r="AC144">
        <v>555.13</v>
      </c>
      <c r="AD144">
        <v>66.61</v>
      </c>
      <c r="AE144">
        <v>60.82</v>
      </c>
      <c r="AF144">
        <v>1.19</v>
      </c>
      <c r="AG144">
        <v>27.44</v>
      </c>
      <c r="AH144">
        <v>1827.53</v>
      </c>
      <c r="AI144">
        <v>2282.23</v>
      </c>
      <c r="AJ144">
        <v>0</v>
      </c>
      <c r="AK144">
        <v>0</v>
      </c>
      <c r="AL144">
        <v>2.8</v>
      </c>
      <c r="AM144">
        <v>1116.3499999999999</v>
      </c>
      <c r="AN144" t="e">
        <v>#N/A</v>
      </c>
      <c r="AO144" t="e">
        <v>#N/A</v>
      </c>
      <c r="AP144" t="e">
        <v>#N/A</v>
      </c>
      <c r="AQ144">
        <v>4070.36</v>
      </c>
      <c r="AR144">
        <v>4070.36</v>
      </c>
      <c r="AS144">
        <v>30.2</v>
      </c>
      <c r="AT144">
        <v>4100.5600000000004</v>
      </c>
      <c r="AU144">
        <v>92.58</v>
      </c>
      <c r="AV144">
        <v>4193.1400000000003</v>
      </c>
      <c r="AW144">
        <v>0</v>
      </c>
      <c r="AX144">
        <v>3262.94</v>
      </c>
      <c r="AY144">
        <v>0</v>
      </c>
      <c r="AZ144">
        <v>-59.04</v>
      </c>
      <c r="BA144">
        <v>126.24</v>
      </c>
      <c r="BB144">
        <v>1.68</v>
      </c>
      <c r="BC144" t="e">
        <v>#N/A</v>
      </c>
      <c r="BD144">
        <v>40.93</v>
      </c>
      <c r="BE144">
        <v>243.22</v>
      </c>
      <c r="BF144">
        <v>3683.03</v>
      </c>
      <c r="BG144">
        <v>510.1</v>
      </c>
      <c r="BH144">
        <v>510.1</v>
      </c>
      <c r="BI144">
        <v>0</v>
      </c>
      <c r="BJ144">
        <v>119.45</v>
      </c>
      <c r="BK144">
        <v>-7.16</v>
      </c>
      <c r="BL144" t="e">
        <v>#N/A</v>
      </c>
      <c r="BM144">
        <v>112.29</v>
      </c>
      <c r="BN144">
        <v>397.81</v>
      </c>
      <c r="BO144">
        <v>397.81</v>
      </c>
      <c r="BP144">
        <v>397.81</v>
      </c>
      <c r="BQ144">
        <v>2.16</v>
      </c>
      <c r="BR144" t="e">
        <v>#N/A</v>
      </c>
      <c r="BS144" t="e">
        <v>#N/A</v>
      </c>
    </row>
    <row r="145" spans="1:71" x14ac:dyDescent="0.25">
      <c r="A145" t="s">
        <v>162</v>
      </c>
      <c r="B145">
        <v>5</v>
      </c>
      <c r="C145">
        <v>2019</v>
      </c>
      <c r="D145">
        <v>13.62</v>
      </c>
      <c r="E145">
        <v>13.62</v>
      </c>
      <c r="F145">
        <v>1390.06</v>
      </c>
      <c r="G145">
        <v>1390.06</v>
      </c>
      <c r="H145">
        <v>1403.69</v>
      </c>
      <c r="I145">
        <v>0</v>
      </c>
      <c r="J145">
        <v>15.52</v>
      </c>
      <c r="K145">
        <v>1.53</v>
      </c>
      <c r="L145">
        <v>21.75</v>
      </c>
      <c r="M145">
        <v>0</v>
      </c>
      <c r="N145">
        <v>217.54</v>
      </c>
      <c r="O145">
        <v>43.47</v>
      </c>
      <c r="P145">
        <v>2.41</v>
      </c>
      <c r="Q145">
        <v>263.42</v>
      </c>
      <c r="R145">
        <v>1879.95</v>
      </c>
      <c r="S145">
        <v>0</v>
      </c>
      <c r="T145">
        <v>0</v>
      </c>
      <c r="U145">
        <v>270.64</v>
      </c>
      <c r="V145">
        <v>25.89</v>
      </c>
      <c r="W145">
        <v>296.76</v>
      </c>
      <c r="X145">
        <v>0</v>
      </c>
      <c r="Y145">
        <v>0.88</v>
      </c>
      <c r="Z145">
        <v>30.9</v>
      </c>
      <c r="AA145">
        <v>364.68</v>
      </c>
      <c r="AB145">
        <v>0</v>
      </c>
      <c r="AC145">
        <v>543.51</v>
      </c>
      <c r="AD145">
        <v>88.77</v>
      </c>
      <c r="AE145">
        <v>198.57</v>
      </c>
      <c r="AF145">
        <v>1.3</v>
      </c>
      <c r="AG145">
        <v>38.79</v>
      </c>
      <c r="AH145">
        <v>1515.27</v>
      </c>
      <c r="AI145">
        <v>1879.95</v>
      </c>
      <c r="AJ145">
        <v>0</v>
      </c>
      <c r="AK145">
        <v>0</v>
      </c>
      <c r="AL145">
        <v>156.88999999999999</v>
      </c>
      <c r="AM145">
        <v>644.33000000000004</v>
      </c>
      <c r="AN145" t="e">
        <v>#N/A</v>
      </c>
      <c r="AO145" t="e">
        <v>#N/A</v>
      </c>
      <c r="AP145" t="e">
        <v>#N/A</v>
      </c>
      <c r="AQ145">
        <v>4037.38</v>
      </c>
      <c r="AR145">
        <v>4037.38</v>
      </c>
      <c r="AS145">
        <v>77.91</v>
      </c>
      <c r="AT145">
        <v>4115.29</v>
      </c>
      <c r="AU145">
        <v>70.23</v>
      </c>
      <c r="AV145">
        <v>4185.53</v>
      </c>
      <c r="AW145">
        <v>0</v>
      </c>
      <c r="AX145">
        <v>3299.37</v>
      </c>
      <c r="AY145">
        <v>0</v>
      </c>
      <c r="AZ145">
        <v>-35.200000000000003</v>
      </c>
      <c r="BA145">
        <v>113.51</v>
      </c>
      <c r="BB145">
        <v>1.99</v>
      </c>
      <c r="BC145" t="e">
        <v>#N/A</v>
      </c>
      <c r="BD145">
        <v>37.71</v>
      </c>
      <c r="BE145">
        <v>221.29</v>
      </c>
      <c r="BF145">
        <v>3701.08</v>
      </c>
      <c r="BG145">
        <v>484.45</v>
      </c>
      <c r="BH145">
        <v>484.45</v>
      </c>
      <c r="BI145">
        <v>0</v>
      </c>
      <c r="BJ145">
        <v>111.77</v>
      </c>
      <c r="BK145">
        <v>-13.2</v>
      </c>
      <c r="BL145" t="e">
        <v>#N/A</v>
      </c>
      <c r="BM145">
        <v>98.57</v>
      </c>
      <c r="BN145">
        <v>385.87</v>
      </c>
      <c r="BO145">
        <v>385.87</v>
      </c>
      <c r="BP145">
        <v>385.87</v>
      </c>
      <c r="BQ145">
        <v>147.83000000000001</v>
      </c>
      <c r="BR145" t="e">
        <v>#N/A</v>
      </c>
      <c r="BS145" t="e">
        <v>#N/A</v>
      </c>
    </row>
    <row r="146" spans="1:71" x14ac:dyDescent="0.25">
      <c r="A146" t="s">
        <v>162</v>
      </c>
      <c r="B146">
        <v>6</v>
      </c>
      <c r="C146">
        <v>2018</v>
      </c>
      <c r="D146">
        <v>13.62</v>
      </c>
      <c r="E146">
        <v>13.62</v>
      </c>
      <c r="F146">
        <v>1192.3399999999999</v>
      </c>
      <c r="G146">
        <v>1192.3399999999999</v>
      </c>
      <c r="H146">
        <v>1205.97</v>
      </c>
      <c r="I146">
        <v>0</v>
      </c>
      <c r="J146">
        <v>17.100000000000001</v>
      </c>
      <c r="K146">
        <v>1.68</v>
      </c>
      <c r="L146">
        <v>37.57</v>
      </c>
      <c r="M146">
        <v>0</v>
      </c>
      <c r="N146">
        <v>179.91</v>
      </c>
      <c r="O146">
        <v>32.19</v>
      </c>
      <c r="P146">
        <v>1.18</v>
      </c>
      <c r="Q146">
        <v>219.95</v>
      </c>
      <c r="R146">
        <v>1614.82</v>
      </c>
      <c r="S146">
        <v>0</v>
      </c>
      <c r="T146">
        <v>0</v>
      </c>
      <c r="U146">
        <v>292.27</v>
      </c>
      <c r="V146">
        <v>9.01</v>
      </c>
      <c r="W146">
        <v>301.54000000000002</v>
      </c>
      <c r="X146">
        <v>0</v>
      </c>
      <c r="Y146">
        <v>0.96</v>
      </c>
      <c r="Z146">
        <v>33.799999999999997</v>
      </c>
      <c r="AA146">
        <v>435.3</v>
      </c>
      <c r="AB146">
        <v>0</v>
      </c>
      <c r="AC146">
        <v>379.06</v>
      </c>
      <c r="AD146">
        <v>48.64</v>
      </c>
      <c r="AE146">
        <v>186.91</v>
      </c>
      <c r="AF146">
        <v>0.98</v>
      </c>
      <c r="AG146">
        <v>32.76</v>
      </c>
      <c r="AH146">
        <v>1179.52</v>
      </c>
      <c r="AI146">
        <v>1614.82</v>
      </c>
      <c r="AJ146">
        <v>0</v>
      </c>
      <c r="AK146">
        <v>0</v>
      </c>
      <c r="AL146">
        <v>154.18</v>
      </c>
      <c r="AM146">
        <v>531.16999999999996</v>
      </c>
      <c r="AN146" t="e">
        <v>#N/A</v>
      </c>
      <c r="AO146" t="e">
        <v>#N/A</v>
      </c>
      <c r="AP146" t="e">
        <v>#N/A</v>
      </c>
      <c r="AQ146">
        <v>3424.58</v>
      </c>
      <c r="AR146">
        <v>3424.58</v>
      </c>
      <c r="AS146">
        <v>63.2</v>
      </c>
      <c r="AT146">
        <v>3487.78</v>
      </c>
      <c r="AU146">
        <v>53.83</v>
      </c>
      <c r="AV146">
        <v>3541.61</v>
      </c>
      <c r="AW146">
        <v>0</v>
      </c>
      <c r="AX146">
        <v>2740.18</v>
      </c>
      <c r="AY146">
        <v>0</v>
      </c>
      <c r="AZ146">
        <v>-3.25</v>
      </c>
      <c r="BA146">
        <v>100.32</v>
      </c>
      <c r="BB146">
        <v>2.63</v>
      </c>
      <c r="BC146" t="e">
        <v>#N/A</v>
      </c>
      <c r="BD146">
        <v>35.840000000000003</v>
      </c>
      <c r="BE146">
        <v>192.16</v>
      </c>
      <c r="BF146">
        <v>3119</v>
      </c>
      <c r="BG146">
        <v>422.61</v>
      </c>
      <c r="BH146">
        <v>427.8</v>
      </c>
      <c r="BI146">
        <v>0</v>
      </c>
      <c r="BJ146">
        <v>129.81</v>
      </c>
      <c r="BK146">
        <v>-8.3699999999999992</v>
      </c>
      <c r="BL146" t="e">
        <v>#N/A</v>
      </c>
      <c r="BM146">
        <v>121.43</v>
      </c>
      <c r="BN146">
        <v>306.36</v>
      </c>
      <c r="BO146">
        <v>306.36</v>
      </c>
      <c r="BP146">
        <v>306.36</v>
      </c>
      <c r="BQ146">
        <v>98.55</v>
      </c>
      <c r="BR146" t="e">
        <v>#N/A</v>
      </c>
      <c r="BS146" t="e">
        <v>#N/A</v>
      </c>
    </row>
    <row r="147" spans="1:71" x14ac:dyDescent="0.25">
      <c r="A147" t="s">
        <v>163</v>
      </c>
      <c r="B147">
        <v>2</v>
      </c>
      <c r="C147">
        <v>2022</v>
      </c>
      <c r="D147">
        <v>95.92</v>
      </c>
      <c r="E147">
        <v>95.92</v>
      </c>
      <c r="F147">
        <v>13253.17</v>
      </c>
      <c r="G147">
        <v>13253.17</v>
      </c>
      <c r="H147">
        <v>13349.09</v>
      </c>
      <c r="I147">
        <v>0</v>
      </c>
      <c r="J147">
        <v>522.04999999999995</v>
      </c>
      <c r="K147">
        <v>168.29</v>
      </c>
      <c r="L147">
        <v>911.8</v>
      </c>
      <c r="M147">
        <v>0</v>
      </c>
      <c r="N147">
        <v>3497.29</v>
      </c>
      <c r="O147">
        <v>2112.0700000000002</v>
      </c>
      <c r="P147">
        <v>38.08</v>
      </c>
      <c r="Q147">
        <v>5647.44</v>
      </c>
      <c r="R147">
        <v>19908.330000000002</v>
      </c>
      <c r="S147">
        <v>0</v>
      </c>
      <c r="T147">
        <v>0</v>
      </c>
      <c r="U147">
        <v>4475.83</v>
      </c>
      <c r="V147">
        <v>225.47</v>
      </c>
      <c r="W147">
        <v>4779.41</v>
      </c>
      <c r="X147" t="e">
        <v>#N/A</v>
      </c>
      <c r="Y147">
        <v>0</v>
      </c>
      <c r="Z147">
        <v>734.75</v>
      </c>
      <c r="AA147">
        <v>7160.41</v>
      </c>
      <c r="AB147">
        <v>0</v>
      </c>
      <c r="AC147">
        <v>5277.61</v>
      </c>
      <c r="AD147">
        <v>2915.77</v>
      </c>
      <c r="AE147">
        <v>308.57</v>
      </c>
      <c r="AF147">
        <v>0</v>
      </c>
      <c r="AG147">
        <v>2081.63</v>
      </c>
      <c r="AH147">
        <v>12747.92</v>
      </c>
      <c r="AI147">
        <v>19908.330000000002</v>
      </c>
      <c r="AJ147">
        <v>0</v>
      </c>
      <c r="AK147">
        <v>0</v>
      </c>
      <c r="AL147">
        <v>1225.43</v>
      </c>
      <c r="AM147">
        <v>2164.34</v>
      </c>
      <c r="AN147">
        <v>2164.34</v>
      </c>
      <c r="AO147" t="s">
        <v>53</v>
      </c>
      <c r="AP147" t="s">
        <v>3</v>
      </c>
      <c r="AQ147">
        <v>25002.09</v>
      </c>
      <c r="AR147">
        <v>25002.09</v>
      </c>
      <c r="AS147">
        <v>186.42</v>
      </c>
      <c r="AT147">
        <v>25188.51</v>
      </c>
      <c r="AU147">
        <v>451.89</v>
      </c>
      <c r="AV147">
        <v>25640.400000000001</v>
      </c>
      <c r="AW147">
        <v>0</v>
      </c>
      <c r="AX147">
        <v>13838.9</v>
      </c>
      <c r="AY147">
        <v>2978.69</v>
      </c>
      <c r="AZ147">
        <v>-1208.6300000000001</v>
      </c>
      <c r="BA147">
        <v>1310.1400000000001</v>
      </c>
      <c r="BB147">
        <v>70.25</v>
      </c>
      <c r="BC147" t="e">
        <v>#N/A</v>
      </c>
      <c r="BD147">
        <v>721.56</v>
      </c>
      <c r="BE147">
        <v>3681.62</v>
      </c>
      <c r="BF147">
        <v>21392.53</v>
      </c>
      <c r="BG147">
        <v>4247.87</v>
      </c>
      <c r="BH147">
        <v>4194.1400000000003</v>
      </c>
      <c r="BI147">
        <v>0</v>
      </c>
      <c r="BJ147">
        <v>1107.29</v>
      </c>
      <c r="BK147">
        <v>-51.02</v>
      </c>
      <c r="BL147">
        <v>3.16</v>
      </c>
      <c r="BM147">
        <v>1059.43</v>
      </c>
      <c r="BN147">
        <v>3134.71</v>
      </c>
      <c r="BO147">
        <v>3134.71</v>
      </c>
      <c r="BP147">
        <v>3134.71</v>
      </c>
      <c r="BQ147">
        <v>1740.95</v>
      </c>
      <c r="BR147">
        <v>0</v>
      </c>
      <c r="BS147">
        <v>1915</v>
      </c>
    </row>
    <row r="148" spans="1:71" x14ac:dyDescent="0.25">
      <c r="A148" t="s">
        <v>163</v>
      </c>
      <c r="B148">
        <v>3</v>
      </c>
      <c r="C148">
        <v>2021</v>
      </c>
      <c r="D148">
        <v>95.92</v>
      </c>
      <c r="E148">
        <v>95.92</v>
      </c>
      <c r="F148">
        <v>11995.18</v>
      </c>
      <c r="G148">
        <v>11995.18</v>
      </c>
      <c r="H148">
        <v>12091.1</v>
      </c>
      <c r="I148">
        <v>0</v>
      </c>
      <c r="J148">
        <v>473.23</v>
      </c>
      <c r="K148">
        <v>163.51</v>
      </c>
      <c r="L148">
        <v>916.24</v>
      </c>
      <c r="M148">
        <v>0</v>
      </c>
      <c r="N148">
        <v>2814.3</v>
      </c>
      <c r="O148">
        <v>1703.12</v>
      </c>
      <c r="P148">
        <v>57.91</v>
      </c>
      <c r="Q148">
        <v>4575.33</v>
      </c>
      <c r="R148">
        <v>17582.669999999998</v>
      </c>
      <c r="S148">
        <v>0</v>
      </c>
      <c r="T148">
        <v>0</v>
      </c>
      <c r="U148">
        <v>4525.7299999999996</v>
      </c>
      <c r="V148">
        <v>110.11</v>
      </c>
      <c r="W148">
        <v>4712.72</v>
      </c>
      <c r="X148" t="e">
        <v>#N/A</v>
      </c>
      <c r="Y148">
        <v>0</v>
      </c>
      <c r="Z148">
        <v>751.47</v>
      </c>
      <c r="AA148">
        <v>7626.13</v>
      </c>
      <c r="AB148">
        <v>0</v>
      </c>
      <c r="AC148">
        <v>3124.61</v>
      </c>
      <c r="AD148">
        <v>1809.75</v>
      </c>
      <c r="AE148">
        <v>134.91</v>
      </c>
      <c r="AF148">
        <v>0</v>
      </c>
      <c r="AG148">
        <v>1708.46</v>
      </c>
      <c r="AH148">
        <v>9956.5400000000009</v>
      </c>
      <c r="AI148">
        <v>17582.669999999998</v>
      </c>
      <c r="AJ148">
        <v>0</v>
      </c>
      <c r="AK148">
        <v>0</v>
      </c>
      <c r="AL148">
        <v>516.36</v>
      </c>
      <c r="AM148">
        <v>3178.81</v>
      </c>
      <c r="AN148">
        <v>3178.81</v>
      </c>
      <c r="AO148" t="s">
        <v>53</v>
      </c>
      <c r="AP148">
        <v>0</v>
      </c>
      <c r="AQ148">
        <v>18280.060000000001</v>
      </c>
      <c r="AR148">
        <v>18280.060000000001</v>
      </c>
      <c r="AS148">
        <v>236.8</v>
      </c>
      <c r="AT148">
        <v>18516.86</v>
      </c>
      <c r="AU148">
        <v>366.02</v>
      </c>
      <c r="AV148">
        <v>18882.88</v>
      </c>
      <c r="AW148">
        <v>0</v>
      </c>
      <c r="AX148">
        <v>8524.17</v>
      </c>
      <c r="AY148">
        <v>1649.06</v>
      </c>
      <c r="AZ148">
        <v>-90.7</v>
      </c>
      <c r="BA148">
        <v>1128.6600000000001</v>
      </c>
      <c r="BB148">
        <v>71.66</v>
      </c>
      <c r="BC148" t="e">
        <v>#N/A</v>
      </c>
      <c r="BD148">
        <v>697.47</v>
      </c>
      <c r="BE148">
        <v>2812.89</v>
      </c>
      <c r="BF148">
        <v>14793.21</v>
      </c>
      <c r="BG148">
        <v>4089.67</v>
      </c>
      <c r="BH148">
        <v>4089.67</v>
      </c>
      <c r="BI148">
        <v>0</v>
      </c>
      <c r="BJ148">
        <v>1052.72</v>
      </c>
      <c r="BK148">
        <v>-21.31</v>
      </c>
      <c r="BL148">
        <v>6.46</v>
      </c>
      <c r="BM148">
        <v>1037.8699999999999</v>
      </c>
      <c r="BN148">
        <v>3051.8</v>
      </c>
      <c r="BO148">
        <v>3051.8</v>
      </c>
      <c r="BP148">
        <v>3051.8</v>
      </c>
      <c r="BQ148">
        <v>465.23</v>
      </c>
      <c r="BR148">
        <v>0</v>
      </c>
      <c r="BS148">
        <v>1785</v>
      </c>
    </row>
    <row r="149" spans="1:71" x14ac:dyDescent="0.25">
      <c r="A149" t="s">
        <v>163</v>
      </c>
      <c r="B149">
        <v>4</v>
      </c>
      <c r="C149">
        <v>2020</v>
      </c>
      <c r="D149">
        <v>95.92</v>
      </c>
      <c r="E149">
        <v>95.92</v>
      </c>
      <c r="F149">
        <v>9357.3700000000008</v>
      </c>
      <c r="G149">
        <v>9357.3700000000008</v>
      </c>
      <c r="H149">
        <v>9453.2900000000009</v>
      </c>
      <c r="I149">
        <v>0</v>
      </c>
      <c r="J149">
        <v>501.32</v>
      </c>
      <c r="K149">
        <v>136.78</v>
      </c>
      <c r="L149">
        <v>939.28</v>
      </c>
      <c r="M149">
        <v>0</v>
      </c>
      <c r="N149">
        <v>1760.08</v>
      </c>
      <c r="O149">
        <v>1390.83</v>
      </c>
      <c r="P149">
        <v>44.14</v>
      </c>
      <c r="Q149">
        <v>3195.05</v>
      </c>
      <c r="R149">
        <v>13587.62</v>
      </c>
      <c r="S149">
        <v>0</v>
      </c>
      <c r="T149">
        <v>0</v>
      </c>
      <c r="U149">
        <v>4875.2299999999996</v>
      </c>
      <c r="V149">
        <v>108.09</v>
      </c>
      <c r="W149">
        <v>5068.95</v>
      </c>
      <c r="X149" t="e">
        <v>#N/A</v>
      </c>
      <c r="Y149">
        <v>64.11</v>
      </c>
      <c r="Z149">
        <v>403.28</v>
      </c>
      <c r="AA149">
        <v>7761.92</v>
      </c>
      <c r="AB149">
        <v>0</v>
      </c>
      <c r="AC149">
        <v>2827.47</v>
      </c>
      <c r="AD149">
        <v>1109.22</v>
      </c>
      <c r="AE149">
        <v>376.06</v>
      </c>
      <c r="AF149">
        <v>21.31</v>
      </c>
      <c r="AG149">
        <v>1059.29</v>
      </c>
      <c r="AH149">
        <v>5825.7</v>
      </c>
      <c r="AI149">
        <v>13587.62</v>
      </c>
      <c r="AJ149">
        <v>0</v>
      </c>
      <c r="AK149">
        <v>0</v>
      </c>
      <c r="AL149">
        <v>390.08</v>
      </c>
      <c r="AM149">
        <v>432.35</v>
      </c>
      <c r="AN149">
        <v>432.35</v>
      </c>
      <c r="AO149" t="s">
        <v>53</v>
      </c>
      <c r="AP149">
        <v>0</v>
      </c>
      <c r="AQ149">
        <v>17025.61</v>
      </c>
      <c r="AR149">
        <v>17025.61</v>
      </c>
      <c r="AS149">
        <v>168.48</v>
      </c>
      <c r="AT149">
        <v>17194.09</v>
      </c>
      <c r="AU149">
        <v>357.54</v>
      </c>
      <c r="AV149">
        <v>17551.63</v>
      </c>
      <c r="AW149">
        <v>0</v>
      </c>
      <c r="AX149">
        <v>8432.51</v>
      </c>
      <c r="AY149">
        <v>1283.8800000000001</v>
      </c>
      <c r="AZ149">
        <v>-210.21</v>
      </c>
      <c r="BA149">
        <v>985.43</v>
      </c>
      <c r="BB149">
        <v>78.38</v>
      </c>
      <c r="BC149" t="e">
        <v>#N/A</v>
      </c>
      <c r="BD149">
        <v>689.97</v>
      </c>
      <c r="BE149">
        <v>2845.44</v>
      </c>
      <c r="BF149">
        <v>14105.4</v>
      </c>
      <c r="BG149">
        <v>3446.23</v>
      </c>
      <c r="BH149">
        <v>3413.03</v>
      </c>
      <c r="BI149">
        <v>0</v>
      </c>
      <c r="BJ149">
        <v>871.15</v>
      </c>
      <c r="BK149">
        <v>-117.73</v>
      </c>
      <c r="BL149">
        <v>5.66</v>
      </c>
      <c r="BM149">
        <v>759.08</v>
      </c>
      <c r="BN149">
        <v>2653.95</v>
      </c>
      <c r="BO149">
        <v>2653.95</v>
      </c>
      <c r="BP149">
        <v>2653.95</v>
      </c>
      <c r="BQ149">
        <v>1740.95</v>
      </c>
      <c r="BR149">
        <v>353.07</v>
      </c>
      <c r="BS149">
        <v>1200</v>
      </c>
    </row>
    <row r="150" spans="1:71" x14ac:dyDescent="0.25">
      <c r="A150" t="s">
        <v>163</v>
      </c>
      <c r="B150">
        <v>5</v>
      </c>
      <c r="C150">
        <v>2019</v>
      </c>
      <c r="D150">
        <v>95.92</v>
      </c>
      <c r="E150">
        <v>95.92</v>
      </c>
      <c r="F150">
        <v>8747.0400000000009</v>
      </c>
      <c r="G150">
        <v>8747.0400000000009</v>
      </c>
      <c r="H150">
        <v>8842.9599999999991</v>
      </c>
      <c r="I150">
        <v>0</v>
      </c>
      <c r="J150">
        <v>476.76</v>
      </c>
      <c r="K150">
        <v>118.48</v>
      </c>
      <c r="L150">
        <v>998.52</v>
      </c>
      <c r="M150">
        <v>0</v>
      </c>
      <c r="N150">
        <v>2062.29</v>
      </c>
      <c r="O150">
        <v>1722.5</v>
      </c>
      <c r="P150">
        <v>52.27</v>
      </c>
      <c r="Q150">
        <v>3841.41</v>
      </c>
      <c r="R150">
        <v>13682.89</v>
      </c>
      <c r="S150">
        <v>0</v>
      </c>
      <c r="T150">
        <v>0</v>
      </c>
      <c r="U150">
        <v>5131.2299999999996</v>
      </c>
      <c r="V150">
        <v>179.31</v>
      </c>
      <c r="W150">
        <v>5400.51</v>
      </c>
      <c r="X150" t="e">
        <v>#N/A</v>
      </c>
      <c r="Y150">
        <v>76</v>
      </c>
      <c r="Z150">
        <v>335.66</v>
      </c>
      <c r="AA150">
        <v>7629.54</v>
      </c>
      <c r="AB150">
        <v>0</v>
      </c>
      <c r="AC150">
        <v>2585.1</v>
      </c>
      <c r="AD150">
        <v>1244.95</v>
      </c>
      <c r="AE150">
        <v>167.52</v>
      </c>
      <c r="AF150">
        <v>13.98</v>
      </c>
      <c r="AG150">
        <v>895.17</v>
      </c>
      <c r="AH150">
        <v>6053.35</v>
      </c>
      <c r="AI150">
        <v>13682.89</v>
      </c>
      <c r="AJ150">
        <v>0</v>
      </c>
      <c r="AK150">
        <v>0</v>
      </c>
      <c r="AL150">
        <v>333.86</v>
      </c>
      <c r="AM150">
        <v>1146.6300000000001</v>
      </c>
      <c r="AN150">
        <v>1146.6300000000001</v>
      </c>
      <c r="AO150" t="s">
        <v>53</v>
      </c>
      <c r="AP150">
        <v>0</v>
      </c>
      <c r="AQ150">
        <v>16209.44</v>
      </c>
      <c r="AR150">
        <v>16209.44</v>
      </c>
      <c r="AS150">
        <v>182.34</v>
      </c>
      <c r="AT150">
        <v>16391.78</v>
      </c>
      <c r="AU150">
        <v>284.81</v>
      </c>
      <c r="AV150">
        <v>16676.59</v>
      </c>
      <c r="AW150">
        <v>0</v>
      </c>
      <c r="AX150">
        <v>8647.82</v>
      </c>
      <c r="AY150">
        <v>1010.66</v>
      </c>
      <c r="AZ150">
        <v>-247.86</v>
      </c>
      <c r="BA150">
        <v>900.14</v>
      </c>
      <c r="BB150">
        <v>78.599999999999994</v>
      </c>
      <c r="BC150" t="e">
        <v>#N/A</v>
      </c>
      <c r="BD150">
        <v>540.77</v>
      </c>
      <c r="BE150">
        <v>2576.21</v>
      </c>
      <c r="BF150">
        <v>13506.34</v>
      </c>
      <c r="BG150">
        <v>3170.25</v>
      </c>
      <c r="BH150">
        <v>3170.25</v>
      </c>
      <c r="BI150">
        <v>0</v>
      </c>
      <c r="BJ150">
        <v>881.64</v>
      </c>
      <c r="BK150">
        <v>158.61000000000001</v>
      </c>
      <c r="BL150">
        <v>-2.17</v>
      </c>
      <c r="BM150">
        <v>1038.08</v>
      </c>
      <c r="BN150">
        <v>2132.17</v>
      </c>
      <c r="BO150">
        <v>2132.17</v>
      </c>
      <c r="BP150">
        <v>2132.17</v>
      </c>
      <c r="BQ150">
        <v>853.68</v>
      </c>
      <c r="BR150">
        <v>173.5</v>
      </c>
      <c r="BS150">
        <v>1050</v>
      </c>
    </row>
    <row r="151" spans="1:71" x14ac:dyDescent="0.25">
      <c r="A151" t="s">
        <v>163</v>
      </c>
      <c r="B151">
        <v>6</v>
      </c>
      <c r="C151">
        <v>2018</v>
      </c>
      <c r="D151">
        <v>95.92</v>
      </c>
      <c r="E151">
        <v>95.92</v>
      </c>
      <c r="F151">
        <v>7702.24</v>
      </c>
      <c r="G151">
        <v>7702.24</v>
      </c>
      <c r="H151">
        <v>7798.16</v>
      </c>
      <c r="I151">
        <v>0</v>
      </c>
      <c r="J151">
        <v>3.26</v>
      </c>
      <c r="K151">
        <v>107.35</v>
      </c>
      <c r="L151">
        <v>390.81</v>
      </c>
      <c r="M151">
        <v>0</v>
      </c>
      <c r="N151">
        <v>1851.5</v>
      </c>
      <c r="O151">
        <v>1504.61</v>
      </c>
      <c r="P151">
        <v>42.85</v>
      </c>
      <c r="Q151">
        <v>3398.96</v>
      </c>
      <c r="R151">
        <v>11587.93</v>
      </c>
      <c r="S151">
        <v>0</v>
      </c>
      <c r="T151">
        <v>0</v>
      </c>
      <c r="U151">
        <v>2477.44</v>
      </c>
      <c r="V151">
        <v>1391.84</v>
      </c>
      <c r="W151">
        <v>3960.37</v>
      </c>
      <c r="X151" t="e">
        <v>#N/A</v>
      </c>
      <c r="Y151">
        <v>79.08</v>
      </c>
      <c r="Z151">
        <v>500.06</v>
      </c>
      <c r="AA151">
        <v>6086.84</v>
      </c>
      <c r="AB151">
        <v>0</v>
      </c>
      <c r="AC151">
        <v>2178.4299999999998</v>
      </c>
      <c r="AD151">
        <v>1138.2</v>
      </c>
      <c r="AE151">
        <v>120.84</v>
      </c>
      <c r="AF151">
        <v>12.17</v>
      </c>
      <c r="AG151">
        <v>1021.44</v>
      </c>
      <c r="AH151">
        <v>5500.17</v>
      </c>
      <c r="AI151">
        <v>11587.93</v>
      </c>
      <c r="AJ151">
        <v>0</v>
      </c>
      <c r="AK151">
        <v>0</v>
      </c>
      <c r="AL151">
        <v>1108.5</v>
      </c>
      <c r="AM151">
        <v>1030.01</v>
      </c>
      <c r="AN151" t="s">
        <v>53</v>
      </c>
      <c r="AO151" t="s">
        <v>53</v>
      </c>
      <c r="AP151">
        <v>0</v>
      </c>
      <c r="AQ151">
        <v>14329.17</v>
      </c>
      <c r="AR151">
        <v>13937.48</v>
      </c>
      <c r="AS151">
        <v>230.38</v>
      </c>
      <c r="AT151">
        <v>14167.86</v>
      </c>
      <c r="AU151">
        <v>277.5</v>
      </c>
      <c r="AV151">
        <v>14445.36</v>
      </c>
      <c r="AW151">
        <v>0</v>
      </c>
      <c r="AX151">
        <v>7100.16</v>
      </c>
      <c r="AY151">
        <v>742.57</v>
      </c>
      <c r="AZ151">
        <v>154.12</v>
      </c>
      <c r="BA151">
        <v>791.08</v>
      </c>
      <c r="BB151">
        <v>21.06</v>
      </c>
      <c r="BC151" t="e">
        <v>#N/A</v>
      </c>
      <c r="BD151">
        <v>311.11</v>
      </c>
      <c r="BE151">
        <v>2459.4299999999998</v>
      </c>
      <c r="BF151">
        <v>11579.53</v>
      </c>
      <c r="BG151">
        <v>2865.83</v>
      </c>
      <c r="BH151">
        <v>2865.83</v>
      </c>
      <c r="BI151">
        <v>0</v>
      </c>
      <c r="BJ151">
        <v>968.87</v>
      </c>
      <c r="BK151">
        <v>2.57</v>
      </c>
      <c r="BL151">
        <v>-0.41</v>
      </c>
      <c r="BM151">
        <v>971.03</v>
      </c>
      <c r="BN151">
        <v>1894.8</v>
      </c>
      <c r="BO151">
        <v>1894.8</v>
      </c>
      <c r="BP151">
        <v>1894.8</v>
      </c>
      <c r="BQ151">
        <v>987.98</v>
      </c>
      <c r="BR151">
        <v>199.44</v>
      </c>
      <c r="BS151">
        <v>870</v>
      </c>
    </row>
    <row r="152" spans="1:71" x14ac:dyDescent="0.25">
      <c r="A152" t="s">
        <v>164</v>
      </c>
      <c r="B152">
        <v>2</v>
      </c>
      <c r="C152">
        <v>2022</v>
      </c>
      <c r="D152">
        <v>97.13</v>
      </c>
      <c r="E152">
        <v>97.13</v>
      </c>
      <c r="F152">
        <v>3666.76</v>
      </c>
      <c r="G152">
        <v>3666.76</v>
      </c>
      <c r="H152">
        <v>3763.89</v>
      </c>
      <c r="I152">
        <v>0</v>
      </c>
      <c r="J152">
        <v>319.52999999999997</v>
      </c>
      <c r="K152">
        <v>3.98</v>
      </c>
      <c r="L152">
        <v>346.69</v>
      </c>
      <c r="M152">
        <v>0</v>
      </c>
      <c r="N152">
        <v>1705.09</v>
      </c>
      <c r="O152">
        <v>265.95999999999998</v>
      </c>
      <c r="P152">
        <v>28.71</v>
      </c>
      <c r="Q152">
        <v>2515.3200000000002</v>
      </c>
      <c r="R152">
        <v>6625.9</v>
      </c>
      <c r="S152">
        <v>0</v>
      </c>
      <c r="T152">
        <v>0</v>
      </c>
      <c r="U152">
        <v>1635.46</v>
      </c>
      <c r="V152">
        <v>568.87</v>
      </c>
      <c r="W152">
        <v>2213.59</v>
      </c>
      <c r="X152" t="e">
        <v>#N/A</v>
      </c>
      <c r="Y152">
        <v>10.96</v>
      </c>
      <c r="Z152">
        <v>197.09</v>
      </c>
      <c r="AA152">
        <v>3103.06</v>
      </c>
      <c r="AB152">
        <v>0</v>
      </c>
      <c r="AC152">
        <v>2149.9699999999998</v>
      </c>
      <c r="AD152">
        <v>835.58</v>
      </c>
      <c r="AE152">
        <v>206.88</v>
      </c>
      <c r="AF152">
        <v>0</v>
      </c>
      <c r="AG152">
        <v>267.66000000000003</v>
      </c>
      <c r="AH152">
        <v>3522.84</v>
      </c>
      <c r="AI152">
        <v>6625.9</v>
      </c>
      <c r="AJ152">
        <v>0</v>
      </c>
      <c r="AK152">
        <v>0</v>
      </c>
      <c r="AL152">
        <v>748.33</v>
      </c>
      <c r="AM152">
        <v>62.75</v>
      </c>
      <c r="AN152" t="s">
        <v>53</v>
      </c>
      <c r="AO152">
        <v>62.75</v>
      </c>
      <c r="AP152" t="e">
        <v>#N/A</v>
      </c>
      <c r="AQ152">
        <v>8655.77</v>
      </c>
      <c r="AR152">
        <v>8655.77</v>
      </c>
      <c r="AS152">
        <v>106.01</v>
      </c>
      <c r="AT152">
        <v>8761.7800000000007</v>
      </c>
      <c r="AU152">
        <v>64.59</v>
      </c>
      <c r="AV152">
        <v>8826.3700000000008</v>
      </c>
      <c r="AW152">
        <v>0</v>
      </c>
      <c r="AX152">
        <v>5046.7700000000004</v>
      </c>
      <c r="AY152">
        <v>763.79</v>
      </c>
      <c r="AZ152">
        <v>-381.49</v>
      </c>
      <c r="BA152">
        <v>543.12</v>
      </c>
      <c r="BB152">
        <v>50.72</v>
      </c>
      <c r="BC152" t="e">
        <v>#N/A</v>
      </c>
      <c r="BD152">
        <v>226.51</v>
      </c>
      <c r="BE152">
        <v>1458.52</v>
      </c>
      <c r="BF152">
        <v>7707.94</v>
      </c>
      <c r="BG152">
        <v>1118.43</v>
      </c>
      <c r="BH152">
        <v>1118.43</v>
      </c>
      <c r="BI152">
        <v>0</v>
      </c>
      <c r="BJ152">
        <v>286.06</v>
      </c>
      <c r="BK152">
        <v>3.28</v>
      </c>
      <c r="BL152" t="e">
        <v>#N/A</v>
      </c>
      <c r="BM152">
        <v>289.33999999999997</v>
      </c>
      <c r="BN152">
        <v>829.09</v>
      </c>
      <c r="BO152">
        <v>829.09</v>
      </c>
      <c r="BP152">
        <v>829.09</v>
      </c>
      <c r="BQ152">
        <v>271.95999999999998</v>
      </c>
      <c r="BR152">
        <v>0</v>
      </c>
      <c r="BS152" t="e">
        <v>#N/A</v>
      </c>
    </row>
    <row r="153" spans="1:71" x14ac:dyDescent="0.25">
      <c r="A153" t="s">
        <v>164</v>
      </c>
      <c r="B153">
        <v>3</v>
      </c>
      <c r="C153">
        <v>2021</v>
      </c>
      <c r="D153">
        <v>97.13</v>
      </c>
      <c r="E153">
        <v>97.13</v>
      </c>
      <c r="F153">
        <v>3182.48</v>
      </c>
      <c r="G153">
        <v>3182.48</v>
      </c>
      <c r="H153">
        <v>3279.61</v>
      </c>
      <c r="I153">
        <v>0</v>
      </c>
      <c r="J153">
        <v>238.18</v>
      </c>
      <c r="K153">
        <v>3.68</v>
      </c>
      <c r="L153">
        <v>268.24</v>
      </c>
      <c r="M153">
        <v>0</v>
      </c>
      <c r="N153">
        <v>1409.22</v>
      </c>
      <c r="O153">
        <v>227.96</v>
      </c>
      <c r="P153">
        <v>27.61</v>
      </c>
      <c r="Q153">
        <v>1820.23</v>
      </c>
      <c r="R153">
        <v>5368.08</v>
      </c>
      <c r="S153">
        <v>0</v>
      </c>
      <c r="T153">
        <v>0</v>
      </c>
      <c r="U153">
        <v>1495.2</v>
      </c>
      <c r="V153">
        <v>97.6</v>
      </c>
      <c r="W153">
        <v>1599.19</v>
      </c>
      <c r="X153" t="e">
        <v>#N/A</v>
      </c>
      <c r="Y153">
        <v>24.76</v>
      </c>
      <c r="Z153">
        <v>73</v>
      </c>
      <c r="AA153">
        <v>2282.8200000000002</v>
      </c>
      <c r="AB153">
        <v>0</v>
      </c>
      <c r="AC153">
        <v>1499</v>
      </c>
      <c r="AD153">
        <v>838.61</v>
      </c>
      <c r="AE153">
        <v>338.55</v>
      </c>
      <c r="AF153">
        <v>11.08</v>
      </c>
      <c r="AG153">
        <v>196.2</v>
      </c>
      <c r="AH153">
        <v>3085.26</v>
      </c>
      <c r="AI153">
        <v>5368.08</v>
      </c>
      <c r="AJ153">
        <v>0</v>
      </c>
      <c r="AK153">
        <v>0</v>
      </c>
      <c r="AL153">
        <v>823.12</v>
      </c>
      <c r="AM153">
        <v>201.82</v>
      </c>
      <c r="AN153" t="s">
        <v>53</v>
      </c>
      <c r="AO153">
        <v>201.82</v>
      </c>
      <c r="AP153" t="e">
        <v>#N/A</v>
      </c>
      <c r="AQ153">
        <v>6736.88</v>
      </c>
      <c r="AR153">
        <v>6736.88</v>
      </c>
      <c r="AS153">
        <v>80.709999999999994</v>
      </c>
      <c r="AT153">
        <v>6817.59</v>
      </c>
      <c r="AU153">
        <v>51.49</v>
      </c>
      <c r="AV153">
        <v>6869.08</v>
      </c>
      <c r="AW153">
        <v>0</v>
      </c>
      <c r="AX153">
        <v>3437.58</v>
      </c>
      <c r="AY153">
        <v>617.63</v>
      </c>
      <c r="AZ153">
        <v>-186.65</v>
      </c>
      <c r="BA153">
        <v>485.14</v>
      </c>
      <c r="BB153">
        <v>44.1</v>
      </c>
      <c r="BC153" t="e">
        <v>#N/A</v>
      </c>
      <c r="BD153">
        <v>211.14</v>
      </c>
      <c r="BE153">
        <v>1275.9100000000001</v>
      </c>
      <c r="BF153">
        <v>5884.85</v>
      </c>
      <c r="BG153">
        <v>984.23</v>
      </c>
      <c r="BH153">
        <v>984.23</v>
      </c>
      <c r="BI153">
        <v>0</v>
      </c>
      <c r="BJ153">
        <v>257.88</v>
      </c>
      <c r="BK153">
        <v>1.02</v>
      </c>
      <c r="BL153" t="e">
        <v>#N/A</v>
      </c>
      <c r="BM153">
        <v>258.89999999999998</v>
      </c>
      <c r="BN153">
        <v>725.33</v>
      </c>
      <c r="BO153">
        <v>725.33</v>
      </c>
      <c r="BP153">
        <v>725.33</v>
      </c>
      <c r="BQ153">
        <v>29.14</v>
      </c>
      <c r="BR153">
        <v>0</v>
      </c>
      <c r="BS153" t="e">
        <v>#N/A</v>
      </c>
    </row>
    <row r="154" spans="1:71" x14ac:dyDescent="0.25">
      <c r="A154" t="s">
        <v>164</v>
      </c>
      <c r="B154">
        <v>4</v>
      </c>
      <c r="C154">
        <v>2020</v>
      </c>
      <c r="D154">
        <v>97.12</v>
      </c>
      <c r="E154">
        <v>97.12</v>
      </c>
      <c r="F154">
        <v>2527.92</v>
      </c>
      <c r="G154">
        <v>2527.92</v>
      </c>
      <c r="H154">
        <v>2625.04</v>
      </c>
      <c r="I154">
        <v>0</v>
      </c>
      <c r="J154">
        <v>206.79</v>
      </c>
      <c r="K154">
        <v>3.41</v>
      </c>
      <c r="L154">
        <v>239.34</v>
      </c>
      <c r="M154">
        <v>0</v>
      </c>
      <c r="N154">
        <v>1012.92</v>
      </c>
      <c r="O154">
        <v>212.95</v>
      </c>
      <c r="P154">
        <v>29.99</v>
      </c>
      <c r="Q154">
        <v>1478.32</v>
      </c>
      <c r="R154">
        <v>4342.7</v>
      </c>
      <c r="S154">
        <v>0</v>
      </c>
      <c r="T154">
        <v>0</v>
      </c>
      <c r="U154">
        <v>1379.3</v>
      </c>
      <c r="V154">
        <v>168.29</v>
      </c>
      <c r="W154">
        <v>1554.52</v>
      </c>
      <c r="X154" t="e">
        <v>#N/A</v>
      </c>
      <c r="Y154">
        <v>18.010000000000002</v>
      </c>
      <c r="Z154">
        <v>92.43</v>
      </c>
      <c r="AA154">
        <v>2133.59</v>
      </c>
      <c r="AB154">
        <v>0</v>
      </c>
      <c r="AC154">
        <v>1167.24</v>
      </c>
      <c r="AD154">
        <v>558.57000000000005</v>
      </c>
      <c r="AE154">
        <v>125.55</v>
      </c>
      <c r="AF154">
        <v>9.01</v>
      </c>
      <c r="AG154">
        <v>169.39</v>
      </c>
      <c r="AH154">
        <v>2209.11</v>
      </c>
      <c r="AI154">
        <v>4342.7</v>
      </c>
      <c r="AJ154">
        <v>0</v>
      </c>
      <c r="AK154">
        <v>0</v>
      </c>
      <c r="AL154">
        <v>470.91</v>
      </c>
      <c r="AM154">
        <v>179.35</v>
      </c>
      <c r="AN154" t="s">
        <v>53</v>
      </c>
      <c r="AO154">
        <v>179.35</v>
      </c>
      <c r="AP154" t="e">
        <v>#N/A</v>
      </c>
      <c r="AQ154">
        <v>6295.35</v>
      </c>
      <c r="AR154">
        <v>6295.35</v>
      </c>
      <c r="AS154">
        <v>70.47</v>
      </c>
      <c r="AT154">
        <v>6365.82</v>
      </c>
      <c r="AU154">
        <v>68.52</v>
      </c>
      <c r="AV154">
        <v>6434.34</v>
      </c>
      <c r="AW154">
        <v>0</v>
      </c>
      <c r="AX154">
        <v>3227.95</v>
      </c>
      <c r="AY154">
        <v>516.66</v>
      </c>
      <c r="AZ154">
        <v>-18.8</v>
      </c>
      <c r="BA154">
        <v>452.5</v>
      </c>
      <c r="BB154">
        <v>47.04</v>
      </c>
      <c r="BC154" t="e">
        <v>#N/A</v>
      </c>
      <c r="BD154">
        <v>191.01</v>
      </c>
      <c r="BE154">
        <v>1126.52</v>
      </c>
      <c r="BF154">
        <v>5542.88</v>
      </c>
      <c r="BG154">
        <v>891.46</v>
      </c>
      <c r="BH154">
        <v>891.46</v>
      </c>
      <c r="BI154">
        <v>0</v>
      </c>
      <c r="BJ154">
        <v>248.14</v>
      </c>
      <c r="BK154">
        <v>-21.08</v>
      </c>
      <c r="BL154" t="e">
        <v>#N/A</v>
      </c>
      <c r="BM154">
        <v>227.06</v>
      </c>
      <c r="BN154">
        <v>664.4</v>
      </c>
      <c r="BO154">
        <v>664.4</v>
      </c>
      <c r="BP154">
        <v>664.4</v>
      </c>
      <c r="BQ154">
        <v>369.04</v>
      </c>
      <c r="BR154">
        <v>55.27</v>
      </c>
      <c r="BS154" t="e">
        <v>#N/A</v>
      </c>
    </row>
    <row r="155" spans="1:71" x14ac:dyDescent="0.25">
      <c r="A155" t="s">
        <v>164</v>
      </c>
      <c r="B155">
        <v>5</v>
      </c>
      <c r="C155">
        <v>2019</v>
      </c>
      <c r="D155">
        <v>97.11</v>
      </c>
      <c r="E155">
        <v>97.11</v>
      </c>
      <c r="F155">
        <v>2275.2399999999998</v>
      </c>
      <c r="G155">
        <v>2275.2399999999998</v>
      </c>
      <c r="H155">
        <v>2372.35</v>
      </c>
      <c r="I155">
        <v>0</v>
      </c>
      <c r="J155">
        <v>14.39</v>
      </c>
      <c r="K155">
        <v>3.16</v>
      </c>
      <c r="L155">
        <v>78.42</v>
      </c>
      <c r="M155">
        <v>0</v>
      </c>
      <c r="N155">
        <v>968.14</v>
      </c>
      <c r="O155">
        <v>184.34</v>
      </c>
      <c r="P155">
        <v>18.670000000000002</v>
      </c>
      <c r="Q155">
        <v>1386.49</v>
      </c>
      <c r="R155">
        <v>3837.26</v>
      </c>
      <c r="S155">
        <v>0</v>
      </c>
      <c r="T155">
        <v>0</v>
      </c>
      <c r="U155">
        <v>996.56</v>
      </c>
      <c r="V155">
        <v>147.72999999999999</v>
      </c>
      <c r="W155">
        <v>1151.6500000000001</v>
      </c>
      <c r="X155" t="e">
        <v>#N/A</v>
      </c>
      <c r="Y155">
        <v>16.420000000000002</v>
      </c>
      <c r="Z155">
        <v>56.31</v>
      </c>
      <c r="AA155">
        <v>1556.18</v>
      </c>
      <c r="AB155">
        <v>0</v>
      </c>
      <c r="AC155">
        <v>1149.1300000000001</v>
      </c>
      <c r="AD155">
        <v>574.33000000000004</v>
      </c>
      <c r="AE155">
        <v>131.77000000000001</v>
      </c>
      <c r="AF155">
        <v>7.98</v>
      </c>
      <c r="AG155">
        <v>172.36</v>
      </c>
      <c r="AH155">
        <v>2281.08</v>
      </c>
      <c r="AI155">
        <v>3837.26</v>
      </c>
      <c r="AJ155">
        <v>0</v>
      </c>
      <c r="AK155">
        <v>0</v>
      </c>
      <c r="AL155">
        <v>434.81</v>
      </c>
      <c r="AM155">
        <v>245.51</v>
      </c>
      <c r="AN155" t="s">
        <v>53</v>
      </c>
      <c r="AO155">
        <v>245.51</v>
      </c>
      <c r="AP155" t="e">
        <v>#N/A</v>
      </c>
      <c r="AQ155">
        <v>6004.63</v>
      </c>
      <c r="AR155">
        <v>6004.63</v>
      </c>
      <c r="AS155">
        <v>57.23</v>
      </c>
      <c r="AT155">
        <v>6061.86</v>
      </c>
      <c r="AU155">
        <v>60.03</v>
      </c>
      <c r="AV155">
        <v>6121.89</v>
      </c>
      <c r="AW155">
        <v>0</v>
      </c>
      <c r="AX155">
        <v>3416.5</v>
      </c>
      <c r="AY155">
        <v>457.06</v>
      </c>
      <c r="AZ155">
        <v>-173.95</v>
      </c>
      <c r="BA155">
        <v>408.51</v>
      </c>
      <c r="BB155">
        <v>32.33</v>
      </c>
      <c r="BC155" t="e">
        <v>#N/A</v>
      </c>
      <c r="BD155">
        <v>137.77000000000001</v>
      </c>
      <c r="BE155">
        <v>1072.17</v>
      </c>
      <c r="BF155">
        <v>5350.39</v>
      </c>
      <c r="BG155">
        <v>771.5</v>
      </c>
      <c r="BH155">
        <v>771.5</v>
      </c>
      <c r="BI155">
        <v>0</v>
      </c>
      <c r="BJ155">
        <v>267.62</v>
      </c>
      <c r="BK155">
        <v>5.53</v>
      </c>
      <c r="BL155" t="e">
        <v>#N/A</v>
      </c>
      <c r="BM155">
        <v>273.14999999999998</v>
      </c>
      <c r="BN155">
        <v>498.35</v>
      </c>
      <c r="BO155">
        <v>498.35</v>
      </c>
      <c r="BP155">
        <v>498.35</v>
      </c>
      <c r="BQ155">
        <v>174.78</v>
      </c>
      <c r="BR155">
        <v>35.93</v>
      </c>
      <c r="BS155" t="e">
        <v>#N/A</v>
      </c>
    </row>
    <row r="156" spans="1:71" x14ac:dyDescent="0.25">
      <c r="A156" t="s">
        <v>164</v>
      </c>
      <c r="B156">
        <v>6</v>
      </c>
      <c r="C156">
        <v>2018</v>
      </c>
      <c r="D156">
        <v>97.1</v>
      </c>
      <c r="E156">
        <v>97.1</v>
      </c>
      <c r="F156">
        <v>2046.51</v>
      </c>
      <c r="G156">
        <v>2046.51</v>
      </c>
      <c r="H156">
        <v>2143.61</v>
      </c>
      <c r="I156">
        <v>0</v>
      </c>
      <c r="J156">
        <v>5.26</v>
      </c>
      <c r="K156">
        <v>2.92</v>
      </c>
      <c r="L156">
        <v>66.78</v>
      </c>
      <c r="M156">
        <v>0</v>
      </c>
      <c r="N156">
        <v>932.57</v>
      </c>
      <c r="O156">
        <v>202.49</v>
      </c>
      <c r="P156">
        <v>15.98</v>
      </c>
      <c r="Q156">
        <v>1294.31</v>
      </c>
      <c r="R156">
        <v>3504.7</v>
      </c>
      <c r="S156">
        <v>0</v>
      </c>
      <c r="T156">
        <v>0</v>
      </c>
      <c r="U156">
        <v>911.04</v>
      </c>
      <c r="V156">
        <v>87.27</v>
      </c>
      <c r="W156">
        <v>1002.6</v>
      </c>
      <c r="X156" t="e">
        <v>#N/A</v>
      </c>
      <c r="Y156">
        <v>19.989999999999998</v>
      </c>
      <c r="Z156">
        <v>79.72</v>
      </c>
      <c r="AA156">
        <v>1405.49</v>
      </c>
      <c r="AB156">
        <v>0</v>
      </c>
      <c r="AC156">
        <v>939.36</v>
      </c>
      <c r="AD156">
        <v>598.01</v>
      </c>
      <c r="AE156">
        <v>120.57</v>
      </c>
      <c r="AF156">
        <v>1.96</v>
      </c>
      <c r="AG156">
        <v>211.72</v>
      </c>
      <c r="AH156">
        <v>2099.21</v>
      </c>
      <c r="AI156">
        <v>3504.7</v>
      </c>
      <c r="AJ156">
        <v>0</v>
      </c>
      <c r="AK156">
        <v>0</v>
      </c>
      <c r="AL156">
        <v>361.61</v>
      </c>
      <c r="AM156">
        <v>227.59</v>
      </c>
      <c r="AN156" t="s">
        <v>53</v>
      </c>
      <c r="AO156">
        <v>227.59</v>
      </c>
      <c r="AP156" t="e">
        <v>#N/A</v>
      </c>
      <c r="AQ156">
        <v>5232.78</v>
      </c>
      <c r="AR156">
        <v>5116.3900000000003</v>
      </c>
      <c r="AS156">
        <v>49.34</v>
      </c>
      <c r="AT156">
        <v>5165.7299999999996</v>
      </c>
      <c r="AU156">
        <v>45.87</v>
      </c>
      <c r="AV156">
        <v>5211.6000000000004</v>
      </c>
      <c r="AW156">
        <v>0</v>
      </c>
      <c r="AX156">
        <v>2678.14</v>
      </c>
      <c r="AY156">
        <v>431.79</v>
      </c>
      <c r="AZ156">
        <v>-99.97</v>
      </c>
      <c r="BA156">
        <v>356.58</v>
      </c>
      <c r="BB156">
        <v>24.55</v>
      </c>
      <c r="BC156" t="e">
        <v>#N/A</v>
      </c>
      <c r="BD156">
        <v>124.21</v>
      </c>
      <c r="BE156">
        <v>992.2</v>
      </c>
      <c r="BF156">
        <v>4507.5</v>
      </c>
      <c r="BG156">
        <v>704.1</v>
      </c>
      <c r="BH156">
        <v>704.1</v>
      </c>
      <c r="BI156">
        <v>0</v>
      </c>
      <c r="BJ156">
        <v>245.64</v>
      </c>
      <c r="BK156">
        <v>-1.73</v>
      </c>
      <c r="BL156" t="e">
        <v>#N/A</v>
      </c>
      <c r="BM156">
        <v>243.91</v>
      </c>
      <c r="BN156">
        <v>460.19</v>
      </c>
      <c r="BO156">
        <v>460.19</v>
      </c>
      <c r="BP156">
        <v>460.19</v>
      </c>
      <c r="BQ156">
        <v>169.93</v>
      </c>
      <c r="BR156">
        <v>34.590000000000003</v>
      </c>
      <c r="BS156" t="e">
        <v>#N/A</v>
      </c>
    </row>
    <row r="157" spans="1:71" x14ac:dyDescent="0.25">
      <c r="A157" t="s">
        <v>165</v>
      </c>
      <c r="B157">
        <v>2</v>
      </c>
      <c r="C157">
        <v>2022</v>
      </c>
      <c r="D157">
        <v>145.30000000000001</v>
      </c>
      <c r="E157">
        <v>145.30000000000001</v>
      </c>
      <c r="F157">
        <v>4756.3999999999996</v>
      </c>
      <c r="G157">
        <v>4756.3999999999996</v>
      </c>
      <c r="H157">
        <v>4901.7</v>
      </c>
      <c r="I157">
        <v>0</v>
      </c>
      <c r="J157">
        <v>134.1</v>
      </c>
      <c r="K157">
        <v>13.2</v>
      </c>
      <c r="L157">
        <v>147.30000000000001</v>
      </c>
      <c r="M157">
        <v>0</v>
      </c>
      <c r="N157">
        <v>1504.8</v>
      </c>
      <c r="O157">
        <v>1403.9</v>
      </c>
      <c r="P157">
        <v>457.6</v>
      </c>
      <c r="Q157">
        <v>3366.3</v>
      </c>
      <c r="R157">
        <v>8415.2999999999993</v>
      </c>
      <c r="S157">
        <v>0</v>
      </c>
      <c r="T157">
        <v>0</v>
      </c>
      <c r="U157">
        <v>1276.5999999999999</v>
      </c>
      <c r="V157">
        <v>81.7</v>
      </c>
      <c r="W157">
        <v>1390.9</v>
      </c>
      <c r="X157">
        <v>147.80000000000001</v>
      </c>
      <c r="Y157">
        <v>0</v>
      </c>
      <c r="Z157">
        <v>1512.7</v>
      </c>
      <c r="AA157">
        <v>3268.3</v>
      </c>
      <c r="AB157">
        <v>0</v>
      </c>
      <c r="AC157">
        <v>2077.1</v>
      </c>
      <c r="AD157">
        <v>2302.1</v>
      </c>
      <c r="AE157">
        <v>32.799999999999997</v>
      </c>
      <c r="AF157">
        <v>138.69999999999999</v>
      </c>
      <c r="AG157">
        <v>374.2</v>
      </c>
      <c r="AH157">
        <v>5147</v>
      </c>
      <c r="AI157">
        <v>8415.2999999999993</v>
      </c>
      <c r="AJ157">
        <v>0</v>
      </c>
      <c r="AK157">
        <v>0</v>
      </c>
      <c r="AL157">
        <v>2046.4</v>
      </c>
      <c r="AM157">
        <v>222.1</v>
      </c>
      <c r="AN157" t="s">
        <v>53</v>
      </c>
      <c r="AO157" t="s">
        <v>53</v>
      </c>
      <c r="AP157" t="e">
        <v>#N/A</v>
      </c>
      <c r="AQ157">
        <v>31004.1</v>
      </c>
      <c r="AR157">
        <v>9654.7000000000007</v>
      </c>
      <c r="AS157">
        <v>57.7</v>
      </c>
      <c r="AT157">
        <v>9712.4</v>
      </c>
      <c r="AU157">
        <v>35.5</v>
      </c>
      <c r="AV157">
        <v>9747.9</v>
      </c>
      <c r="AW157">
        <v>0</v>
      </c>
      <c r="AX157">
        <v>4796.8999999999996</v>
      </c>
      <c r="AY157">
        <v>577.29999999999995</v>
      </c>
      <c r="AZ157">
        <v>-82.7</v>
      </c>
      <c r="BA157">
        <v>653.1</v>
      </c>
      <c r="BB157">
        <v>88</v>
      </c>
      <c r="BC157" t="e">
        <v>#N/A</v>
      </c>
      <c r="BD157">
        <v>303.8</v>
      </c>
      <c r="BE157">
        <v>2159.6999999999998</v>
      </c>
      <c r="BF157">
        <v>8496.1</v>
      </c>
      <c r="BG157">
        <v>1251.8</v>
      </c>
      <c r="BH157">
        <v>1086.5999999999999</v>
      </c>
      <c r="BI157">
        <v>0</v>
      </c>
      <c r="BJ157">
        <v>259.3</v>
      </c>
      <c r="BK157">
        <v>41.4</v>
      </c>
      <c r="BL157">
        <v>-24.7</v>
      </c>
      <c r="BM157">
        <v>276</v>
      </c>
      <c r="BN157">
        <v>810.6</v>
      </c>
      <c r="BO157">
        <v>810.6</v>
      </c>
      <c r="BP157">
        <v>810.6</v>
      </c>
      <c r="BQ157" t="e">
        <v>#N/A</v>
      </c>
      <c r="BR157" t="e">
        <v>#N/A</v>
      </c>
      <c r="BS157" t="e">
        <v>#N/A</v>
      </c>
    </row>
    <row r="158" spans="1:71" x14ac:dyDescent="0.25">
      <c r="A158" t="s">
        <v>165</v>
      </c>
      <c r="B158">
        <v>3</v>
      </c>
      <c r="C158">
        <v>2021</v>
      </c>
      <c r="D158">
        <v>145.30000000000001</v>
      </c>
      <c r="E158">
        <v>145.30000000000001</v>
      </c>
      <c r="F158">
        <v>3981.5</v>
      </c>
      <c r="G158">
        <v>3981.5</v>
      </c>
      <c r="H158">
        <v>4126.8</v>
      </c>
      <c r="I158">
        <v>0</v>
      </c>
      <c r="J158">
        <v>92.5</v>
      </c>
      <c r="K158">
        <v>7.5</v>
      </c>
      <c r="L158">
        <v>100</v>
      </c>
      <c r="M158">
        <v>0</v>
      </c>
      <c r="N158">
        <v>1381.3</v>
      </c>
      <c r="O158">
        <v>1439.6</v>
      </c>
      <c r="P158">
        <v>537.9</v>
      </c>
      <c r="Q158">
        <v>3914.4</v>
      </c>
      <c r="R158">
        <v>8141.2</v>
      </c>
      <c r="S158">
        <v>0</v>
      </c>
      <c r="T158">
        <v>0</v>
      </c>
      <c r="U158">
        <v>1269.2</v>
      </c>
      <c r="V158">
        <v>78.099999999999994</v>
      </c>
      <c r="W158">
        <v>1387.3</v>
      </c>
      <c r="X158">
        <v>171.1</v>
      </c>
      <c r="Y158">
        <v>174.2</v>
      </c>
      <c r="Z158">
        <v>1407.3</v>
      </c>
      <c r="AA158">
        <v>3342</v>
      </c>
      <c r="AB158">
        <v>0</v>
      </c>
      <c r="AC158">
        <v>1981</v>
      </c>
      <c r="AD158">
        <v>2160.1</v>
      </c>
      <c r="AE158">
        <v>55.3</v>
      </c>
      <c r="AF158">
        <v>100.5</v>
      </c>
      <c r="AG158">
        <v>502.3</v>
      </c>
      <c r="AH158">
        <v>4799.2</v>
      </c>
      <c r="AI158">
        <v>8141.2</v>
      </c>
      <c r="AJ158">
        <v>0</v>
      </c>
      <c r="AK158">
        <v>0</v>
      </c>
      <c r="AL158">
        <v>1928.7</v>
      </c>
      <c r="AM158">
        <v>0</v>
      </c>
      <c r="AN158" t="s">
        <v>53</v>
      </c>
      <c r="AO158" t="s">
        <v>53</v>
      </c>
      <c r="AP158" t="e">
        <v>#N/A</v>
      </c>
      <c r="AQ158">
        <v>27385.1</v>
      </c>
      <c r="AR158">
        <v>8097.9</v>
      </c>
      <c r="AS158">
        <v>33.4</v>
      </c>
      <c r="AT158">
        <v>8131.3</v>
      </c>
      <c r="AU158">
        <v>39.6</v>
      </c>
      <c r="AV158">
        <v>8170.9</v>
      </c>
      <c r="AW158">
        <v>0</v>
      </c>
      <c r="AX158">
        <v>3973.1</v>
      </c>
      <c r="AY158">
        <v>349.4</v>
      </c>
      <c r="AZ158">
        <v>133.1</v>
      </c>
      <c r="BA158">
        <v>556.4</v>
      </c>
      <c r="BB158">
        <v>187.6</v>
      </c>
      <c r="BC158" t="e">
        <v>#N/A</v>
      </c>
      <c r="BD158">
        <v>299.10000000000002</v>
      </c>
      <c r="BE158">
        <v>2066.6</v>
      </c>
      <c r="BF158">
        <v>7565.3</v>
      </c>
      <c r="BG158">
        <v>605.6</v>
      </c>
      <c r="BH158">
        <v>541.29999999999995</v>
      </c>
      <c r="BI158">
        <v>0</v>
      </c>
      <c r="BJ158">
        <v>176.4</v>
      </c>
      <c r="BK158">
        <v>4.5999999999999996</v>
      </c>
      <c r="BL158">
        <v>-3.1</v>
      </c>
      <c r="BM158">
        <v>177.9</v>
      </c>
      <c r="BN158">
        <v>363.4</v>
      </c>
      <c r="BO158">
        <v>363.4</v>
      </c>
      <c r="BP158">
        <v>363.4</v>
      </c>
      <c r="BQ158" t="e">
        <v>#N/A</v>
      </c>
      <c r="BR158" t="e">
        <v>#N/A</v>
      </c>
      <c r="BS158" t="e">
        <v>#N/A</v>
      </c>
    </row>
    <row r="159" spans="1:71" x14ac:dyDescent="0.25">
      <c r="A159" t="s">
        <v>165</v>
      </c>
      <c r="B159">
        <v>4</v>
      </c>
      <c r="C159">
        <v>2020</v>
      </c>
      <c r="D159">
        <v>145.30000000000001</v>
      </c>
      <c r="E159">
        <v>145.30000000000001</v>
      </c>
      <c r="F159">
        <v>3664.4</v>
      </c>
      <c r="G159">
        <v>3664.4</v>
      </c>
      <c r="H159">
        <v>3809.7</v>
      </c>
      <c r="I159">
        <v>0</v>
      </c>
      <c r="J159">
        <v>120.3</v>
      </c>
      <c r="K159">
        <v>7</v>
      </c>
      <c r="L159">
        <v>127.3</v>
      </c>
      <c r="M159">
        <v>0</v>
      </c>
      <c r="N159">
        <v>1171.2</v>
      </c>
      <c r="O159">
        <v>1695.8</v>
      </c>
      <c r="P159">
        <v>427.5</v>
      </c>
      <c r="Q159">
        <v>4617.5</v>
      </c>
      <c r="R159">
        <v>8554.5</v>
      </c>
      <c r="S159">
        <v>0</v>
      </c>
      <c r="T159">
        <v>0</v>
      </c>
      <c r="U159">
        <v>1304.4000000000001</v>
      </c>
      <c r="V159">
        <v>101.7</v>
      </c>
      <c r="W159">
        <v>1453.4</v>
      </c>
      <c r="X159">
        <v>159</v>
      </c>
      <c r="Y159">
        <v>400</v>
      </c>
      <c r="Z159">
        <v>1507.6</v>
      </c>
      <c r="AA159">
        <v>3772.6</v>
      </c>
      <c r="AB159">
        <v>0</v>
      </c>
      <c r="AC159">
        <v>1836.1</v>
      </c>
      <c r="AD159">
        <v>2283.5</v>
      </c>
      <c r="AE159">
        <v>34.5</v>
      </c>
      <c r="AF159">
        <v>15.9</v>
      </c>
      <c r="AG159">
        <v>611.9</v>
      </c>
      <c r="AH159">
        <v>4781.8999999999996</v>
      </c>
      <c r="AI159">
        <v>8554.5</v>
      </c>
      <c r="AJ159">
        <v>0</v>
      </c>
      <c r="AK159">
        <v>0</v>
      </c>
      <c r="AL159">
        <v>1747.9</v>
      </c>
      <c r="AM159">
        <v>0</v>
      </c>
      <c r="AN159" t="s">
        <v>53</v>
      </c>
      <c r="AO159" t="s">
        <v>53</v>
      </c>
      <c r="AP159" t="e">
        <v>#N/A</v>
      </c>
      <c r="AQ159">
        <v>28776.2</v>
      </c>
      <c r="AR159">
        <v>9277.9</v>
      </c>
      <c r="AS159">
        <v>47.5</v>
      </c>
      <c r="AT159">
        <v>9325.4</v>
      </c>
      <c r="AU159">
        <v>22</v>
      </c>
      <c r="AV159">
        <v>9347.4</v>
      </c>
      <c r="AW159">
        <v>0</v>
      </c>
      <c r="AX159">
        <v>4639.8</v>
      </c>
      <c r="AY159">
        <v>290.7</v>
      </c>
      <c r="AZ159">
        <v>98.4</v>
      </c>
      <c r="BA159">
        <v>530</v>
      </c>
      <c r="BB159">
        <v>212</v>
      </c>
      <c r="BC159" t="e">
        <v>#N/A</v>
      </c>
      <c r="BD159">
        <v>285.3</v>
      </c>
      <c r="BE159">
        <v>2194.1999999999998</v>
      </c>
      <c r="BF159">
        <v>8250.4</v>
      </c>
      <c r="BG159">
        <v>1097</v>
      </c>
      <c r="BH159">
        <v>1163.5999999999999</v>
      </c>
      <c r="BI159">
        <v>0</v>
      </c>
      <c r="BJ159">
        <v>306.3</v>
      </c>
      <c r="BK159">
        <v>137.30000000000001</v>
      </c>
      <c r="BL159">
        <v>85.7</v>
      </c>
      <c r="BM159">
        <v>539.70000000000005</v>
      </c>
      <c r="BN159">
        <v>623.9</v>
      </c>
      <c r="BO159">
        <v>623.9</v>
      </c>
      <c r="BP159">
        <v>623.9</v>
      </c>
      <c r="BQ159" t="e">
        <v>#N/A</v>
      </c>
      <c r="BR159" t="e">
        <v>#N/A</v>
      </c>
      <c r="BS159" t="e">
        <v>#N/A</v>
      </c>
    </row>
    <row r="160" spans="1:71" x14ac:dyDescent="0.25">
      <c r="A160" t="s">
        <v>165</v>
      </c>
      <c r="B160">
        <v>5</v>
      </c>
      <c r="C160">
        <v>2019</v>
      </c>
      <c r="D160">
        <v>145.30000000000001</v>
      </c>
      <c r="E160">
        <v>145.30000000000001</v>
      </c>
      <c r="F160">
        <v>2986.2</v>
      </c>
      <c r="G160">
        <v>2986.2</v>
      </c>
      <c r="H160">
        <v>3131.5</v>
      </c>
      <c r="I160">
        <v>0</v>
      </c>
      <c r="J160">
        <v>0</v>
      </c>
      <c r="K160">
        <v>51.8</v>
      </c>
      <c r="L160">
        <v>816.1</v>
      </c>
      <c r="M160">
        <v>0</v>
      </c>
      <c r="N160">
        <v>1336</v>
      </c>
      <c r="O160">
        <v>1244.2</v>
      </c>
      <c r="P160">
        <v>325.89999999999998</v>
      </c>
      <c r="Q160">
        <v>4714.7</v>
      </c>
      <c r="R160">
        <v>8662.2999999999993</v>
      </c>
      <c r="S160">
        <v>0</v>
      </c>
      <c r="T160">
        <v>0</v>
      </c>
      <c r="U160">
        <v>1115.0999999999999</v>
      </c>
      <c r="V160">
        <v>100.6</v>
      </c>
      <c r="W160">
        <v>1245.3</v>
      </c>
      <c r="X160">
        <v>187.8</v>
      </c>
      <c r="Y160">
        <v>647.5</v>
      </c>
      <c r="Z160">
        <v>1376.1</v>
      </c>
      <c r="AA160">
        <v>3755.1</v>
      </c>
      <c r="AB160">
        <v>0</v>
      </c>
      <c r="AC160">
        <v>1876.7</v>
      </c>
      <c r="AD160">
        <v>2518.1</v>
      </c>
      <c r="AE160">
        <v>58.8</v>
      </c>
      <c r="AF160">
        <v>16.899999999999999</v>
      </c>
      <c r="AG160">
        <v>436.7</v>
      </c>
      <c r="AH160">
        <v>4907.2</v>
      </c>
      <c r="AI160">
        <v>8662.2999999999993</v>
      </c>
      <c r="AJ160">
        <v>0</v>
      </c>
      <c r="AK160">
        <v>0</v>
      </c>
      <c r="AL160">
        <v>1805.9</v>
      </c>
      <c r="AM160">
        <v>0</v>
      </c>
      <c r="AN160" t="s">
        <v>53</v>
      </c>
      <c r="AO160" t="s">
        <v>53</v>
      </c>
      <c r="AP160" t="e">
        <v>#N/A</v>
      </c>
      <c r="AQ160">
        <v>28813.8</v>
      </c>
      <c r="AR160">
        <v>9282.1</v>
      </c>
      <c r="AS160">
        <v>58.7</v>
      </c>
      <c r="AT160">
        <v>9340.7999999999993</v>
      </c>
      <c r="AU160">
        <v>69.2</v>
      </c>
      <c r="AV160">
        <v>9410</v>
      </c>
      <c r="AW160">
        <v>0</v>
      </c>
      <c r="AX160">
        <v>4254.5</v>
      </c>
      <c r="AY160">
        <v>283.2</v>
      </c>
      <c r="AZ160">
        <v>65.7</v>
      </c>
      <c r="BA160">
        <v>689.8</v>
      </c>
      <c r="BB160">
        <v>237.2</v>
      </c>
      <c r="BC160" t="e">
        <v>#N/A</v>
      </c>
      <c r="BD160">
        <v>214.7</v>
      </c>
      <c r="BE160">
        <v>2654</v>
      </c>
      <c r="BF160">
        <v>8399.1</v>
      </c>
      <c r="BG160">
        <v>1010.9</v>
      </c>
      <c r="BH160">
        <v>1013.5</v>
      </c>
      <c r="BI160">
        <v>0</v>
      </c>
      <c r="BJ160">
        <v>446.7</v>
      </c>
      <c r="BK160">
        <v>-107</v>
      </c>
      <c r="BL160">
        <v>0</v>
      </c>
      <c r="BM160">
        <v>328.1</v>
      </c>
      <c r="BN160">
        <v>685.4</v>
      </c>
      <c r="BO160">
        <v>685.4</v>
      </c>
      <c r="BP160">
        <v>685.4</v>
      </c>
      <c r="BQ160" t="e">
        <v>#N/A</v>
      </c>
      <c r="BR160" t="e">
        <v>#N/A</v>
      </c>
      <c r="BS160" t="e">
        <v>#N/A</v>
      </c>
    </row>
    <row r="161" spans="1:71" x14ac:dyDescent="0.25">
      <c r="A161" t="s">
        <v>165</v>
      </c>
      <c r="B161">
        <v>6</v>
      </c>
      <c r="C161">
        <v>2018</v>
      </c>
      <c r="D161">
        <v>145.30000000000001</v>
      </c>
      <c r="E161">
        <v>145.30000000000001</v>
      </c>
      <c r="F161">
        <v>2358.5</v>
      </c>
      <c r="G161">
        <v>2358.5</v>
      </c>
      <c r="H161">
        <v>2503.8000000000002</v>
      </c>
      <c r="I161">
        <v>0</v>
      </c>
      <c r="J161">
        <v>0</v>
      </c>
      <c r="K161">
        <v>51.2</v>
      </c>
      <c r="L161">
        <v>803.9</v>
      </c>
      <c r="M161">
        <v>0</v>
      </c>
      <c r="N161">
        <v>1424</v>
      </c>
      <c r="O161">
        <v>1503.3</v>
      </c>
      <c r="P161">
        <v>293</v>
      </c>
      <c r="Q161">
        <v>5363.8</v>
      </c>
      <c r="R161">
        <v>8671.5</v>
      </c>
      <c r="S161">
        <v>0</v>
      </c>
      <c r="T161">
        <v>0</v>
      </c>
      <c r="U161">
        <v>990.1</v>
      </c>
      <c r="V161">
        <v>98</v>
      </c>
      <c r="W161">
        <v>1100.0999999999999</v>
      </c>
      <c r="X161">
        <v>85.6</v>
      </c>
      <c r="Y161">
        <v>580</v>
      </c>
      <c r="Z161">
        <v>1026.5</v>
      </c>
      <c r="AA161">
        <v>3069.7</v>
      </c>
      <c r="AB161">
        <v>0</v>
      </c>
      <c r="AC161">
        <v>1869.4</v>
      </c>
      <c r="AD161">
        <v>2699.8</v>
      </c>
      <c r="AE161">
        <v>119.8</v>
      </c>
      <c r="AF161">
        <v>26.3</v>
      </c>
      <c r="AG161">
        <v>886.5</v>
      </c>
      <c r="AH161">
        <v>5601.8</v>
      </c>
      <c r="AI161">
        <v>8671.5</v>
      </c>
      <c r="AJ161">
        <v>0</v>
      </c>
      <c r="AK161">
        <v>0</v>
      </c>
      <c r="AL161">
        <v>1425.7</v>
      </c>
      <c r="AM161">
        <v>0</v>
      </c>
      <c r="AN161" t="s">
        <v>53</v>
      </c>
      <c r="AO161" t="s">
        <v>53</v>
      </c>
      <c r="AP161" t="e">
        <v>#N/A</v>
      </c>
      <c r="AQ161">
        <v>26335.1</v>
      </c>
      <c r="AR161">
        <v>8369.7999999999993</v>
      </c>
      <c r="AS161">
        <v>220.8</v>
      </c>
      <c r="AT161">
        <v>8590.6</v>
      </c>
      <c r="AU161">
        <v>218.9</v>
      </c>
      <c r="AV161">
        <v>8809.5</v>
      </c>
      <c r="AW161">
        <v>0</v>
      </c>
      <c r="AX161">
        <v>4125.8999999999996</v>
      </c>
      <c r="AY161">
        <v>228.8</v>
      </c>
      <c r="AZ161">
        <v>-14.1</v>
      </c>
      <c r="BA161">
        <v>680.9</v>
      </c>
      <c r="BB161">
        <v>271</v>
      </c>
      <c r="BC161" t="e">
        <v>#N/A</v>
      </c>
      <c r="BD161">
        <v>192.3</v>
      </c>
      <c r="BE161">
        <v>2368.4</v>
      </c>
      <c r="BF161">
        <v>7853.2</v>
      </c>
      <c r="BG161">
        <v>956.3</v>
      </c>
      <c r="BH161">
        <v>911.8</v>
      </c>
      <c r="BI161">
        <v>0</v>
      </c>
      <c r="BJ161">
        <v>253.2</v>
      </c>
      <c r="BK161">
        <v>17.100000000000001</v>
      </c>
      <c r="BL161">
        <v>0</v>
      </c>
      <c r="BM161">
        <v>259.89999999999998</v>
      </c>
      <c r="BN161">
        <v>651.9</v>
      </c>
      <c r="BO161">
        <v>651.9</v>
      </c>
      <c r="BP161">
        <v>651.9</v>
      </c>
      <c r="BQ161" t="e">
        <v>#N/A</v>
      </c>
      <c r="BR161" t="e">
        <v>#N/A</v>
      </c>
      <c r="BS161" t="e">
        <v>#N/A</v>
      </c>
    </row>
    <row r="162" spans="1:71" x14ac:dyDescent="0.25">
      <c r="A162" t="s">
        <v>166</v>
      </c>
      <c r="B162">
        <v>2</v>
      </c>
      <c r="C162">
        <v>2022</v>
      </c>
      <c r="D162">
        <v>13.86</v>
      </c>
      <c r="E162">
        <v>13.86</v>
      </c>
      <c r="F162">
        <v>1713.56</v>
      </c>
      <c r="G162">
        <v>1715.71</v>
      </c>
      <c r="H162">
        <v>1729.57</v>
      </c>
      <c r="I162">
        <v>0</v>
      </c>
      <c r="J162">
        <v>44.26</v>
      </c>
      <c r="K162">
        <v>1.04</v>
      </c>
      <c r="L162">
        <v>82.49</v>
      </c>
      <c r="M162">
        <v>0</v>
      </c>
      <c r="N162">
        <v>389.36</v>
      </c>
      <c r="O162">
        <v>162.72999999999999</v>
      </c>
      <c r="P162">
        <v>10.52</v>
      </c>
      <c r="Q162">
        <v>602.42999999999995</v>
      </c>
      <c r="R162">
        <v>2414.4899999999998</v>
      </c>
      <c r="S162">
        <v>0</v>
      </c>
      <c r="T162">
        <v>0</v>
      </c>
      <c r="U162">
        <v>461.73</v>
      </c>
      <c r="V162">
        <v>6.61</v>
      </c>
      <c r="W162">
        <v>475.17</v>
      </c>
      <c r="X162" t="e">
        <v>#N/A</v>
      </c>
      <c r="Y162" t="e">
        <v>#N/A</v>
      </c>
      <c r="Z162">
        <v>57.33</v>
      </c>
      <c r="AA162">
        <v>680.12</v>
      </c>
      <c r="AB162">
        <v>0</v>
      </c>
      <c r="AC162">
        <v>585.62</v>
      </c>
      <c r="AD162">
        <v>329.71</v>
      </c>
      <c r="AE162">
        <v>404.63</v>
      </c>
      <c r="AF162" t="e">
        <v>#N/A</v>
      </c>
      <c r="AG162">
        <v>78.349999999999994</v>
      </c>
      <c r="AH162">
        <v>1734.37</v>
      </c>
      <c r="AI162">
        <v>2414.4899999999998</v>
      </c>
      <c r="AJ162">
        <v>0</v>
      </c>
      <c r="AK162">
        <v>0</v>
      </c>
      <c r="AL162">
        <v>87.79</v>
      </c>
      <c r="AM162">
        <v>336.06</v>
      </c>
      <c r="AN162" t="e">
        <v>#N/A</v>
      </c>
      <c r="AO162">
        <v>336.06</v>
      </c>
      <c r="AP162" t="e">
        <v>#N/A</v>
      </c>
      <c r="AQ162">
        <v>2721.4</v>
      </c>
      <c r="AR162">
        <v>2721.4</v>
      </c>
      <c r="AS162">
        <v>1.05</v>
      </c>
      <c r="AT162">
        <v>2722.45</v>
      </c>
      <c r="AU162">
        <v>35.049999999999997</v>
      </c>
      <c r="AV162">
        <v>2757.5</v>
      </c>
      <c r="AW162">
        <v>0</v>
      </c>
      <c r="AX162">
        <v>607.78</v>
      </c>
      <c r="AY162">
        <v>1083.21</v>
      </c>
      <c r="AZ162">
        <v>-96.07</v>
      </c>
      <c r="BA162">
        <v>218.65</v>
      </c>
      <c r="BB162">
        <v>6.22</v>
      </c>
      <c r="BC162" t="e">
        <v>#N/A</v>
      </c>
      <c r="BD162">
        <v>44.15</v>
      </c>
      <c r="BE162">
        <v>482.98</v>
      </c>
      <c r="BF162">
        <v>2346.92</v>
      </c>
      <c r="BG162">
        <v>410.58</v>
      </c>
      <c r="BH162">
        <v>410.58</v>
      </c>
      <c r="BI162">
        <v>0</v>
      </c>
      <c r="BJ162">
        <v>102.8</v>
      </c>
      <c r="BK162">
        <v>2.35</v>
      </c>
      <c r="BL162" t="e">
        <v>#N/A</v>
      </c>
      <c r="BM162">
        <v>105.15</v>
      </c>
      <c r="BN162">
        <v>305.43</v>
      </c>
      <c r="BO162">
        <v>305.43</v>
      </c>
      <c r="BP162">
        <v>305.43</v>
      </c>
      <c r="BQ162">
        <v>76.23</v>
      </c>
      <c r="BR162" t="e">
        <v>#N/A</v>
      </c>
      <c r="BS162" t="e">
        <v>#N/A</v>
      </c>
    </row>
    <row r="163" spans="1:71" x14ac:dyDescent="0.25">
      <c r="A163" t="s">
        <v>166</v>
      </c>
      <c r="B163">
        <v>3</v>
      </c>
      <c r="C163">
        <v>2021</v>
      </c>
      <c r="D163">
        <v>13.86</v>
      </c>
      <c r="E163">
        <v>13.86</v>
      </c>
      <c r="F163">
        <v>1489</v>
      </c>
      <c r="G163">
        <v>1491.15</v>
      </c>
      <c r="H163">
        <v>1505.01</v>
      </c>
      <c r="I163">
        <v>0</v>
      </c>
      <c r="J163">
        <v>36.119999999999997</v>
      </c>
      <c r="K163">
        <v>0.05</v>
      </c>
      <c r="L163">
        <v>111.4</v>
      </c>
      <c r="M163">
        <v>0</v>
      </c>
      <c r="N163">
        <v>225.65</v>
      </c>
      <c r="O163">
        <v>187.06</v>
      </c>
      <c r="P163">
        <v>9.24</v>
      </c>
      <c r="Q163">
        <v>421.95</v>
      </c>
      <c r="R163">
        <v>2038.36</v>
      </c>
      <c r="S163">
        <v>0</v>
      </c>
      <c r="T163">
        <v>0</v>
      </c>
      <c r="U163">
        <v>440.52</v>
      </c>
      <c r="V163">
        <v>18.010000000000002</v>
      </c>
      <c r="W163">
        <v>460.7</v>
      </c>
      <c r="X163" t="e">
        <v>#N/A</v>
      </c>
      <c r="Y163" t="e">
        <v>#N/A</v>
      </c>
      <c r="Z163">
        <v>51.76</v>
      </c>
      <c r="AA163">
        <v>642.41</v>
      </c>
      <c r="AB163">
        <v>0</v>
      </c>
      <c r="AC163">
        <v>447.93</v>
      </c>
      <c r="AD163">
        <v>290.87</v>
      </c>
      <c r="AE163">
        <v>161.16</v>
      </c>
      <c r="AF163" t="e">
        <v>#N/A</v>
      </c>
      <c r="AG163">
        <v>75.62</v>
      </c>
      <c r="AH163">
        <v>1395.95</v>
      </c>
      <c r="AI163">
        <v>2038.36</v>
      </c>
      <c r="AJ163">
        <v>0</v>
      </c>
      <c r="AK163">
        <v>0</v>
      </c>
      <c r="AL163">
        <v>58.9</v>
      </c>
      <c r="AM163">
        <v>420.37</v>
      </c>
      <c r="AN163" t="e">
        <v>#N/A</v>
      </c>
      <c r="AO163">
        <v>420.37</v>
      </c>
      <c r="AP163" t="e">
        <v>#N/A</v>
      </c>
      <c r="AQ163">
        <v>2184.0500000000002</v>
      </c>
      <c r="AR163">
        <v>2184.0500000000002</v>
      </c>
      <c r="AS163">
        <v>2.88</v>
      </c>
      <c r="AT163">
        <v>2186.9299999999998</v>
      </c>
      <c r="AU163">
        <v>28.71</v>
      </c>
      <c r="AV163">
        <v>2215.64</v>
      </c>
      <c r="AW163">
        <v>0</v>
      </c>
      <c r="AX163">
        <v>432.74</v>
      </c>
      <c r="AY163">
        <v>776.35</v>
      </c>
      <c r="AZ163">
        <v>59.8</v>
      </c>
      <c r="BA163">
        <v>191.15</v>
      </c>
      <c r="BB163">
        <v>5.05</v>
      </c>
      <c r="BC163" t="e">
        <v>#N/A</v>
      </c>
      <c r="BD163">
        <v>39.97</v>
      </c>
      <c r="BE163">
        <v>399.61</v>
      </c>
      <c r="BF163">
        <v>1904.67</v>
      </c>
      <c r="BG163">
        <v>310.97000000000003</v>
      </c>
      <c r="BH163">
        <v>322.87</v>
      </c>
      <c r="BI163">
        <v>0</v>
      </c>
      <c r="BJ163">
        <v>78.08</v>
      </c>
      <c r="BK163">
        <v>1.9</v>
      </c>
      <c r="BL163" t="e">
        <v>#N/A</v>
      </c>
      <c r="BM163">
        <v>79.98</v>
      </c>
      <c r="BN163">
        <v>242.89</v>
      </c>
      <c r="BO163">
        <v>242.89</v>
      </c>
      <c r="BP163">
        <v>236.78</v>
      </c>
      <c r="BQ163">
        <v>0</v>
      </c>
      <c r="BR163" t="e">
        <v>#N/A</v>
      </c>
      <c r="BS163" t="e">
        <v>#N/A</v>
      </c>
    </row>
    <row r="164" spans="1:71" x14ac:dyDescent="0.25">
      <c r="A164" t="s">
        <v>166</v>
      </c>
      <c r="B164">
        <v>4</v>
      </c>
      <c r="C164">
        <v>2020</v>
      </c>
      <c r="D164">
        <v>13.86</v>
      </c>
      <c r="E164">
        <v>13.86</v>
      </c>
      <c r="F164">
        <v>1290.25</v>
      </c>
      <c r="G164">
        <v>1292.4000000000001</v>
      </c>
      <c r="H164">
        <v>1306.26</v>
      </c>
      <c r="I164">
        <v>0</v>
      </c>
      <c r="J164">
        <v>24.74</v>
      </c>
      <c r="K164">
        <v>4.45</v>
      </c>
      <c r="L164">
        <v>80.73</v>
      </c>
      <c r="M164">
        <v>0</v>
      </c>
      <c r="N164">
        <v>197.78</v>
      </c>
      <c r="O164">
        <v>195.7</v>
      </c>
      <c r="P164">
        <v>18.59</v>
      </c>
      <c r="Q164">
        <v>412.07</v>
      </c>
      <c r="R164">
        <v>1801.47</v>
      </c>
      <c r="S164">
        <v>0</v>
      </c>
      <c r="T164">
        <v>0</v>
      </c>
      <c r="U164">
        <v>444.38</v>
      </c>
      <c r="V164">
        <v>5.73</v>
      </c>
      <c r="W164">
        <v>453.07</v>
      </c>
      <c r="X164" t="e">
        <v>#N/A</v>
      </c>
      <c r="Y164" t="e">
        <v>#N/A</v>
      </c>
      <c r="Z164">
        <v>35.130000000000003</v>
      </c>
      <c r="AA164">
        <v>613.37</v>
      </c>
      <c r="AB164">
        <v>0</v>
      </c>
      <c r="AC164">
        <v>470.64</v>
      </c>
      <c r="AD164">
        <v>278.10000000000002</v>
      </c>
      <c r="AE164">
        <v>57.57</v>
      </c>
      <c r="AF164" t="e">
        <v>#N/A</v>
      </c>
      <c r="AG164">
        <v>50.84</v>
      </c>
      <c r="AH164">
        <v>1188.0999999999999</v>
      </c>
      <c r="AI164">
        <v>1801.47</v>
      </c>
      <c r="AJ164">
        <v>0</v>
      </c>
      <c r="AK164">
        <v>0</v>
      </c>
      <c r="AL164">
        <v>39.700000000000003</v>
      </c>
      <c r="AM164">
        <v>330.95</v>
      </c>
      <c r="AN164" t="e">
        <v>#N/A</v>
      </c>
      <c r="AO164">
        <v>330.95</v>
      </c>
      <c r="AP164" t="e">
        <v>#N/A</v>
      </c>
      <c r="AQ164">
        <v>2064.04</v>
      </c>
      <c r="AR164">
        <v>2064.04</v>
      </c>
      <c r="AS164">
        <v>8.9499999999999993</v>
      </c>
      <c r="AT164">
        <v>2072.9899999999998</v>
      </c>
      <c r="AU164">
        <v>24.66</v>
      </c>
      <c r="AV164">
        <v>2097.65</v>
      </c>
      <c r="AW164">
        <v>0</v>
      </c>
      <c r="AX164">
        <v>426.35</v>
      </c>
      <c r="AY164">
        <v>777.47</v>
      </c>
      <c r="AZ164">
        <v>0.8</v>
      </c>
      <c r="BA164">
        <v>189.27</v>
      </c>
      <c r="BB164">
        <v>5.46</v>
      </c>
      <c r="BC164" t="e">
        <v>#N/A</v>
      </c>
      <c r="BD164">
        <v>36.58</v>
      </c>
      <c r="BE164">
        <v>415.63</v>
      </c>
      <c r="BF164">
        <v>1851.56</v>
      </c>
      <c r="BG164">
        <v>246.09</v>
      </c>
      <c r="BH164">
        <v>234.4</v>
      </c>
      <c r="BI164">
        <v>0</v>
      </c>
      <c r="BJ164">
        <v>61.3</v>
      </c>
      <c r="BK164">
        <v>-11.44</v>
      </c>
      <c r="BL164" t="e">
        <v>#N/A</v>
      </c>
      <c r="BM164">
        <v>49.86</v>
      </c>
      <c r="BN164">
        <v>184.54</v>
      </c>
      <c r="BO164">
        <v>184.54</v>
      </c>
      <c r="BP164">
        <v>184.54</v>
      </c>
      <c r="BQ164">
        <v>50.13</v>
      </c>
      <c r="BR164" t="e">
        <v>#N/A</v>
      </c>
      <c r="BS164" t="e">
        <v>#N/A</v>
      </c>
    </row>
    <row r="165" spans="1:71" x14ac:dyDescent="0.25">
      <c r="A165" t="s">
        <v>166</v>
      </c>
      <c r="B165">
        <v>5</v>
      </c>
      <c r="C165">
        <v>2019</v>
      </c>
      <c r="D165">
        <v>11.56</v>
      </c>
      <c r="E165">
        <v>11.56</v>
      </c>
      <c r="F165">
        <v>1152.58</v>
      </c>
      <c r="G165">
        <v>1154.73</v>
      </c>
      <c r="H165">
        <v>1166.29</v>
      </c>
      <c r="I165">
        <v>0</v>
      </c>
      <c r="J165">
        <v>0</v>
      </c>
      <c r="K165">
        <v>2.98</v>
      </c>
      <c r="L165">
        <v>101.61</v>
      </c>
      <c r="M165">
        <v>0</v>
      </c>
      <c r="N165">
        <v>203.25</v>
      </c>
      <c r="O165">
        <v>162</v>
      </c>
      <c r="P165">
        <v>18.75</v>
      </c>
      <c r="Q165">
        <v>384</v>
      </c>
      <c r="R165">
        <v>1651.9</v>
      </c>
      <c r="S165">
        <v>0</v>
      </c>
      <c r="T165">
        <v>0</v>
      </c>
      <c r="U165">
        <v>370.83</v>
      </c>
      <c r="V165">
        <v>20.6</v>
      </c>
      <c r="W165">
        <v>394.8</v>
      </c>
      <c r="X165" t="e">
        <v>#N/A</v>
      </c>
      <c r="Y165" t="e">
        <v>#N/A</v>
      </c>
      <c r="Z165">
        <v>31.42</v>
      </c>
      <c r="AA165">
        <v>580.39</v>
      </c>
      <c r="AB165">
        <v>0</v>
      </c>
      <c r="AC165">
        <v>471.37</v>
      </c>
      <c r="AD165">
        <v>305.08</v>
      </c>
      <c r="AE165">
        <v>81.05</v>
      </c>
      <c r="AF165" t="e">
        <v>#N/A</v>
      </c>
      <c r="AG165">
        <v>48.48</v>
      </c>
      <c r="AH165">
        <v>1071.51</v>
      </c>
      <c r="AI165">
        <v>1651.9</v>
      </c>
      <c r="AJ165">
        <v>0</v>
      </c>
      <c r="AK165">
        <v>0</v>
      </c>
      <c r="AL165">
        <v>78.23</v>
      </c>
      <c r="AM165">
        <v>165.53</v>
      </c>
      <c r="AN165" t="e">
        <v>#N/A</v>
      </c>
      <c r="AO165">
        <v>165.53</v>
      </c>
      <c r="AP165" t="e">
        <v>#N/A</v>
      </c>
      <c r="AQ165">
        <v>2096.2600000000002</v>
      </c>
      <c r="AR165">
        <v>2096.2600000000002</v>
      </c>
      <c r="AS165">
        <v>10.65</v>
      </c>
      <c r="AT165">
        <v>2106.91</v>
      </c>
      <c r="AU165">
        <v>25.24</v>
      </c>
      <c r="AV165">
        <v>2132.15</v>
      </c>
      <c r="AW165">
        <v>0</v>
      </c>
      <c r="AX165">
        <v>477.14</v>
      </c>
      <c r="AY165">
        <v>774.08</v>
      </c>
      <c r="AZ165">
        <v>-30.64</v>
      </c>
      <c r="BA165">
        <v>185.98</v>
      </c>
      <c r="BB165">
        <v>4.5</v>
      </c>
      <c r="BC165" t="e">
        <v>#N/A</v>
      </c>
      <c r="BD165">
        <v>26.46</v>
      </c>
      <c r="BE165">
        <v>408.33</v>
      </c>
      <c r="BF165">
        <v>1845.85</v>
      </c>
      <c r="BG165">
        <v>286.3</v>
      </c>
      <c r="BH165">
        <v>286.3</v>
      </c>
      <c r="BI165">
        <v>0</v>
      </c>
      <c r="BJ165">
        <v>91.22</v>
      </c>
      <c r="BK165">
        <v>2.73</v>
      </c>
      <c r="BL165" t="e">
        <v>#N/A</v>
      </c>
      <c r="BM165">
        <v>93.95</v>
      </c>
      <c r="BN165">
        <v>192.35</v>
      </c>
      <c r="BO165">
        <v>192.35</v>
      </c>
      <c r="BP165">
        <v>192.35</v>
      </c>
      <c r="BQ165">
        <v>41.78</v>
      </c>
      <c r="BR165" t="e">
        <v>#N/A</v>
      </c>
      <c r="BS165" t="e">
        <v>#N/A</v>
      </c>
    </row>
    <row r="166" spans="1:71" x14ac:dyDescent="0.25">
      <c r="A166" t="s">
        <v>166</v>
      </c>
      <c r="B166">
        <v>6</v>
      </c>
      <c r="C166">
        <v>2018</v>
      </c>
      <c r="D166">
        <v>11.56</v>
      </c>
      <c r="E166">
        <v>11.56</v>
      </c>
      <c r="F166">
        <v>1008.12</v>
      </c>
      <c r="G166">
        <v>1008.12</v>
      </c>
      <c r="H166">
        <v>1019.68</v>
      </c>
      <c r="I166">
        <v>0</v>
      </c>
      <c r="J166">
        <v>0</v>
      </c>
      <c r="K166">
        <v>5.37</v>
      </c>
      <c r="L166">
        <v>139.31</v>
      </c>
      <c r="M166">
        <v>0</v>
      </c>
      <c r="N166">
        <v>238.41</v>
      </c>
      <c r="O166">
        <v>118.57</v>
      </c>
      <c r="P166">
        <v>16.399999999999999</v>
      </c>
      <c r="Q166">
        <v>410.29</v>
      </c>
      <c r="R166">
        <v>1569.28</v>
      </c>
      <c r="S166">
        <v>0</v>
      </c>
      <c r="T166">
        <v>0</v>
      </c>
      <c r="U166">
        <v>358.74</v>
      </c>
      <c r="V166">
        <v>4.33</v>
      </c>
      <c r="W166">
        <v>363.96</v>
      </c>
      <c r="X166" t="e">
        <v>#N/A</v>
      </c>
      <c r="Y166" t="e">
        <v>#N/A</v>
      </c>
      <c r="Z166">
        <v>27.56</v>
      </c>
      <c r="AA166">
        <v>522</v>
      </c>
      <c r="AB166">
        <v>0</v>
      </c>
      <c r="AC166">
        <v>437.19</v>
      </c>
      <c r="AD166">
        <v>258.29000000000002</v>
      </c>
      <c r="AE166">
        <v>135.52000000000001</v>
      </c>
      <c r="AF166" t="e">
        <v>#N/A</v>
      </c>
      <c r="AG166">
        <v>49.34</v>
      </c>
      <c r="AH166">
        <v>1047.28</v>
      </c>
      <c r="AI166">
        <v>1569.28</v>
      </c>
      <c r="AJ166">
        <v>0</v>
      </c>
      <c r="AK166">
        <v>0</v>
      </c>
      <c r="AL166">
        <v>40.39</v>
      </c>
      <c r="AM166">
        <v>166.94</v>
      </c>
      <c r="AN166" t="e">
        <v>#N/A</v>
      </c>
      <c r="AO166">
        <v>0</v>
      </c>
      <c r="AP166" t="e">
        <v>#N/A</v>
      </c>
      <c r="AQ166">
        <v>1871.35</v>
      </c>
      <c r="AR166">
        <v>1871.35</v>
      </c>
      <c r="AS166">
        <v>0</v>
      </c>
      <c r="AT166">
        <v>1871.35</v>
      </c>
      <c r="AU166">
        <v>12.43</v>
      </c>
      <c r="AV166">
        <v>1883.78</v>
      </c>
      <c r="AW166">
        <v>0</v>
      </c>
      <c r="AX166">
        <v>415.58</v>
      </c>
      <c r="AY166">
        <v>701.33</v>
      </c>
      <c r="AZ166">
        <v>-34.799999999999997</v>
      </c>
      <c r="BA166">
        <v>158.63999999999999</v>
      </c>
      <c r="BB166">
        <v>4.09</v>
      </c>
      <c r="BC166" t="e">
        <v>#N/A</v>
      </c>
      <c r="BD166">
        <v>25.61</v>
      </c>
      <c r="BE166">
        <v>310.23</v>
      </c>
      <c r="BF166">
        <v>1653.61</v>
      </c>
      <c r="BG166">
        <v>230.17</v>
      </c>
      <c r="BH166">
        <v>359.13</v>
      </c>
      <c r="BI166">
        <v>0</v>
      </c>
      <c r="BJ166">
        <v>92.67</v>
      </c>
      <c r="BK166">
        <v>2.97</v>
      </c>
      <c r="BL166" t="e">
        <v>#N/A</v>
      </c>
      <c r="BM166">
        <v>95.64</v>
      </c>
      <c r="BN166">
        <v>263.49</v>
      </c>
      <c r="BO166">
        <v>263.49</v>
      </c>
      <c r="BP166">
        <v>263.49</v>
      </c>
      <c r="BQ166">
        <v>37.72</v>
      </c>
      <c r="BR166" t="e">
        <v>#N/A</v>
      </c>
      <c r="BS166" t="e">
        <v>#N/A</v>
      </c>
    </row>
  </sheetData>
  <autoFilter ref="A1:BS166" xr:uid="{397FF699-B0FC-4FEB-B40B-65C241BC4D7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930C-C23D-4927-86C7-BB880EAD6FA1}">
  <sheetPr codeName="Sheet1"/>
  <dimension ref="A1:M145"/>
  <sheetViews>
    <sheetView zoomScale="115" zoomScaleNormal="115" workbookViewId="0">
      <selection activeCell="H9" sqref="H9"/>
    </sheetView>
  </sheetViews>
  <sheetFormatPr defaultRowHeight="15" x14ac:dyDescent="0.25"/>
  <cols>
    <col min="8" max="8" width="55.28515625" bestFit="1" customWidth="1"/>
  </cols>
  <sheetData>
    <row r="1" spans="1:13" x14ac:dyDescent="0.25">
      <c r="A1" t="s">
        <v>0</v>
      </c>
      <c r="B1" t="s">
        <v>1</v>
      </c>
      <c r="H1" t="str">
        <f>A1</f>
        <v>Nestle India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96.42</v>
      </c>
      <c r="J4">
        <f>VLOOKUP(H4,$A$1:F$161,J$2,0)</f>
        <v>96.42</v>
      </c>
      <c r="K4">
        <f>VLOOKUP(H4,$A$1:F$161,K$2,0)</f>
        <v>96.42</v>
      </c>
      <c r="L4">
        <f>VLOOKUP(H4,$A$1:F$161,L$2,0)</f>
        <v>96.42</v>
      </c>
      <c r="M4">
        <f>VLOOKUP(H4,$A$1:F$161,M$2,0)</f>
        <v>96.42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96.42</v>
      </c>
      <c r="J5">
        <f>VLOOKUP(H5,$A$1:F$161,J$2,0)</f>
        <v>96.42</v>
      </c>
      <c r="K5">
        <f>VLOOKUP(H5,$A$1:F$161,K$2,0)</f>
        <v>96.42</v>
      </c>
      <c r="L5">
        <f>VLOOKUP(H5,$A$1:F$161,L$2,0)</f>
        <v>96.42</v>
      </c>
      <c r="M5">
        <f>VLOOKUP(H5,$A$1:F$161,M$2,0)</f>
        <v>96.42</v>
      </c>
    </row>
    <row r="6" spans="1:13" x14ac:dyDescent="0.25">
      <c r="H6" t="s">
        <v>10</v>
      </c>
      <c r="I6">
        <f>VLOOKUP(H6,$A$1:F$161,I$2,0)</f>
        <v>1988.06</v>
      </c>
      <c r="J6">
        <f>VLOOKUP(H6,$A$1:F$161,J$2,0)</f>
        <v>1922.92</v>
      </c>
      <c r="K6">
        <f>VLOOKUP(H6,$A$1:F$161,K$2,0)</f>
        <v>1822.45</v>
      </c>
      <c r="L6">
        <f>VLOOKUP(H6,$A$1:F$161,L$2,0)</f>
        <v>3577.32</v>
      </c>
      <c r="M6">
        <f>VLOOKUP(H6,$A$1:F$161,M$2,0)</f>
        <v>3324.17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1988.06</v>
      </c>
      <c r="J7">
        <f>VLOOKUP(H7,$A$1:F$161,J$2,0)</f>
        <v>1922.92</v>
      </c>
      <c r="K7">
        <f>VLOOKUP(H7,$A$1:F$161,K$2,0)</f>
        <v>1822.45</v>
      </c>
      <c r="L7">
        <f>VLOOKUP(H7,$A$1:F$161,L$2,0)</f>
        <v>3577.32</v>
      </c>
      <c r="M7">
        <f>VLOOKUP(H7,$A$1:F$161,M$2,0)</f>
        <v>3324.17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2084.48</v>
      </c>
      <c r="J8">
        <f>VLOOKUP(H8,$A$1:F$161,J$2,0)</f>
        <v>2019.34</v>
      </c>
      <c r="K8">
        <f>VLOOKUP(H8,$A$1:F$161,K$2,0)</f>
        <v>1918.87</v>
      </c>
      <c r="L8">
        <f>VLOOKUP(H8,$A$1:F$161,L$2,0)</f>
        <v>3673.74</v>
      </c>
      <c r="M8">
        <f>VLOOKUP(H8,$A$1:F$161,M$2,0)</f>
        <v>3420.59</v>
      </c>
    </row>
    <row r="9" spans="1:13" x14ac:dyDescent="0.25">
      <c r="A9" t="s">
        <v>8</v>
      </c>
      <c r="B9">
        <v>96.42</v>
      </c>
      <c r="C9">
        <v>96.42</v>
      </c>
      <c r="D9">
        <v>96.42</v>
      </c>
      <c r="E9">
        <v>96.42</v>
      </c>
      <c r="F9">
        <v>96.42</v>
      </c>
      <c r="H9" t="s">
        <v>14</v>
      </c>
      <c r="I9">
        <f>VLOOKUP(H9,$A$1:F$161,I$2,0)</f>
        <v>27.47</v>
      </c>
      <c r="J9">
        <f>VLOOKUP(H9,$A$1:F$161,J$2,0)</f>
        <v>31.72</v>
      </c>
      <c r="K9">
        <f>VLOOKUP(H9,$A$1:F$161,K$2,0)</f>
        <v>53.14</v>
      </c>
      <c r="L9">
        <f>VLOOKUP(H9,$A$1:F$161,L$2,0)</f>
        <v>35.14</v>
      </c>
      <c r="M9">
        <f>VLOOKUP(H9,$A$1:F$161,M$2,0)</f>
        <v>35.14</v>
      </c>
    </row>
    <row r="10" spans="1:13" x14ac:dyDescent="0.25">
      <c r="A10" t="s">
        <v>9</v>
      </c>
      <c r="B10">
        <v>96.42</v>
      </c>
      <c r="C10">
        <v>96.42</v>
      </c>
      <c r="D10">
        <v>96.42</v>
      </c>
      <c r="E10">
        <v>96.42</v>
      </c>
      <c r="F10">
        <v>96.42</v>
      </c>
      <c r="H10" t="s">
        <v>16</v>
      </c>
      <c r="I10">
        <f>VLOOKUP(H10,$A$1:F$161,I$2,0)</f>
        <v>210.2</v>
      </c>
      <c r="J10">
        <f>VLOOKUP(H10,$A$1:F$161,J$2,0)</f>
        <v>87.85</v>
      </c>
      <c r="K10">
        <f>VLOOKUP(H10,$A$1:F$161,K$2,0)</f>
        <v>90.03</v>
      </c>
      <c r="L10">
        <f>VLOOKUP(H10,$A$1:F$161,L$2,0)</f>
        <v>0.51</v>
      </c>
      <c r="M10">
        <f>VLOOKUP(H10,$A$1:F$161,M$2,0)</f>
        <v>0.6</v>
      </c>
    </row>
    <row r="11" spans="1:13" x14ac:dyDescent="0.25">
      <c r="A11" t="s">
        <v>10</v>
      </c>
      <c r="B11">
        <v>1988.06</v>
      </c>
      <c r="C11">
        <v>1922.92</v>
      </c>
      <c r="D11">
        <v>1822.45</v>
      </c>
      <c r="E11">
        <v>3577.32</v>
      </c>
      <c r="F11">
        <v>3324.17</v>
      </c>
      <c r="H11" t="s">
        <v>17</v>
      </c>
      <c r="I11">
        <f>VLOOKUP(H11,$A$1:F$161,I$2,0)</f>
        <v>3284.54</v>
      </c>
      <c r="J11">
        <f>VLOOKUP(H11,$A$1:F$161,J$2,0)</f>
        <v>3268.27</v>
      </c>
      <c r="K11">
        <f>VLOOKUP(H11,$A$1:F$161,K$2,0)</f>
        <v>2906.91</v>
      </c>
      <c r="L11">
        <f>VLOOKUP(H11,$A$1:F$161,L$2,0)</f>
        <v>2464.92</v>
      </c>
      <c r="M11">
        <f>VLOOKUP(H11,$A$1:F$161,M$2,0)</f>
        <v>2291.59</v>
      </c>
    </row>
    <row r="12" spans="1:13" x14ac:dyDescent="0.25">
      <c r="A12" t="s">
        <v>11</v>
      </c>
      <c r="B12">
        <v>1988.06</v>
      </c>
      <c r="C12">
        <v>1922.92</v>
      </c>
      <c r="D12">
        <v>1822.45</v>
      </c>
      <c r="E12">
        <v>3577.32</v>
      </c>
      <c r="F12">
        <v>3324.17</v>
      </c>
      <c r="H12" t="s">
        <v>18</v>
      </c>
      <c r="I12">
        <f>VLOOKUP(H12,$A$1:F$161,I$2,0)</f>
        <v>3522.21</v>
      </c>
      <c r="J12">
        <f>VLOOKUP(H12,$A$1:F$161,J$2,0)</f>
        <v>3387.84</v>
      </c>
      <c r="K12">
        <f>VLOOKUP(H12,$A$1:F$161,K$2,0)</f>
        <v>3063.52</v>
      </c>
      <c r="L12">
        <f>VLOOKUP(H12,$A$1:F$161,L$2,0)</f>
        <v>2559.39</v>
      </c>
      <c r="M12">
        <f>VLOOKUP(H12,$A$1:F$161,M$2,0)</f>
        <v>2449.29</v>
      </c>
    </row>
    <row r="13" spans="1:13" x14ac:dyDescent="0.25">
      <c r="A13" t="s">
        <v>12</v>
      </c>
      <c r="B13">
        <v>2084.48</v>
      </c>
      <c r="C13">
        <v>2019.34</v>
      </c>
      <c r="D13">
        <v>1918.87</v>
      </c>
      <c r="E13">
        <v>3673.74</v>
      </c>
      <c r="F13">
        <v>3420.59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1889.66</v>
      </c>
      <c r="J14">
        <f>VLOOKUP(H14,$A$1:F$161,J$2,0)</f>
        <v>1809.01</v>
      </c>
      <c r="K14">
        <f>VLOOKUP(H14,$A$1:F$161,K$2,0)</f>
        <v>1626.58</v>
      </c>
      <c r="L14">
        <f>VLOOKUP(H14,$A$1:F$161,L$2,0)</f>
        <v>1240.3699999999999</v>
      </c>
      <c r="M14">
        <f>VLOOKUP(H14,$A$1:F$161,M$2,0)</f>
        <v>984.64</v>
      </c>
    </row>
    <row r="15" spans="1:13" x14ac:dyDescent="0.25">
      <c r="A15" t="s">
        <v>14</v>
      </c>
      <c r="B15">
        <v>27.47</v>
      </c>
      <c r="C15">
        <v>31.72</v>
      </c>
      <c r="D15">
        <v>53.14</v>
      </c>
      <c r="E15">
        <v>35.14</v>
      </c>
      <c r="F15">
        <v>35.14</v>
      </c>
      <c r="H15" t="s">
        <v>22</v>
      </c>
      <c r="I15">
        <f>VLOOKUP(H15,$A$1:F$161,I$2,0)</f>
        <v>568.45000000000005</v>
      </c>
      <c r="J15">
        <f>VLOOKUP(H15,$A$1:F$161,J$2,0)</f>
        <v>574.46</v>
      </c>
      <c r="K15">
        <f>VLOOKUP(H15,$A$1:F$161,K$2,0)</f>
        <v>478.51</v>
      </c>
      <c r="L15">
        <f>VLOOKUP(H15,$A$1:F$161,L$2,0)</f>
        <v>457.32</v>
      </c>
      <c r="M15">
        <f>VLOOKUP(H15,$A$1:F$161,M$2,0)</f>
        <v>420.61</v>
      </c>
    </row>
    <row r="16" spans="1:13" x14ac:dyDescent="0.25">
      <c r="A16" t="s">
        <v>15</v>
      </c>
      <c r="B16">
        <v>0</v>
      </c>
      <c r="C16">
        <v>0</v>
      </c>
      <c r="D16">
        <v>13.44</v>
      </c>
      <c r="E16">
        <v>58.82</v>
      </c>
      <c r="F16">
        <v>121.96</v>
      </c>
      <c r="H16" t="s">
        <v>23</v>
      </c>
      <c r="I16">
        <f>VLOOKUP(H16,$A$1:F$161,I$2,0)</f>
        <v>138.54</v>
      </c>
      <c r="J16">
        <f>VLOOKUP(H16,$A$1:F$161,J$2,0)</f>
        <v>105.96</v>
      </c>
      <c r="K16">
        <f>VLOOKUP(H16,$A$1:F$161,K$2,0)</f>
        <v>85.46</v>
      </c>
      <c r="L16">
        <f>VLOOKUP(H16,$A$1:F$161,L$2,0)</f>
        <v>157.26</v>
      </c>
      <c r="M16">
        <f>VLOOKUP(H16,$A$1:F$161,M$2,0)</f>
        <v>87.46</v>
      </c>
    </row>
    <row r="17" spans="1:13" x14ac:dyDescent="0.25">
      <c r="A17" t="s">
        <v>16</v>
      </c>
      <c r="B17">
        <v>210.2</v>
      </c>
      <c r="C17">
        <v>87.85</v>
      </c>
      <c r="D17">
        <v>90.03</v>
      </c>
      <c r="E17">
        <v>0.51</v>
      </c>
      <c r="F17">
        <v>0.6</v>
      </c>
      <c r="H17" t="s">
        <v>24</v>
      </c>
      <c r="I17">
        <f>VLOOKUP(H17,$A$1:F$161,I$2,0)</f>
        <v>2603.2399999999998</v>
      </c>
      <c r="J17">
        <f>VLOOKUP(H17,$A$1:F$161,J$2,0)</f>
        <v>2492.5500000000002</v>
      </c>
      <c r="K17">
        <f>VLOOKUP(H17,$A$1:F$161,K$2,0)</f>
        <v>2190.5500000000002</v>
      </c>
      <c r="L17">
        <f>VLOOKUP(H17,$A$1:F$161,L$2,0)</f>
        <v>1854.95</v>
      </c>
      <c r="M17">
        <f>VLOOKUP(H17,$A$1:F$161,M$2,0)</f>
        <v>1492.71</v>
      </c>
    </row>
    <row r="18" spans="1:13" x14ac:dyDescent="0.25">
      <c r="A18" t="s">
        <v>17</v>
      </c>
      <c r="B18">
        <v>3284.54</v>
      </c>
      <c r="C18">
        <v>3268.27</v>
      </c>
      <c r="D18">
        <v>2906.91</v>
      </c>
      <c r="E18">
        <v>2464.92</v>
      </c>
      <c r="F18">
        <v>2291.59</v>
      </c>
      <c r="H18" t="s">
        <v>25</v>
      </c>
      <c r="I18">
        <f>VLOOKUP(H18,$A$1:F$161,I$2,0)</f>
        <v>8209.93</v>
      </c>
      <c r="J18">
        <f>VLOOKUP(H18,$A$1:F$161,J$2,0)</f>
        <v>7899.73</v>
      </c>
      <c r="K18">
        <f>VLOOKUP(H18,$A$1:F$161,K$2,0)</f>
        <v>7172.94</v>
      </c>
      <c r="L18">
        <f>VLOOKUP(H18,$A$1:F$161,L$2,0)</f>
        <v>8088.08</v>
      </c>
      <c r="M18">
        <f>VLOOKUP(H18,$A$1:F$161,M$2,0)</f>
        <v>7362.59</v>
      </c>
    </row>
    <row r="19" spans="1:13" x14ac:dyDescent="0.25">
      <c r="A19" t="s">
        <v>18</v>
      </c>
      <c r="B19">
        <v>3522.21</v>
      </c>
      <c r="C19">
        <v>3387.84</v>
      </c>
      <c r="D19">
        <v>3063.52</v>
      </c>
      <c r="E19">
        <v>2559.39</v>
      </c>
      <c r="F19">
        <v>2449.29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6.59</v>
      </c>
      <c r="C21">
        <v>3.12</v>
      </c>
      <c r="D21">
        <v>0</v>
      </c>
      <c r="E21">
        <v>0</v>
      </c>
      <c r="F21">
        <v>0</v>
      </c>
      <c r="H21" t="s">
        <v>28</v>
      </c>
      <c r="I21">
        <f>VLOOKUP(H21,$A$1:F$161,I$2,0)</f>
        <v>2993.97</v>
      </c>
      <c r="J21">
        <f>VLOOKUP(H21,$A$1:F$161,J$2,0)</f>
        <v>2179.41</v>
      </c>
      <c r="K21">
        <f>VLOOKUP(H21,$A$1:F$161,K$2,0)</f>
        <v>2341.4499999999998</v>
      </c>
      <c r="L21">
        <f>VLOOKUP(H21,$A$1:F$161,L$2,0)</f>
        <v>2400.62</v>
      </c>
      <c r="M21">
        <f>VLOOKUP(H21,$A$1:F$161,M$2,0)</f>
        <v>2616.1799999999998</v>
      </c>
    </row>
    <row r="22" spans="1:13" x14ac:dyDescent="0.25">
      <c r="A22" t="s">
        <v>21</v>
      </c>
      <c r="B22">
        <v>1889.66</v>
      </c>
      <c r="C22">
        <v>1809.01</v>
      </c>
      <c r="D22">
        <v>1626.58</v>
      </c>
      <c r="E22">
        <v>1240.3699999999999</v>
      </c>
      <c r="F22">
        <v>984.64</v>
      </c>
      <c r="H22" t="s">
        <v>29</v>
      </c>
      <c r="I22">
        <f>VLOOKUP(H22,$A$1:F$161,I$2,0)</f>
        <v>246.23</v>
      </c>
      <c r="J22">
        <f>VLOOKUP(H22,$A$1:F$161,J$2,0)</f>
        <v>638.58000000000004</v>
      </c>
      <c r="K22">
        <f>VLOOKUP(H22,$A$1:F$161,K$2,0)</f>
        <v>143.30000000000001</v>
      </c>
      <c r="L22">
        <f>VLOOKUP(H22,$A$1:F$161,L$2,0)</f>
        <v>105.2</v>
      </c>
      <c r="M22">
        <f>VLOOKUP(H22,$A$1:F$161,M$2,0)</f>
        <v>94.16</v>
      </c>
    </row>
    <row r="23" spans="1:13" x14ac:dyDescent="0.25">
      <c r="A23" t="s">
        <v>22</v>
      </c>
      <c r="B23">
        <v>568.45000000000005</v>
      </c>
      <c r="C23">
        <v>574.46</v>
      </c>
      <c r="D23">
        <v>478.51</v>
      </c>
      <c r="E23">
        <v>457.32</v>
      </c>
      <c r="F23">
        <v>420.61</v>
      </c>
      <c r="H23" t="s">
        <v>30</v>
      </c>
      <c r="I23">
        <f>VLOOKUP(H23,$A$1:F$161,I$2,0)</f>
        <v>3240.2</v>
      </c>
      <c r="J23">
        <f>VLOOKUP(H23,$A$1:F$161,J$2,0)</f>
        <v>2817.99</v>
      </c>
      <c r="K23">
        <f>VLOOKUP(H23,$A$1:F$161,K$2,0)</f>
        <v>2484.75</v>
      </c>
      <c r="L23">
        <f>VLOOKUP(H23,$A$1:F$161,L$2,0)</f>
        <v>2505.8200000000002</v>
      </c>
      <c r="M23">
        <f>VLOOKUP(H23,$A$1:F$161,M$2,0)</f>
        <v>2710.34</v>
      </c>
    </row>
    <row r="24" spans="1:13" x14ac:dyDescent="0.25">
      <c r="A24" t="s">
        <v>23</v>
      </c>
      <c r="B24">
        <v>138.54</v>
      </c>
      <c r="C24">
        <v>105.96</v>
      </c>
      <c r="D24">
        <v>85.46</v>
      </c>
      <c r="E24">
        <v>157.26</v>
      </c>
      <c r="F24">
        <v>87.46</v>
      </c>
      <c r="H24" t="s">
        <v>32</v>
      </c>
      <c r="I24">
        <f>VLOOKUP(H24,$A$1:F$161,I$2,0)</f>
        <v>25.84</v>
      </c>
      <c r="J24">
        <f>VLOOKUP(H24,$A$1:F$161,J$2,0)</f>
        <v>19.920000000000002</v>
      </c>
      <c r="K24">
        <f>VLOOKUP(H24,$A$1:F$161,K$2,0)</f>
        <v>0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24</v>
      </c>
      <c r="B25">
        <v>2603.2399999999998</v>
      </c>
      <c r="C25">
        <v>2492.5500000000002</v>
      </c>
      <c r="D25">
        <v>2190.5500000000002</v>
      </c>
      <c r="E25">
        <v>1854.95</v>
      </c>
      <c r="F25">
        <v>1492.71</v>
      </c>
      <c r="H25" t="s">
        <v>33</v>
      </c>
      <c r="I25">
        <f>VLOOKUP(H25,$A$1:F$161,I$2,0)</f>
        <v>49.09</v>
      </c>
      <c r="J25">
        <f>VLOOKUP(H25,$A$1:F$161,J$2,0)</f>
        <v>46.55</v>
      </c>
      <c r="K25">
        <f>VLOOKUP(H25,$A$1:F$161,K$2,0)</f>
        <v>46.98</v>
      </c>
      <c r="L25">
        <f>VLOOKUP(H25,$A$1:F$161,L$2,0)</f>
        <v>40.14</v>
      </c>
      <c r="M25">
        <f>VLOOKUP(H25,$A$1:F$161,M$2,0)</f>
        <v>46.35</v>
      </c>
    </row>
    <row r="26" spans="1:13" x14ac:dyDescent="0.25">
      <c r="A26" t="s">
        <v>25</v>
      </c>
      <c r="B26">
        <v>8209.93</v>
      </c>
      <c r="C26">
        <v>7899.73</v>
      </c>
      <c r="D26">
        <v>7172.94</v>
      </c>
      <c r="E26">
        <v>8088.08</v>
      </c>
      <c r="F26">
        <v>7362.59</v>
      </c>
      <c r="H26" t="s">
        <v>34</v>
      </c>
      <c r="I26">
        <f>VLOOKUP(H26,$A$1:F$161,I$2,0)</f>
        <v>1445.34</v>
      </c>
      <c r="J26">
        <f>VLOOKUP(H26,$A$1:F$161,J$2,0)</f>
        <v>89.36</v>
      </c>
      <c r="K26">
        <f>VLOOKUP(H26,$A$1:F$161,K$2,0)</f>
        <v>80.44</v>
      </c>
      <c r="L26">
        <f>VLOOKUP(H26,$A$1:F$161,L$2,0)</f>
        <v>71.81</v>
      </c>
      <c r="M26">
        <f>VLOOKUP(H26,$A$1:F$161,M$2,0)</f>
        <v>83.23</v>
      </c>
    </row>
    <row r="27" spans="1:13" x14ac:dyDescent="0.25">
      <c r="A27" t="s">
        <v>26</v>
      </c>
      <c r="H27" t="s">
        <v>35</v>
      </c>
      <c r="I27">
        <f>VLOOKUP(H27,$A$1:F$161,I$2,0)</f>
        <v>5471.17</v>
      </c>
      <c r="J27">
        <f>VLOOKUP(H27,$A$1:F$161,J$2,0)</f>
        <v>3714.65</v>
      </c>
      <c r="K27">
        <f>VLOOKUP(H27,$A$1:F$161,K$2,0)</f>
        <v>3355.77</v>
      </c>
      <c r="L27">
        <f>VLOOKUP(H27,$A$1:F$161,L$2,0)</f>
        <v>3351.13</v>
      </c>
      <c r="M27">
        <f>VLOOKUP(H27,$A$1:F$161,M$2,0)</f>
        <v>3425.2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2993.97</v>
      </c>
      <c r="C29">
        <v>2179.41</v>
      </c>
      <c r="D29">
        <v>2341.4499999999998</v>
      </c>
      <c r="E29">
        <v>2400.62</v>
      </c>
      <c r="F29">
        <v>2616.1799999999998</v>
      </c>
      <c r="H29" t="s">
        <v>38</v>
      </c>
      <c r="I29">
        <f>VLOOKUP(H29,$A$1:F$161,I$2,0)</f>
        <v>1580.22</v>
      </c>
      <c r="J29">
        <f>VLOOKUP(H29,$A$1:F$161,J$2,0)</f>
        <v>1416.48</v>
      </c>
      <c r="K29">
        <f>VLOOKUP(H29,$A$1:F$161,K$2,0)</f>
        <v>1283.07</v>
      </c>
      <c r="L29">
        <f>VLOOKUP(H29,$A$1:F$161,L$2,0)</f>
        <v>965.55</v>
      </c>
      <c r="M29">
        <f>VLOOKUP(H29,$A$1:F$161,M$2,0)</f>
        <v>902.47</v>
      </c>
    </row>
    <row r="30" spans="1:13" x14ac:dyDescent="0.25">
      <c r="A30" t="s">
        <v>29</v>
      </c>
      <c r="B30">
        <v>246.23</v>
      </c>
      <c r="C30">
        <v>638.58000000000004</v>
      </c>
      <c r="D30">
        <v>143.30000000000001</v>
      </c>
      <c r="E30">
        <v>105.2</v>
      </c>
      <c r="F30">
        <v>94.16</v>
      </c>
      <c r="H30" t="s">
        <v>39</v>
      </c>
      <c r="I30">
        <f>VLOOKUP(H30,$A$1:F$161,I$2,0)</f>
        <v>165.27</v>
      </c>
      <c r="J30">
        <f>VLOOKUP(H30,$A$1:F$161,J$2,0)</f>
        <v>164.93</v>
      </c>
      <c r="K30">
        <f>VLOOKUP(H30,$A$1:F$161,K$2,0)</f>
        <v>124.33</v>
      </c>
      <c r="L30">
        <f>VLOOKUP(H30,$A$1:F$161,L$2,0)</f>
        <v>124.59</v>
      </c>
      <c r="M30">
        <f>VLOOKUP(H30,$A$1:F$161,M$2,0)</f>
        <v>88.97</v>
      </c>
    </row>
    <row r="31" spans="1:13" x14ac:dyDescent="0.25">
      <c r="A31" t="s">
        <v>30</v>
      </c>
      <c r="B31">
        <v>3240.2</v>
      </c>
      <c r="C31">
        <v>2817.99</v>
      </c>
      <c r="D31">
        <v>2484.75</v>
      </c>
      <c r="E31">
        <v>2505.8200000000002</v>
      </c>
      <c r="F31">
        <v>2710.34</v>
      </c>
      <c r="H31" t="s">
        <v>40</v>
      </c>
      <c r="I31">
        <f>VLOOKUP(H31,$A$1:F$161,I$2,0)</f>
        <v>735.41</v>
      </c>
      <c r="J31">
        <f>VLOOKUP(H31,$A$1:F$161,J$2,0)</f>
        <v>1769.87</v>
      </c>
      <c r="K31">
        <f>VLOOKUP(H31,$A$1:F$161,K$2,0)</f>
        <v>1308.05</v>
      </c>
      <c r="L31">
        <f>VLOOKUP(H31,$A$1:F$161,L$2,0)</f>
        <v>1610.06</v>
      </c>
      <c r="M31">
        <f>VLOOKUP(H31,$A$1:F$161,M$2,0)</f>
        <v>1457.42</v>
      </c>
    </row>
    <row r="32" spans="1:13" x14ac:dyDescent="0.25">
      <c r="A32" t="s">
        <v>31</v>
      </c>
      <c r="B32">
        <v>710.7</v>
      </c>
      <c r="C32">
        <v>740.83</v>
      </c>
      <c r="D32">
        <v>743.6</v>
      </c>
      <c r="E32">
        <v>733.36</v>
      </c>
      <c r="F32">
        <v>585.28</v>
      </c>
      <c r="H32" t="s">
        <v>41</v>
      </c>
      <c r="I32">
        <f>VLOOKUP(H32,$A$1:F$161,I$2,0)</f>
        <v>11.85</v>
      </c>
      <c r="J32">
        <f>VLOOKUP(H32,$A$1:F$161,J$2,0)</f>
        <v>13.22</v>
      </c>
      <c r="K32">
        <f>VLOOKUP(H32,$A$1:F$161,K$2,0)</f>
        <v>12.46</v>
      </c>
      <c r="L32">
        <f>VLOOKUP(H32,$A$1:F$161,L$2,0)</f>
        <v>17.89</v>
      </c>
      <c r="M32">
        <f>VLOOKUP(H32,$A$1:F$161,M$2,0)</f>
        <v>28.8</v>
      </c>
    </row>
    <row r="33" spans="1:13" x14ac:dyDescent="0.25">
      <c r="A33" t="s">
        <v>32</v>
      </c>
      <c r="B33">
        <v>25.84</v>
      </c>
      <c r="C33">
        <v>19.920000000000002</v>
      </c>
      <c r="D33">
        <v>0</v>
      </c>
      <c r="E33">
        <v>0</v>
      </c>
      <c r="F33">
        <v>0</v>
      </c>
      <c r="H33" t="s">
        <v>42</v>
      </c>
      <c r="I33">
        <f>VLOOKUP(H33,$A$1:F$161,I$2,0)</f>
        <v>182.73</v>
      </c>
      <c r="J33">
        <f>VLOOKUP(H33,$A$1:F$161,J$2,0)</f>
        <v>97.64</v>
      </c>
      <c r="K33">
        <f>VLOOKUP(H33,$A$1:F$161,K$2,0)</f>
        <v>81.81</v>
      </c>
      <c r="L33">
        <f>VLOOKUP(H33,$A$1:F$161,L$2,0)</f>
        <v>93.73</v>
      </c>
      <c r="M33">
        <f>VLOOKUP(H33,$A$1:F$161,M$2,0)</f>
        <v>66.14</v>
      </c>
    </row>
    <row r="34" spans="1:13" x14ac:dyDescent="0.25">
      <c r="A34" t="s">
        <v>33</v>
      </c>
      <c r="B34">
        <v>49.09</v>
      </c>
      <c r="C34">
        <v>46.55</v>
      </c>
      <c r="D34">
        <v>46.98</v>
      </c>
      <c r="E34">
        <v>40.14</v>
      </c>
      <c r="F34">
        <v>46.35</v>
      </c>
      <c r="H34" t="s">
        <v>43</v>
      </c>
      <c r="I34">
        <f>VLOOKUP(H34,$A$1:F$161,I$2,0)</f>
        <v>2738.76</v>
      </c>
      <c r="J34">
        <f>VLOOKUP(H34,$A$1:F$161,J$2,0)</f>
        <v>4185.08</v>
      </c>
      <c r="K34">
        <f>VLOOKUP(H34,$A$1:F$161,K$2,0)</f>
        <v>3817.17</v>
      </c>
      <c r="L34">
        <f>VLOOKUP(H34,$A$1:F$161,L$2,0)</f>
        <v>4736.95</v>
      </c>
      <c r="M34">
        <f>VLOOKUP(H34,$A$1:F$161,M$2,0)</f>
        <v>3937.39</v>
      </c>
    </row>
    <row r="35" spans="1:13" x14ac:dyDescent="0.25">
      <c r="A35" t="s">
        <v>34</v>
      </c>
      <c r="B35">
        <v>1445.34</v>
      </c>
      <c r="C35">
        <v>89.36</v>
      </c>
      <c r="D35">
        <v>80.44</v>
      </c>
      <c r="E35">
        <v>71.81</v>
      </c>
      <c r="F35">
        <v>83.23</v>
      </c>
      <c r="H35" t="s">
        <v>44</v>
      </c>
      <c r="I35">
        <f>VLOOKUP(H35,$A$1:F$161,I$2,0)</f>
        <v>8209.93</v>
      </c>
      <c r="J35">
        <f>VLOOKUP(H35,$A$1:F$161,J$2,0)</f>
        <v>7899.73</v>
      </c>
      <c r="K35">
        <f>VLOOKUP(H35,$A$1:F$161,K$2,0)</f>
        <v>7172.94</v>
      </c>
      <c r="L35">
        <f>VLOOKUP(H35,$A$1:F$161,L$2,0)</f>
        <v>8088.08</v>
      </c>
      <c r="M35">
        <f>VLOOKUP(H35,$A$1:F$161,M$2,0)</f>
        <v>7362.59</v>
      </c>
    </row>
    <row r="36" spans="1:13" x14ac:dyDescent="0.25">
      <c r="A36" t="s">
        <v>35</v>
      </c>
      <c r="B36">
        <v>5471.17</v>
      </c>
      <c r="C36">
        <v>3714.65</v>
      </c>
      <c r="D36">
        <v>3355.77</v>
      </c>
      <c r="E36">
        <v>3351.13</v>
      </c>
      <c r="F36">
        <v>3425.2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37</v>
      </c>
      <c r="B38">
        <v>63.28</v>
      </c>
      <c r="C38">
        <v>722.94</v>
      </c>
      <c r="D38">
        <v>1007.45</v>
      </c>
      <c r="E38">
        <v>1925.13</v>
      </c>
      <c r="F38">
        <v>1393.59</v>
      </c>
      <c r="H38" t="s">
        <v>47</v>
      </c>
      <c r="I38">
        <f>VLOOKUP(H38,$A$1:F$161,I$2,0)</f>
        <v>187.26</v>
      </c>
      <c r="J38">
        <f>VLOOKUP(H38,$A$1:F$161,J$2,0)</f>
        <v>315.39999999999998</v>
      </c>
      <c r="K38">
        <f>VLOOKUP(H38,$A$1:F$161,K$2,0)</f>
        <v>394.48</v>
      </c>
      <c r="L38">
        <f>VLOOKUP(H38,$A$1:F$161,L$2,0)</f>
        <v>47.91</v>
      </c>
      <c r="M38">
        <f>VLOOKUP(H38,$A$1:F$161,M$2,0)</f>
        <v>32.24</v>
      </c>
    </row>
    <row r="39" spans="1:13" x14ac:dyDescent="0.25">
      <c r="A39" t="s">
        <v>38</v>
      </c>
      <c r="B39">
        <v>1580.22</v>
      </c>
      <c r="C39">
        <v>1416.48</v>
      </c>
      <c r="D39">
        <v>1283.07</v>
      </c>
      <c r="E39">
        <v>965.55</v>
      </c>
      <c r="F39">
        <v>902.47</v>
      </c>
      <c r="H39" t="s">
        <v>62</v>
      </c>
      <c r="I39">
        <f>VLOOKUP(H39,$A$1:F$161,I$2,0)</f>
        <v>63.28</v>
      </c>
      <c r="J39">
        <f>VLOOKUP(H39,$A$1:F$161,J$2,0)</f>
        <v>722.94</v>
      </c>
      <c r="K39">
        <f>VLOOKUP(H39,$A$1:F$161,K$2,0)</f>
        <v>1007.45</v>
      </c>
      <c r="L39">
        <f>VLOOKUP(H39,$A$1:F$161,L$2,0)</f>
        <v>1925.13</v>
      </c>
      <c r="M39">
        <f>VLOOKUP(H39,$A$1:F$161,M$2,0)</f>
        <v>1393.59</v>
      </c>
    </row>
    <row r="40" spans="1:13" x14ac:dyDescent="0.25">
      <c r="A40" t="s">
        <v>39</v>
      </c>
      <c r="B40">
        <v>165.27</v>
      </c>
      <c r="C40">
        <v>164.93</v>
      </c>
      <c r="D40">
        <v>124.33</v>
      </c>
      <c r="E40">
        <v>124.59</v>
      </c>
      <c r="F40">
        <v>88.97</v>
      </c>
      <c r="H40" t="s">
        <v>63</v>
      </c>
      <c r="I40">
        <f>VLOOKUP(H40,$A$1:F$161,I$2,0)</f>
        <v>63.39</v>
      </c>
      <c r="J40">
        <f>VLOOKUP(H40,$A$1:F$161,J$2,0)</f>
        <v>722.94</v>
      </c>
      <c r="K40">
        <f>VLOOKUP(H40,$A$1:F$161,K$2,0)</f>
        <v>1007.39</v>
      </c>
      <c r="L40">
        <f>VLOOKUP(H40,$A$1:F$161,L$2,0)</f>
        <v>1925.13</v>
      </c>
      <c r="M40">
        <f>VLOOKUP(H40,$A$1:F$161,M$2,0)</f>
        <v>1393.46</v>
      </c>
    </row>
    <row r="41" spans="1:13" x14ac:dyDescent="0.25">
      <c r="A41" t="s">
        <v>40</v>
      </c>
      <c r="B41">
        <v>735.41</v>
      </c>
      <c r="C41">
        <v>1769.87</v>
      </c>
      <c r="D41">
        <v>1308.05</v>
      </c>
      <c r="E41">
        <v>1610.06</v>
      </c>
      <c r="F41">
        <v>1457.42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41</v>
      </c>
      <c r="B42">
        <v>11.85</v>
      </c>
      <c r="C42">
        <v>13.22</v>
      </c>
      <c r="D42">
        <v>12.46</v>
      </c>
      <c r="E42">
        <v>17.89</v>
      </c>
      <c r="F42">
        <v>28.8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42</v>
      </c>
      <c r="B43">
        <v>182.73</v>
      </c>
      <c r="C43">
        <v>97.64</v>
      </c>
      <c r="D43">
        <v>81.81</v>
      </c>
      <c r="E43">
        <v>93.73</v>
      </c>
      <c r="F43">
        <v>66.14</v>
      </c>
      <c r="H43" t="s">
        <v>68</v>
      </c>
      <c r="I43">
        <f>VLOOKUP(H43,$A$1:F$161,I$2,0)</f>
        <v>14633.72</v>
      </c>
      <c r="J43">
        <f>VLOOKUP(H43,$A$1:F$161,J$2,0)</f>
        <v>13290.16</v>
      </c>
      <c r="K43">
        <f>VLOOKUP(H43,$A$1:F$161,K$2,0)</f>
        <v>12295.27</v>
      </c>
      <c r="L43">
        <f>VLOOKUP(H43,$A$1:F$161,L$2,0)</f>
        <v>11216.23</v>
      </c>
      <c r="M43">
        <f>VLOOKUP(H43,$A$1:F$161,M$2,0)</f>
        <v>10135.11</v>
      </c>
    </row>
    <row r="44" spans="1:13" x14ac:dyDescent="0.25">
      <c r="A44" t="s">
        <v>43</v>
      </c>
      <c r="B44">
        <v>2738.76</v>
      </c>
      <c r="C44">
        <v>4185.08</v>
      </c>
      <c r="D44">
        <v>3817.17</v>
      </c>
      <c r="E44">
        <v>4736.95</v>
      </c>
      <c r="F44">
        <v>3937.39</v>
      </c>
      <c r="H44" t="s">
        <v>70</v>
      </c>
      <c r="I44">
        <f>VLOOKUP(H44,$A$1:F$161,I$2,0)</f>
        <v>14633.72</v>
      </c>
      <c r="J44">
        <f>VLOOKUP(H44,$A$1:F$161,J$2,0)</f>
        <v>13290.16</v>
      </c>
      <c r="K44">
        <f>VLOOKUP(H44,$A$1:F$161,K$2,0)</f>
        <v>12295.27</v>
      </c>
      <c r="L44">
        <f>VLOOKUP(H44,$A$1:F$161,L$2,0)</f>
        <v>11216.23</v>
      </c>
      <c r="M44">
        <f>VLOOKUP(H44,$A$1:F$161,M$2,0)</f>
        <v>9952.5300000000007</v>
      </c>
    </row>
    <row r="45" spans="1:13" x14ac:dyDescent="0.25">
      <c r="A45" t="s">
        <v>44</v>
      </c>
      <c r="B45">
        <v>8209.93</v>
      </c>
      <c r="C45">
        <v>7899.73</v>
      </c>
      <c r="D45">
        <v>7172.94</v>
      </c>
      <c r="E45">
        <v>8088.08</v>
      </c>
      <c r="F45">
        <v>7362.59</v>
      </c>
      <c r="H45" t="s">
        <v>71</v>
      </c>
      <c r="I45">
        <f>VLOOKUP(H45,$A$1:F$161,I$2,0)</f>
        <v>75.69</v>
      </c>
      <c r="J45">
        <f>VLOOKUP(H45,$A$1:F$161,J$2,0)</f>
        <v>59.87</v>
      </c>
      <c r="K45">
        <f>VLOOKUP(H45,$A$1:F$161,K$2,0)</f>
        <v>73.63</v>
      </c>
      <c r="L45">
        <f>VLOOKUP(H45,$A$1:F$161,L$2,0)</f>
        <v>76.040000000000006</v>
      </c>
      <c r="M45">
        <f>VLOOKUP(H45,$A$1:F$161,M$2,0)</f>
        <v>57.07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14709.41</v>
      </c>
      <c r="J46">
        <f>VLOOKUP(H46,$A$1:F$161,J$2,0)</f>
        <v>13350.03</v>
      </c>
      <c r="K46">
        <f>VLOOKUP(H46,$A$1:F$161,K$2,0)</f>
        <v>12368.9</v>
      </c>
      <c r="L46">
        <f>VLOOKUP(H46,$A$1:F$161,L$2,0)</f>
        <v>11292.27</v>
      </c>
      <c r="M46">
        <f>VLOOKUP(H46,$A$1:F$161,M$2,0)</f>
        <v>10009.6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120.11</v>
      </c>
      <c r="J47">
        <f>VLOOKUP(H47,$A$1:F$161,J$2,0)</f>
        <v>145.85</v>
      </c>
      <c r="K47">
        <f>VLOOKUP(H47,$A$1:F$161,K$2,0)</f>
        <v>246.88</v>
      </c>
      <c r="L47">
        <f>VLOOKUP(H47,$A$1:F$161,L$2,0)</f>
        <v>258.92</v>
      </c>
      <c r="M47">
        <f>VLOOKUP(H47,$A$1:F$161,M$2,0)</f>
        <v>176.92</v>
      </c>
    </row>
    <row r="48" spans="1:13" x14ac:dyDescent="0.25">
      <c r="A48" t="s">
        <v>47</v>
      </c>
      <c r="B48">
        <v>187.26</v>
      </c>
      <c r="C48">
        <v>315.39999999999998</v>
      </c>
      <c r="D48">
        <v>394.48</v>
      </c>
      <c r="E48">
        <v>47.91</v>
      </c>
      <c r="F48">
        <v>32.24</v>
      </c>
      <c r="H48" t="s">
        <v>74</v>
      </c>
      <c r="I48">
        <f>VLOOKUP(H48,$A$1:F$161,I$2,0)</f>
        <v>14829.52</v>
      </c>
      <c r="J48">
        <f>VLOOKUP(H48,$A$1:F$161,J$2,0)</f>
        <v>13495.88</v>
      </c>
      <c r="K48">
        <f>VLOOKUP(H48,$A$1:F$161,K$2,0)</f>
        <v>12615.78</v>
      </c>
      <c r="L48">
        <f>VLOOKUP(H48,$A$1:F$161,L$2,0)</f>
        <v>11551.19</v>
      </c>
      <c r="M48">
        <f>VLOOKUP(H48,$A$1:F$161,M$2,0)</f>
        <v>10186.52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49</v>
      </c>
      <c r="H50" t="s">
        <v>76</v>
      </c>
      <c r="I50">
        <f>VLOOKUP(H50,$A$1:F$161,I$2,0)</f>
        <v>6154.1</v>
      </c>
      <c r="J50">
        <f>VLOOKUP(H50,$A$1:F$161,J$2,0)</f>
        <v>5554.24</v>
      </c>
      <c r="K50">
        <f>VLOOKUP(H50,$A$1:F$161,K$2,0)</f>
        <v>5150.3</v>
      </c>
      <c r="L50">
        <f>VLOOKUP(H50,$A$1:F$161,L$2,0)</f>
        <v>4365.68</v>
      </c>
      <c r="M50">
        <f>VLOOKUP(H50,$A$1:F$161,M$2,0)</f>
        <v>4231.66</v>
      </c>
    </row>
    <row r="51" spans="1:13" x14ac:dyDescent="0.25">
      <c r="A51" t="s">
        <v>50</v>
      </c>
      <c r="B51">
        <v>2460.04</v>
      </c>
      <c r="C51">
        <v>2791.46</v>
      </c>
      <c r="D51">
        <v>2942.95</v>
      </c>
      <c r="E51">
        <v>1717.13</v>
      </c>
      <c r="F51">
        <v>0</v>
      </c>
      <c r="H51" t="s">
        <v>77</v>
      </c>
      <c r="I51">
        <f>VLOOKUP(H51,$A$1:F$161,I$2,0)</f>
        <v>227.52</v>
      </c>
      <c r="J51">
        <f>VLOOKUP(H51,$A$1:F$161,J$2,0)</f>
        <v>189</v>
      </c>
      <c r="K51">
        <f>VLOOKUP(H51,$A$1:F$161,K$2,0)</f>
        <v>217.81</v>
      </c>
      <c r="L51">
        <f>VLOOKUP(H51,$A$1:F$161,L$2,0)</f>
        <v>230.56</v>
      </c>
      <c r="M51">
        <f>VLOOKUP(H51,$A$1:F$161,M$2,0)</f>
        <v>174.76</v>
      </c>
    </row>
    <row r="52" spans="1:13" ht="48" customHeight="1" x14ac:dyDescent="0.25">
      <c r="A52" t="s">
        <v>51</v>
      </c>
      <c r="H52" t="s">
        <v>78</v>
      </c>
      <c r="I52">
        <f>VLOOKUP(H52,$A$1:F$161,I$2,0)</f>
        <v>-62.7</v>
      </c>
      <c r="J52">
        <f>VLOOKUP(H52,$A$1:F$161,J$2,0)</f>
        <v>-69.33</v>
      </c>
      <c r="K52">
        <f>VLOOKUP(H52,$A$1:F$161,K$2,0)</f>
        <v>-144.19</v>
      </c>
      <c r="L52">
        <f>VLOOKUP(H52,$A$1:F$161,L$2,0)</f>
        <v>-6.01</v>
      </c>
      <c r="M52">
        <f>VLOOKUP(H52,$A$1:F$161,M$2,0)</f>
        <v>-79.56</v>
      </c>
    </row>
    <row r="53" spans="1:13" x14ac:dyDescent="0.25">
      <c r="A53" t="s">
        <v>52</v>
      </c>
      <c r="B53" t="s">
        <v>53</v>
      </c>
      <c r="C53" t="s">
        <v>53</v>
      </c>
      <c r="D53" t="s">
        <v>53</v>
      </c>
      <c r="E53" t="s">
        <v>53</v>
      </c>
      <c r="F53" t="s">
        <v>53</v>
      </c>
      <c r="H53" t="s">
        <v>79</v>
      </c>
      <c r="I53">
        <f>VLOOKUP(H53,$A$1:F$161,I$2,0)</f>
        <v>1521.3</v>
      </c>
      <c r="J53">
        <f>VLOOKUP(H53,$A$1:F$161,J$2,0)</f>
        <v>1500.95</v>
      </c>
      <c r="K53">
        <f>VLOOKUP(H53,$A$1:F$161,K$2,0)</f>
        <v>1258.17</v>
      </c>
      <c r="L53">
        <f>VLOOKUP(H53,$A$1:F$161,L$2,0)</f>
        <v>1124.1500000000001</v>
      </c>
      <c r="M53">
        <f>VLOOKUP(H53,$A$1:F$161,M$2,0)</f>
        <v>1017.45</v>
      </c>
    </row>
    <row r="54" spans="1:13" ht="24" customHeight="1" x14ac:dyDescent="0.25">
      <c r="A54" t="s">
        <v>54</v>
      </c>
      <c r="H54" t="s">
        <v>80</v>
      </c>
      <c r="I54">
        <f>VLOOKUP(H54,$A$1:F$161,I$2,0)</f>
        <v>201.19</v>
      </c>
      <c r="J54">
        <f>VLOOKUP(H54,$A$1:F$161,J$2,0)</f>
        <v>164.18</v>
      </c>
      <c r="K54">
        <f>VLOOKUP(H54,$A$1:F$161,K$2,0)</f>
        <v>129.12</v>
      </c>
      <c r="L54">
        <f>VLOOKUP(H54,$A$1:F$161,L$2,0)</f>
        <v>111.95</v>
      </c>
      <c r="M54">
        <f>VLOOKUP(H54,$A$1:F$161,M$2,0)</f>
        <v>91.9</v>
      </c>
    </row>
    <row r="55" spans="1:13" x14ac:dyDescent="0.25">
      <c r="A55" t="s">
        <v>55</v>
      </c>
      <c r="B55">
        <v>639.57000000000005</v>
      </c>
      <c r="C55">
        <v>647.39</v>
      </c>
      <c r="D55">
        <v>638.48</v>
      </c>
      <c r="E55">
        <v>708.69</v>
      </c>
      <c r="F55" t="s">
        <v>53</v>
      </c>
      <c r="H55" t="s">
        <v>81</v>
      </c>
      <c r="I55">
        <f>VLOOKUP(H55,$A$1:F$161,I$2,0)</f>
        <v>-23.95</v>
      </c>
      <c r="J55">
        <f>VLOOKUP(H55,$A$1:F$161,J$2,0)</f>
        <v>13.97</v>
      </c>
      <c r="K55">
        <f>VLOOKUP(H55,$A$1:F$161,K$2,0)</f>
        <v>24.88</v>
      </c>
      <c r="L55">
        <f>VLOOKUP(H55,$A$1:F$161,L$2,0)</f>
        <v>103.68</v>
      </c>
      <c r="M55">
        <f>VLOOKUP(H55,$A$1:F$161,M$2,0)</f>
        <v>87.65</v>
      </c>
    </row>
    <row r="56" spans="1:13" x14ac:dyDescent="0.25">
      <c r="A56" t="s">
        <v>56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390.19</v>
      </c>
      <c r="J56">
        <f>VLOOKUP(H56,$A$1:F$161,J$2,0)</f>
        <v>370.38</v>
      </c>
      <c r="K56">
        <f>VLOOKUP(H56,$A$1:F$161,K$2,0)</f>
        <v>370.15</v>
      </c>
      <c r="L56">
        <f>VLOOKUP(H56,$A$1:F$161,L$2,0)</f>
        <v>335.67</v>
      </c>
      <c r="M56">
        <f>VLOOKUP(H56,$A$1:F$161,M$2,0)</f>
        <v>342.25</v>
      </c>
    </row>
    <row r="57" spans="1:13" ht="15" customHeight="1" x14ac:dyDescent="0.25">
      <c r="A57" t="s">
        <v>57</v>
      </c>
      <c r="H57" t="s">
        <v>83</v>
      </c>
      <c r="I57">
        <f>VLOOKUP(H57,$A$1:F$161,I$2,0)</f>
        <v>3301.6</v>
      </c>
      <c r="J57">
        <f>VLOOKUP(H57,$A$1:F$161,J$2,0)</f>
        <v>2959.7</v>
      </c>
      <c r="K57">
        <f>VLOOKUP(H57,$A$1:F$161,K$2,0)</f>
        <v>2936.05</v>
      </c>
      <c r="L57">
        <f>VLOOKUP(H57,$A$1:F$161,L$2,0)</f>
        <v>2856.56</v>
      </c>
      <c r="M57">
        <f>VLOOKUP(H57,$A$1:F$161,M$2,0)</f>
        <v>2481.11</v>
      </c>
    </row>
    <row r="58" spans="1:13" x14ac:dyDescent="0.25">
      <c r="A58" t="s">
        <v>58</v>
      </c>
      <c r="B58">
        <v>73.41</v>
      </c>
      <c r="C58">
        <v>73.41</v>
      </c>
      <c r="D58">
        <v>73.41</v>
      </c>
      <c r="E58">
        <v>73.41</v>
      </c>
      <c r="F58">
        <v>73.41</v>
      </c>
      <c r="H58" t="s">
        <v>84</v>
      </c>
      <c r="I58">
        <f>VLOOKUP(H58,$A$1:F$161,I$2,0)</f>
        <v>11709.25</v>
      </c>
      <c r="J58">
        <f>VLOOKUP(H58,$A$1:F$161,J$2,0)</f>
        <v>10683.09</v>
      </c>
      <c r="K58">
        <f>VLOOKUP(H58,$A$1:F$161,K$2,0)</f>
        <v>9942.2900000000009</v>
      </c>
      <c r="L58">
        <f>VLOOKUP(H58,$A$1:F$161,L$2,0)</f>
        <v>9122.24</v>
      </c>
      <c r="M58">
        <f>VLOOKUP(H58,$A$1:F$161,M$2,0)</f>
        <v>8347.2199999999993</v>
      </c>
    </row>
    <row r="59" spans="1:13" ht="24" customHeight="1" x14ac:dyDescent="0.25">
      <c r="A59" t="s">
        <v>59</v>
      </c>
      <c r="H59" t="s">
        <v>85</v>
      </c>
      <c r="I59">
        <f>VLOOKUP(H59,$A$1:F$161,I$2,0)</f>
        <v>3120.27</v>
      </c>
      <c r="J59">
        <f>VLOOKUP(H59,$A$1:F$161,J$2,0)</f>
        <v>2812.79</v>
      </c>
      <c r="K59">
        <f>VLOOKUP(H59,$A$1:F$161,K$2,0)</f>
        <v>2673.49</v>
      </c>
      <c r="L59">
        <f>VLOOKUP(H59,$A$1:F$161,L$2,0)</f>
        <v>2428.9499999999998</v>
      </c>
      <c r="M59">
        <f>VLOOKUP(H59,$A$1:F$161,M$2,0)</f>
        <v>1839.3</v>
      </c>
    </row>
    <row r="60" spans="1:13" x14ac:dyDescent="0.25">
      <c r="A60" t="s">
        <v>60</v>
      </c>
      <c r="B60">
        <v>779.75</v>
      </c>
      <c r="C60">
        <v>805.47</v>
      </c>
      <c r="D60">
        <v>765.58</v>
      </c>
      <c r="E60">
        <v>727.81</v>
      </c>
      <c r="F60">
        <v>589.32000000000005</v>
      </c>
      <c r="H60" t="s">
        <v>87</v>
      </c>
      <c r="I60">
        <f>VLOOKUP(H60,$A$1:F$161,I$2,0)</f>
        <v>2883.77</v>
      </c>
      <c r="J60">
        <f>VLOOKUP(H60,$A$1:F$161,J$2,0)</f>
        <v>2812.79</v>
      </c>
      <c r="K60">
        <f>VLOOKUP(H60,$A$1:F$161,K$2,0)</f>
        <v>2673.49</v>
      </c>
      <c r="L60">
        <f>VLOOKUP(H60,$A$1:F$161,L$2,0)</f>
        <v>2428.9499999999998</v>
      </c>
      <c r="M60">
        <f>VLOOKUP(H60,$A$1:F$161,M$2,0)</f>
        <v>1839.3</v>
      </c>
    </row>
    <row r="61" spans="1:13" x14ac:dyDescent="0.25">
      <c r="A61" t="s">
        <v>61</v>
      </c>
      <c r="B61" t="s">
        <v>53</v>
      </c>
      <c r="C61">
        <v>18.88</v>
      </c>
      <c r="D61" t="s">
        <v>53</v>
      </c>
      <c r="E61" t="s">
        <v>53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ht="24" customHeight="1" x14ac:dyDescent="0.25">
      <c r="A62" t="s">
        <v>62</v>
      </c>
      <c r="H62" t="s">
        <v>89</v>
      </c>
      <c r="I62">
        <f>VLOOKUP(H62,$A$1:F$161,I$2,0)</f>
        <v>744.39</v>
      </c>
      <c r="J62">
        <f>VLOOKUP(H62,$A$1:F$161,J$2,0)</f>
        <v>763.42</v>
      </c>
      <c r="K62">
        <f>VLOOKUP(H62,$A$1:F$161,K$2,0)</f>
        <v>747</v>
      </c>
      <c r="L62">
        <f>VLOOKUP(H62,$A$1:F$161,L$2,0)</f>
        <v>884.87</v>
      </c>
      <c r="M62">
        <f>VLOOKUP(H62,$A$1:F$161,M$2,0)</f>
        <v>649.16999999999996</v>
      </c>
    </row>
    <row r="63" spans="1:13" x14ac:dyDescent="0.25">
      <c r="A63" t="s">
        <v>63</v>
      </c>
      <c r="B63">
        <v>63.39</v>
      </c>
      <c r="C63">
        <v>722.94</v>
      </c>
      <c r="D63">
        <v>1007.39</v>
      </c>
      <c r="E63">
        <v>1925.13</v>
      </c>
      <c r="F63">
        <v>1393.46</v>
      </c>
      <c r="H63" t="s">
        <v>90</v>
      </c>
      <c r="I63">
        <f>VLOOKUP(H63,$A$1:F$161,I$2,0)</f>
        <v>-5.48</v>
      </c>
      <c r="J63">
        <f>VLOOKUP(H63,$A$1:F$161,J$2,0)</f>
        <v>-33.06</v>
      </c>
      <c r="K63">
        <f>VLOOKUP(H63,$A$1:F$161,K$2,0)</f>
        <v>-41.95</v>
      </c>
      <c r="L63">
        <f>VLOOKUP(H63,$A$1:F$161,L$2,0)</f>
        <v>-62.85</v>
      </c>
      <c r="M63">
        <f>VLOOKUP(H63,$A$1:F$161,M$2,0)</f>
        <v>-35.06</v>
      </c>
    </row>
    <row r="64" spans="1:13" x14ac:dyDescent="0.25">
      <c r="A64" t="s">
        <v>64</v>
      </c>
      <c r="B64" t="s">
        <v>53</v>
      </c>
      <c r="C64" t="s">
        <v>53</v>
      </c>
      <c r="D64" t="s">
        <v>53</v>
      </c>
      <c r="E64" t="s">
        <v>53</v>
      </c>
      <c r="F64" t="s">
        <v>53</v>
      </c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>
        <f>VLOOKUP(H65,$A$1:F$161,I$2,0)</f>
        <v>738.91</v>
      </c>
      <c r="J65">
        <f>VLOOKUP(H65,$A$1:F$161,J$2,0)</f>
        <v>730.36</v>
      </c>
      <c r="K65">
        <f>VLOOKUP(H65,$A$1:F$161,K$2,0)</f>
        <v>705.05</v>
      </c>
      <c r="L65">
        <f>VLOOKUP(H65,$A$1:F$161,L$2,0)</f>
        <v>822.02</v>
      </c>
      <c r="M65">
        <f>VLOOKUP(H65,$A$1:F$161,M$2,0)</f>
        <v>614.11</v>
      </c>
    </row>
    <row r="66" spans="1:13" x14ac:dyDescent="0.25">
      <c r="H66" t="s">
        <v>92</v>
      </c>
      <c r="I66">
        <f>VLOOKUP(H66,$A$1:F$161,I$2,0)</f>
        <v>2144.86</v>
      </c>
      <c r="J66">
        <f>VLOOKUP(H66,$A$1:F$161,J$2,0)</f>
        <v>2082.4299999999998</v>
      </c>
      <c r="K66">
        <f>VLOOKUP(H66,$A$1:F$161,K$2,0)</f>
        <v>1968.44</v>
      </c>
      <c r="L66">
        <f>VLOOKUP(H66,$A$1:F$161,L$2,0)</f>
        <v>1606.93</v>
      </c>
      <c r="M66">
        <f>VLOOKUP(H66,$A$1:F$161,M$2,0)</f>
        <v>1225.19</v>
      </c>
    </row>
    <row r="67" spans="1:13" x14ac:dyDescent="0.25">
      <c r="H67" t="s">
        <v>93</v>
      </c>
      <c r="I67">
        <f>VLOOKUP(H67,$A$1:F$161,I$2,0)</f>
        <v>2144.86</v>
      </c>
      <c r="J67">
        <f>VLOOKUP(H67,$A$1:F$161,J$2,0)</f>
        <v>2082.4299999999998</v>
      </c>
      <c r="K67">
        <f>VLOOKUP(H67,$A$1:F$161,K$2,0)</f>
        <v>1968.44</v>
      </c>
      <c r="L67">
        <f>VLOOKUP(H67,$A$1:F$161,L$2,0)</f>
        <v>1606.93</v>
      </c>
      <c r="M67">
        <f>VLOOKUP(H67,$A$1:F$161,M$2,0)</f>
        <v>1225.19</v>
      </c>
    </row>
    <row r="68" spans="1:13" ht="15" customHeight="1" x14ac:dyDescent="0.25">
      <c r="A68" t="s">
        <v>65</v>
      </c>
      <c r="H68" t="s">
        <v>94</v>
      </c>
      <c r="I68">
        <f>VLOOKUP(H68,$A$1:F$161,I$2,0)</f>
        <v>2144.86</v>
      </c>
      <c r="J68">
        <f>VLOOKUP(H68,$A$1:F$161,J$2,0)</f>
        <v>2082.4299999999998</v>
      </c>
      <c r="K68">
        <f>VLOOKUP(H68,$A$1:F$161,K$2,0)</f>
        <v>1968.44</v>
      </c>
      <c r="L68">
        <f>VLOOKUP(H68,$A$1:F$161,L$2,0)</f>
        <v>1606.93</v>
      </c>
      <c r="M68">
        <f>VLOOKUP(H68,$A$1:F$161,M$2,0)</f>
        <v>1225.19</v>
      </c>
    </row>
    <row r="69" spans="1:13" x14ac:dyDescent="0.25">
      <c r="H69" t="s">
        <v>101</v>
      </c>
      <c r="I69">
        <f>VLOOKUP(H69,$A$1:F$161,I$2,0)</f>
        <v>1928.31</v>
      </c>
      <c r="J69">
        <f>VLOOKUP(H69,$A$1:F$161,J$2,0)</f>
        <v>1889.75</v>
      </c>
      <c r="K69">
        <f>VLOOKUP(H69,$A$1:F$161,K$2,0)</f>
        <v>2950.32</v>
      </c>
      <c r="L69">
        <f>VLOOKUP(H69,$A$1:F$161,L$2,0)</f>
        <v>1089.5</v>
      </c>
      <c r="M69">
        <f>VLOOKUP(H69,$A$1:F$161,M$2,0)</f>
        <v>829.18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605.94000000000005</v>
      </c>
      <c r="L70">
        <f>VLOOKUP(H70,$A$1:F$161,L$2,0)</f>
        <v>223.87</v>
      </c>
      <c r="M70">
        <f>VLOOKUP(H70,$A$1:F$161,M$2,0)</f>
        <v>168.77</v>
      </c>
    </row>
    <row r="71" spans="1:13" x14ac:dyDescent="0.25">
      <c r="H71" t="s">
        <v>103</v>
      </c>
      <c r="I71">
        <f>VLOOKUP(H71,$A$1:F$161,I$2,0)</f>
        <v>2000</v>
      </c>
      <c r="J71">
        <f>VLOOKUP(H71,$A$1:F$161,J$2,0)</f>
        <v>2000</v>
      </c>
      <c r="K71">
        <f>VLOOKUP(H71,$A$1:F$161,K$2,0)</f>
        <v>3420</v>
      </c>
      <c r="L71">
        <f>VLOOKUP(H71,$A$1:F$161,L$2,0)</f>
        <v>1150</v>
      </c>
      <c r="M71">
        <f>VLOOKUP(H71,$A$1:F$161,M$2,0)</f>
        <v>860</v>
      </c>
    </row>
    <row r="90" spans="1:6" x14ac:dyDescent="0.25">
      <c r="A90" t="s">
        <v>0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4</v>
      </c>
      <c r="C92">
        <v>44166</v>
      </c>
      <c r="D92">
        <v>43800</v>
      </c>
      <c r="E92">
        <v>43435</v>
      </c>
      <c r="F92">
        <v>43070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14633.72</v>
      </c>
      <c r="C97">
        <v>13290.16</v>
      </c>
      <c r="D97">
        <v>12295.27</v>
      </c>
      <c r="E97">
        <v>11216.23</v>
      </c>
      <c r="F97">
        <v>10135.11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182.58</v>
      </c>
    </row>
    <row r="99" spans="1:6" x14ac:dyDescent="0.25">
      <c r="A99" t="s">
        <v>70</v>
      </c>
      <c r="B99">
        <v>14633.72</v>
      </c>
      <c r="C99">
        <v>13290.16</v>
      </c>
      <c r="D99">
        <v>12295.27</v>
      </c>
      <c r="E99">
        <v>11216.23</v>
      </c>
      <c r="F99">
        <v>9952.5300000000007</v>
      </c>
    </row>
    <row r="100" spans="1:6" x14ac:dyDescent="0.25">
      <c r="A100" t="s">
        <v>71</v>
      </c>
      <c r="B100">
        <v>75.69</v>
      </c>
      <c r="C100">
        <v>59.87</v>
      </c>
      <c r="D100">
        <v>73.63</v>
      </c>
      <c r="E100">
        <v>76.040000000000006</v>
      </c>
      <c r="F100">
        <v>57.07</v>
      </c>
    </row>
    <row r="101" spans="1:6" x14ac:dyDescent="0.25">
      <c r="A101" t="s">
        <v>72</v>
      </c>
      <c r="B101">
        <v>14709.41</v>
      </c>
      <c r="C101">
        <v>13350.03</v>
      </c>
      <c r="D101">
        <v>12368.9</v>
      </c>
      <c r="E101">
        <v>11292.27</v>
      </c>
      <c r="F101">
        <v>10009.6</v>
      </c>
    </row>
    <row r="102" spans="1:6" x14ac:dyDescent="0.25">
      <c r="A102" t="s">
        <v>73</v>
      </c>
      <c r="B102">
        <v>120.11</v>
      </c>
      <c r="C102">
        <v>145.85</v>
      </c>
      <c r="D102">
        <v>246.88</v>
      </c>
      <c r="E102">
        <v>258.92</v>
      </c>
      <c r="F102">
        <v>176.92</v>
      </c>
    </row>
    <row r="103" spans="1:6" x14ac:dyDescent="0.25">
      <c r="A103" t="s">
        <v>74</v>
      </c>
      <c r="B103">
        <v>14829.52</v>
      </c>
      <c r="C103">
        <v>13495.88</v>
      </c>
      <c r="D103">
        <v>12615.78</v>
      </c>
      <c r="E103">
        <v>11551.19</v>
      </c>
      <c r="F103">
        <v>10186.52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6154.1</v>
      </c>
      <c r="C105">
        <v>5554.24</v>
      </c>
      <c r="D105">
        <v>5150.3</v>
      </c>
      <c r="E105">
        <v>4365.68</v>
      </c>
      <c r="F105">
        <v>4231.66</v>
      </c>
    </row>
    <row r="106" spans="1:6" x14ac:dyDescent="0.25">
      <c r="A106" t="s">
        <v>77</v>
      </c>
      <c r="B106">
        <v>227.52</v>
      </c>
      <c r="C106">
        <v>189</v>
      </c>
      <c r="D106">
        <v>217.81</v>
      </c>
      <c r="E106">
        <v>230.56</v>
      </c>
      <c r="F106">
        <v>174.76</v>
      </c>
    </row>
    <row r="107" spans="1:6" x14ac:dyDescent="0.25">
      <c r="A107" t="s">
        <v>78</v>
      </c>
      <c r="B107">
        <v>-62.7</v>
      </c>
      <c r="C107">
        <v>-69.33</v>
      </c>
      <c r="D107">
        <v>-144.19</v>
      </c>
      <c r="E107">
        <v>-6.01</v>
      </c>
      <c r="F107">
        <v>-79.56</v>
      </c>
    </row>
    <row r="108" spans="1:6" x14ac:dyDescent="0.25">
      <c r="A108" t="s">
        <v>79</v>
      </c>
      <c r="B108">
        <v>1521.3</v>
      </c>
      <c r="C108">
        <v>1500.95</v>
      </c>
      <c r="D108">
        <v>1258.17</v>
      </c>
      <c r="E108">
        <v>1124.1500000000001</v>
      </c>
      <c r="F108">
        <v>1017.45</v>
      </c>
    </row>
    <row r="109" spans="1:6" x14ac:dyDescent="0.25">
      <c r="A109" t="s">
        <v>80</v>
      </c>
      <c r="B109">
        <v>201.19</v>
      </c>
      <c r="C109">
        <v>164.18</v>
      </c>
      <c r="D109">
        <v>129.12</v>
      </c>
      <c r="E109">
        <v>111.95</v>
      </c>
      <c r="F109">
        <v>91.9</v>
      </c>
    </row>
    <row r="110" spans="1:6" x14ac:dyDescent="0.25">
      <c r="A110" t="s">
        <v>81</v>
      </c>
      <c r="B110">
        <v>-23.95</v>
      </c>
      <c r="C110">
        <v>13.97</v>
      </c>
      <c r="D110">
        <v>24.88</v>
      </c>
      <c r="E110">
        <v>103.68</v>
      </c>
      <c r="F110">
        <v>87.65</v>
      </c>
    </row>
    <row r="111" spans="1:6" x14ac:dyDescent="0.25">
      <c r="A111" t="s">
        <v>82</v>
      </c>
      <c r="B111">
        <v>390.19</v>
      </c>
      <c r="C111">
        <v>370.38</v>
      </c>
      <c r="D111">
        <v>370.15</v>
      </c>
      <c r="E111">
        <v>335.67</v>
      </c>
      <c r="F111">
        <v>342.25</v>
      </c>
    </row>
    <row r="112" spans="1:6" x14ac:dyDescent="0.25">
      <c r="A112" t="s">
        <v>83</v>
      </c>
      <c r="B112">
        <v>3301.6</v>
      </c>
      <c r="C112">
        <v>2959.7</v>
      </c>
      <c r="D112">
        <v>2936.05</v>
      </c>
      <c r="E112">
        <v>2856.56</v>
      </c>
      <c r="F112">
        <v>2481.11</v>
      </c>
    </row>
    <row r="113" spans="1:6" x14ac:dyDescent="0.25">
      <c r="A113" t="s">
        <v>84</v>
      </c>
      <c r="B113">
        <v>11709.25</v>
      </c>
      <c r="C113">
        <v>10683.09</v>
      </c>
      <c r="D113">
        <v>9942.2900000000009</v>
      </c>
      <c r="E113">
        <v>9122.24</v>
      </c>
      <c r="F113">
        <v>8347.2199999999993</v>
      </c>
    </row>
    <row r="114" spans="1:6" x14ac:dyDescent="0.25">
      <c r="B114">
        <v>44531</v>
      </c>
      <c r="C114">
        <v>44166</v>
      </c>
      <c r="D114">
        <v>43800</v>
      </c>
      <c r="E114">
        <v>43435</v>
      </c>
      <c r="F114">
        <v>43070</v>
      </c>
    </row>
    <row r="116" spans="1:6" x14ac:dyDescent="0.25">
      <c r="B116" t="s">
        <v>5</v>
      </c>
      <c r="C116" t="s">
        <v>5</v>
      </c>
      <c r="D116" t="s">
        <v>5</v>
      </c>
      <c r="E116" t="s">
        <v>5</v>
      </c>
      <c r="F116" t="s">
        <v>5</v>
      </c>
    </row>
    <row r="118" spans="1:6" x14ac:dyDescent="0.25">
      <c r="A118" t="s">
        <v>85</v>
      </c>
      <c r="B118">
        <v>3120.27</v>
      </c>
      <c r="C118">
        <v>2812.79</v>
      </c>
      <c r="D118">
        <v>2673.49</v>
      </c>
      <c r="E118">
        <v>2428.9499999999998</v>
      </c>
      <c r="F118">
        <v>1839.3</v>
      </c>
    </row>
    <row r="119" spans="1:6" x14ac:dyDescent="0.25">
      <c r="A119" t="s">
        <v>86</v>
      </c>
      <c r="B119">
        <v>-236.5</v>
      </c>
      <c r="C119">
        <v>0</v>
      </c>
      <c r="D119">
        <v>0</v>
      </c>
      <c r="E119">
        <v>0</v>
      </c>
      <c r="F119">
        <v>0</v>
      </c>
    </row>
    <row r="120" spans="1:6" x14ac:dyDescent="0.25">
      <c r="A120" t="s">
        <v>87</v>
      </c>
      <c r="B120">
        <v>2883.77</v>
      </c>
      <c r="C120">
        <v>2812.79</v>
      </c>
      <c r="D120">
        <v>2673.49</v>
      </c>
      <c r="E120">
        <v>2428.9499999999998</v>
      </c>
      <c r="F120">
        <v>1839.3</v>
      </c>
    </row>
    <row r="121" spans="1:6" ht="24" customHeight="1" x14ac:dyDescent="0.25">
      <c r="A121" t="s">
        <v>88</v>
      </c>
    </row>
    <row r="122" spans="1:6" x14ac:dyDescent="0.25">
      <c r="A122" t="s">
        <v>89</v>
      </c>
      <c r="B122">
        <v>744.39</v>
      </c>
      <c r="C122">
        <v>763.42</v>
      </c>
      <c r="D122">
        <v>747</v>
      </c>
      <c r="E122">
        <v>884.87</v>
      </c>
      <c r="F122">
        <v>649.16999999999996</v>
      </c>
    </row>
    <row r="123" spans="1:6" x14ac:dyDescent="0.25">
      <c r="A123" t="s">
        <v>90</v>
      </c>
      <c r="B123">
        <v>-5.48</v>
      </c>
      <c r="C123">
        <v>-33.06</v>
      </c>
      <c r="D123">
        <v>-41.95</v>
      </c>
      <c r="E123">
        <v>-62.85</v>
      </c>
      <c r="F123">
        <v>-35.06</v>
      </c>
    </row>
    <row r="124" spans="1:6" x14ac:dyDescent="0.25">
      <c r="A124" t="s">
        <v>91</v>
      </c>
      <c r="B124">
        <v>738.91</v>
      </c>
      <c r="C124">
        <v>730.36</v>
      </c>
      <c r="D124">
        <v>705.05</v>
      </c>
      <c r="E124">
        <v>822.02</v>
      </c>
      <c r="F124">
        <v>614.11</v>
      </c>
    </row>
    <row r="125" spans="1:6" x14ac:dyDescent="0.25">
      <c r="A125" t="s">
        <v>92</v>
      </c>
      <c r="B125">
        <v>2144.86</v>
      </c>
      <c r="C125">
        <v>2082.4299999999998</v>
      </c>
      <c r="D125">
        <v>1968.44</v>
      </c>
      <c r="E125">
        <v>1606.93</v>
      </c>
      <c r="F125">
        <v>1225.19</v>
      </c>
    </row>
    <row r="126" spans="1:6" x14ac:dyDescent="0.25">
      <c r="A126" t="s">
        <v>93</v>
      </c>
      <c r="B126">
        <v>2144.86</v>
      </c>
      <c r="C126">
        <v>2082.4299999999998</v>
      </c>
      <c r="D126">
        <v>1968.44</v>
      </c>
      <c r="E126">
        <v>1606.93</v>
      </c>
      <c r="F126">
        <v>1225.19</v>
      </c>
    </row>
    <row r="127" spans="1:6" x14ac:dyDescent="0.25">
      <c r="A127" t="s">
        <v>94</v>
      </c>
      <c r="B127">
        <v>2144.86</v>
      </c>
      <c r="C127">
        <v>2082.4299999999998</v>
      </c>
      <c r="D127">
        <v>1968.44</v>
      </c>
      <c r="E127">
        <v>1606.93</v>
      </c>
      <c r="F127">
        <v>1225.19</v>
      </c>
    </row>
    <row r="128" spans="1:6" x14ac:dyDescent="0.25">
      <c r="B128">
        <v>44531</v>
      </c>
      <c r="C128">
        <v>44166</v>
      </c>
      <c r="D128">
        <v>43800</v>
      </c>
      <c r="E128">
        <v>43435</v>
      </c>
      <c r="F128">
        <v>43070</v>
      </c>
    </row>
    <row r="130" spans="1:6" x14ac:dyDescent="0.25">
      <c r="B130" t="s">
        <v>5</v>
      </c>
      <c r="C130" t="s">
        <v>5</v>
      </c>
      <c r="D130" t="s">
        <v>5</v>
      </c>
      <c r="E130" t="s">
        <v>5</v>
      </c>
      <c r="F130" t="s">
        <v>5</v>
      </c>
    </row>
    <row r="132" spans="1:6" ht="24" customHeight="1" x14ac:dyDescent="0.25">
      <c r="A132" t="s">
        <v>45</v>
      </c>
    </row>
    <row r="133" spans="1:6" ht="24" customHeight="1" x14ac:dyDescent="0.25">
      <c r="A133" t="s">
        <v>95</v>
      </c>
    </row>
    <row r="134" spans="1:6" x14ac:dyDescent="0.25">
      <c r="A134" t="s">
        <v>96</v>
      </c>
      <c r="B134">
        <v>222.46</v>
      </c>
      <c r="C134">
        <v>215.98</v>
      </c>
      <c r="D134">
        <v>204.28</v>
      </c>
      <c r="E134">
        <v>166.67</v>
      </c>
      <c r="F134">
        <v>127.07</v>
      </c>
    </row>
    <row r="135" spans="1:6" x14ac:dyDescent="0.25">
      <c r="A135" t="s">
        <v>97</v>
      </c>
      <c r="B135">
        <v>222.46</v>
      </c>
      <c r="C135">
        <v>215.98</v>
      </c>
      <c r="D135">
        <v>204.28</v>
      </c>
      <c r="E135">
        <v>166.67</v>
      </c>
      <c r="F135">
        <v>127.07</v>
      </c>
    </row>
    <row r="136" spans="1:6" ht="36" customHeight="1" x14ac:dyDescent="0.25">
      <c r="A136" t="s">
        <v>98</v>
      </c>
    </row>
    <row r="137" spans="1:6" ht="24" customHeight="1" x14ac:dyDescent="0.25">
      <c r="A137" t="s">
        <v>99</v>
      </c>
    </row>
    <row r="138" spans="1:6" ht="36" customHeight="1" x14ac:dyDescent="0.25">
      <c r="A138" t="s">
        <v>100</v>
      </c>
    </row>
    <row r="139" spans="1:6" x14ac:dyDescent="0.25">
      <c r="A139" t="s">
        <v>101</v>
      </c>
      <c r="B139">
        <v>1928.31</v>
      </c>
      <c r="C139">
        <v>1889.75</v>
      </c>
      <c r="D139">
        <v>2950.32</v>
      </c>
      <c r="E139">
        <v>1089.5</v>
      </c>
      <c r="F139">
        <v>829.18</v>
      </c>
    </row>
    <row r="140" spans="1:6" x14ac:dyDescent="0.25">
      <c r="A140" t="s">
        <v>102</v>
      </c>
      <c r="B140">
        <v>0</v>
      </c>
      <c r="C140">
        <v>0</v>
      </c>
      <c r="D140">
        <v>605.94000000000005</v>
      </c>
      <c r="E140">
        <v>223.87</v>
      </c>
      <c r="F140">
        <v>168.77</v>
      </c>
    </row>
    <row r="141" spans="1:6" x14ac:dyDescent="0.25">
      <c r="A141" t="s">
        <v>103</v>
      </c>
      <c r="B141">
        <v>2000</v>
      </c>
      <c r="C141">
        <v>2000</v>
      </c>
      <c r="D141">
        <v>3420</v>
      </c>
      <c r="E141">
        <v>1150</v>
      </c>
      <c r="F141">
        <v>860</v>
      </c>
    </row>
    <row r="145" spans="1:1" ht="15" customHeight="1" x14ac:dyDescent="0.25">
      <c r="A145" t="s">
        <v>65</v>
      </c>
    </row>
  </sheetData>
  <hyperlinks>
    <hyperlink ref="B1" r:id="rId1" display="javascript:void(0);" xr:uid="{DCE0E7F5-F227-47C8-9EF7-5580826B14AC}"/>
    <hyperlink ref="B90" r:id="rId2" display="javascript:void(0);" xr:uid="{B3E678BB-39B5-4772-A354-DE9057EC6A3B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24CDC-DD19-497F-9D2D-64D211C98F0A}">
  <sheetPr codeName="Sheet36"/>
  <dimension ref="A1:M140"/>
  <sheetViews>
    <sheetView workbookViewId="0">
      <selection activeCell="H9" sqref="H9"/>
    </sheetView>
  </sheetViews>
  <sheetFormatPr defaultRowHeight="15" x14ac:dyDescent="0.25"/>
  <cols>
    <col min="1" max="1" width="55.28515625" bestFit="1" customWidth="1"/>
    <col min="8" max="8" width="55.28515625" bestFit="1" customWidth="1"/>
  </cols>
  <sheetData>
    <row r="1" spans="1:13" x14ac:dyDescent="0.25">
      <c r="A1" t="s">
        <v>169</v>
      </c>
      <c r="B1" t="s">
        <v>1</v>
      </c>
      <c r="H1" t="str">
        <f>A1</f>
        <v>Heritage Foods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23.2</v>
      </c>
      <c r="J4">
        <f>VLOOKUP(H4,$A$1:F$161,J$2,0)</f>
        <v>23.2</v>
      </c>
      <c r="K4">
        <f>VLOOKUP(H4,$A$1:F$161,K$2,0)</f>
        <v>23.2</v>
      </c>
      <c r="L4">
        <f>VLOOKUP(H4,$A$1:F$161,L$2,0)</f>
        <v>23.2</v>
      </c>
      <c r="M4">
        <f>VLOOKUP(H4,$A$1:F$161,M$2,0)</f>
        <v>23.2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23.2</v>
      </c>
      <c r="J5">
        <f>VLOOKUP(H5,$A$1:F$161,J$2,0)</f>
        <v>23.2</v>
      </c>
      <c r="K5">
        <f>VLOOKUP(H5,$A$1:F$161,K$2,0)</f>
        <v>23.2</v>
      </c>
      <c r="L5">
        <f>VLOOKUP(H5,$A$1:F$161,L$2,0)</f>
        <v>23.2</v>
      </c>
      <c r="M5">
        <f>VLOOKUP(H5,$A$1:F$161,M$2,0)</f>
        <v>23.2</v>
      </c>
    </row>
    <row r="6" spans="1:13" x14ac:dyDescent="0.25">
      <c r="H6" t="s">
        <v>10</v>
      </c>
      <c r="I6">
        <f>VLOOKUP(H6,$A$1:F$161,I$2,0)</f>
        <v>631.16</v>
      </c>
      <c r="J6">
        <f>VLOOKUP(H6,$A$1:F$161,J$2,0)</f>
        <v>569.44000000000005</v>
      </c>
      <c r="K6">
        <f>VLOOKUP(H6,$A$1:F$161,K$2,0)</f>
        <v>433.2</v>
      </c>
      <c r="L6">
        <f>VLOOKUP(H6,$A$1:F$161,L$2,0)</f>
        <v>776.17</v>
      </c>
      <c r="M6">
        <f>VLOOKUP(H6,$A$1:F$161,M$2,0)</f>
        <v>751.28</v>
      </c>
    </row>
    <row r="7" spans="1:13" ht="24" customHeight="1" x14ac:dyDescent="0.25">
      <c r="A7" t="s">
        <v>6</v>
      </c>
      <c r="H7" t="s">
        <v>11</v>
      </c>
      <c r="I7">
        <f>VLOOKUP(H7,$A$1:F$161,I$2,0)</f>
        <v>631.16</v>
      </c>
      <c r="J7">
        <f>VLOOKUP(H7,$A$1:F$161,J$2,0)</f>
        <v>569.44000000000005</v>
      </c>
      <c r="K7">
        <f>VLOOKUP(H7,$A$1:F$161,K$2,0)</f>
        <v>433.2</v>
      </c>
      <c r="L7">
        <f>VLOOKUP(H7,$A$1:F$161,L$2,0)</f>
        <v>776.17</v>
      </c>
      <c r="M7">
        <f>VLOOKUP(H7,$A$1:F$161,M$2,0)</f>
        <v>751.28</v>
      </c>
    </row>
    <row r="8" spans="1:13" ht="24" customHeight="1" x14ac:dyDescent="0.25">
      <c r="A8" t="s">
        <v>7</v>
      </c>
      <c r="H8" t="s">
        <v>12</v>
      </c>
      <c r="I8">
        <f>VLOOKUP(H8,$A$1:F$161,I$2,0)</f>
        <v>657.55</v>
      </c>
      <c r="J8">
        <f>VLOOKUP(H8,$A$1:F$161,J$2,0)</f>
        <v>595.83000000000004</v>
      </c>
      <c r="K8">
        <f>VLOOKUP(H8,$A$1:F$161,K$2,0)</f>
        <v>459.58</v>
      </c>
      <c r="L8">
        <f>VLOOKUP(H8,$A$1:F$161,L$2,0)</f>
        <v>802.56</v>
      </c>
      <c r="M8">
        <f>VLOOKUP(H8,$A$1:F$161,M$2,0)</f>
        <v>777.67</v>
      </c>
    </row>
    <row r="9" spans="1:13" x14ac:dyDescent="0.25">
      <c r="A9" t="s">
        <v>8</v>
      </c>
      <c r="B9">
        <v>23.2</v>
      </c>
      <c r="C9">
        <v>23.2</v>
      </c>
      <c r="D9">
        <v>23.2</v>
      </c>
      <c r="E9">
        <v>23.2</v>
      </c>
      <c r="F9">
        <v>23.2</v>
      </c>
      <c r="H9" t="s">
        <v>14</v>
      </c>
      <c r="I9">
        <f>VLOOKUP(H9,$A$1:F$161,I$2,0)</f>
        <v>7.95</v>
      </c>
      <c r="J9">
        <f>VLOOKUP(H9,$A$1:F$161,J$2,0)</f>
        <v>34.04</v>
      </c>
      <c r="K9">
        <f>VLOOKUP(H9,$A$1:F$161,K$2,0)</f>
        <v>172.23</v>
      </c>
      <c r="L9">
        <f>VLOOKUP(H9,$A$1:F$161,L$2,0)</f>
        <v>166.57</v>
      </c>
      <c r="M9">
        <f>VLOOKUP(H9,$A$1:F$161,M$2,0)</f>
        <v>142.31</v>
      </c>
    </row>
    <row r="10" spans="1:13" x14ac:dyDescent="0.25">
      <c r="A10" t="s">
        <v>9</v>
      </c>
      <c r="B10">
        <v>23.2</v>
      </c>
      <c r="C10">
        <v>23.2</v>
      </c>
      <c r="D10">
        <v>23.2</v>
      </c>
      <c r="E10">
        <v>23.2</v>
      </c>
      <c r="F10">
        <v>23.2</v>
      </c>
      <c r="H10" t="s">
        <v>16</v>
      </c>
      <c r="I10">
        <f>VLOOKUP(H10,$A$1:F$161,I$2,0)</f>
        <v>14.05</v>
      </c>
      <c r="J10">
        <f>VLOOKUP(H10,$A$1:F$161,J$2,0)</f>
        <v>5.8</v>
      </c>
      <c r="K10">
        <f>VLOOKUP(H10,$A$1:F$161,K$2,0)</f>
        <v>4</v>
      </c>
      <c r="L10">
        <f>VLOOKUP(H10,$A$1:F$161,L$2,0)</f>
        <v>294.57</v>
      </c>
      <c r="M10">
        <f>VLOOKUP(H10,$A$1:F$161,M$2,0)</f>
        <v>425.67</v>
      </c>
    </row>
    <row r="11" spans="1:13" x14ac:dyDescent="0.25">
      <c r="A11" t="s">
        <v>10</v>
      </c>
      <c r="B11">
        <v>631.16</v>
      </c>
      <c r="C11">
        <v>569.44000000000005</v>
      </c>
      <c r="D11">
        <v>433.2</v>
      </c>
      <c r="E11">
        <v>776.17</v>
      </c>
      <c r="F11">
        <v>751.28</v>
      </c>
      <c r="H11" t="s">
        <v>17</v>
      </c>
      <c r="I11">
        <f>VLOOKUP(H11,$A$1:F$161,I$2,0)</f>
        <v>16.55</v>
      </c>
      <c r="J11">
        <f>VLOOKUP(H11,$A$1:F$161,J$2,0)</f>
        <v>10.37</v>
      </c>
      <c r="K11">
        <f>VLOOKUP(H11,$A$1:F$161,K$2,0)</f>
        <v>8.1999999999999993</v>
      </c>
      <c r="L11">
        <f>VLOOKUP(H11,$A$1:F$161,L$2,0)</f>
        <v>7.16</v>
      </c>
      <c r="M11">
        <f>VLOOKUP(H11,$A$1:F$161,M$2,0)</f>
        <v>5.9</v>
      </c>
    </row>
    <row r="12" spans="1:13" x14ac:dyDescent="0.25">
      <c r="A12" t="s">
        <v>11</v>
      </c>
      <c r="B12">
        <v>631.16</v>
      </c>
      <c r="C12">
        <v>569.44000000000005</v>
      </c>
      <c r="D12">
        <v>433.2</v>
      </c>
      <c r="E12">
        <v>776.17</v>
      </c>
      <c r="F12">
        <v>751.28</v>
      </c>
      <c r="H12" t="s">
        <v>18</v>
      </c>
      <c r="I12">
        <f>VLOOKUP(H12,$A$1:F$161,I$2,0)</f>
        <v>62.45</v>
      </c>
      <c r="J12">
        <f>VLOOKUP(H12,$A$1:F$161,J$2,0)</f>
        <v>74.27</v>
      </c>
      <c r="K12">
        <f>VLOOKUP(H12,$A$1:F$161,K$2,0)</f>
        <v>206.78</v>
      </c>
      <c r="L12">
        <f>VLOOKUP(H12,$A$1:F$161,L$2,0)</f>
        <v>494.65</v>
      </c>
      <c r="M12">
        <f>VLOOKUP(H12,$A$1:F$161,M$2,0)</f>
        <v>592.49</v>
      </c>
    </row>
    <row r="13" spans="1:13" x14ac:dyDescent="0.25">
      <c r="A13" t="s">
        <v>115</v>
      </c>
      <c r="B13">
        <v>3.19</v>
      </c>
      <c r="C13">
        <v>3.19</v>
      </c>
      <c r="D13">
        <v>3.19</v>
      </c>
      <c r="E13">
        <v>3.19</v>
      </c>
      <c r="F13">
        <v>3.19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657.55</v>
      </c>
      <c r="C14">
        <v>595.83000000000004</v>
      </c>
      <c r="D14">
        <v>459.58</v>
      </c>
      <c r="E14">
        <v>802.56</v>
      </c>
      <c r="F14">
        <v>777.67</v>
      </c>
      <c r="H14" t="s">
        <v>21</v>
      </c>
      <c r="I14">
        <f>VLOOKUP(H14,$A$1:F$161,I$2,0)</f>
        <v>51.87</v>
      </c>
      <c r="J14">
        <f>VLOOKUP(H14,$A$1:F$161,J$2,0)</f>
        <v>35.46</v>
      </c>
      <c r="K14">
        <f>VLOOKUP(H14,$A$1:F$161,K$2,0)</f>
        <v>59.95</v>
      </c>
      <c r="L14">
        <f>VLOOKUP(H14,$A$1:F$161,L$2,0)</f>
        <v>68.569999999999993</v>
      </c>
      <c r="M14">
        <f>VLOOKUP(H14,$A$1:F$161,M$2,0)</f>
        <v>66.959999999999994</v>
      </c>
    </row>
    <row r="15" spans="1:13" x14ac:dyDescent="0.25">
      <c r="A15" t="s">
        <v>116</v>
      </c>
      <c r="B15">
        <v>0.01</v>
      </c>
      <c r="C15">
        <v>0.49</v>
      </c>
      <c r="D15">
        <v>2.15</v>
      </c>
      <c r="E15">
        <v>11.71</v>
      </c>
      <c r="F15">
        <v>10.56</v>
      </c>
      <c r="H15" t="s">
        <v>22</v>
      </c>
      <c r="I15">
        <f>VLOOKUP(H15,$A$1:F$161,I$2,0)</f>
        <v>118.67</v>
      </c>
      <c r="J15">
        <f>VLOOKUP(H15,$A$1:F$161,J$2,0)</f>
        <v>157.76</v>
      </c>
      <c r="K15">
        <f>VLOOKUP(H15,$A$1:F$161,K$2,0)</f>
        <v>160.05000000000001</v>
      </c>
      <c r="L15">
        <f>VLOOKUP(H15,$A$1:F$161,L$2,0)</f>
        <v>154.28</v>
      </c>
      <c r="M15">
        <f>VLOOKUP(H15,$A$1:F$161,M$2,0)</f>
        <v>147.5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8.2799999999999994</v>
      </c>
      <c r="J16">
        <f>VLOOKUP(H16,$A$1:F$161,J$2,0)</f>
        <v>12.77</v>
      </c>
      <c r="K16">
        <f>VLOOKUP(H16,$A$1:F$161,K$2,0)</f>
        <v>11.25</v>
      </c>
      <c r="L16">
        <f>VLOOKUP(H16,$A$1:F$161,L$2,0)</f>
        <v>8.19</v>
      </c>
      <c r="M16">
        <f>VLOOKUP(H16,$A$1:F$161,M$2,0)</f>
        <v>7.29</v>
      </c>
    </row>
    <row r="17" spans="1:13" x14ac:dyDescent="0.25">
      <c r="A17" t="s">
        <v>14</v>
      </c>
      <c r="B17">
        <v>7.95</v>
      </c>
      <c r="C17">
        <v>34.04</v>
      </c>
      <c r="D17">
        <v>172.23</v>
      </c>
      <c r="E17">
        <v>166.57</v>
      </c>
      <c r="F17">
        <v>142.31</v>
      </c>
      <c r="H17" t="s">
        <v>24</v>
      </c>
      <c r="I17">
        <f>VLOOKUP(H17,$A$1:F$161,I$2,0)</f>
        <v>182.58</v>
      </c>
      <c r="J17">
        <f>VLOOKUP(H17,$A$1:F$161,J$2,0)</f>
        <v>207.93</v>
      </c>
      <c r="K17">
        <f>VLOOKUP(H17,$A$1:F$161,K$2,0)</f>
        <v>319.69</v>
      </c>
      <c r="L17">
        <f>VLOOKUP(H17,$A$1:F$161,L$2,0)</f>
        <v>325.61</v>
      </c>
      <c r="M17">
        <f>VLOOKUP(H17,$A$1:F$161,M$2,0)</f>
        <v>325.89999999999998</v>
      </c>
    </row>
    <row r="18" spans="1:13" x14ac:dyDescent="0.25">
      <c r="A18" t="s">
        <v>15</v>
      </c>
      <c r="B18">
        <v>23.9</v>
      </c>
      <c r="C18">
        <v>24.06</v>
      </c>
      <c r="D18">
        <v>22.36</v>
      </c>
      <c r="E18">
        <v>26.34</v>
      </c>
      <c r="F18">
        <v>18.61</v>
      </c>
      <c r="H18" t="s">
        <v>25</v>
      </c>
      <c r="I18">
        <f>VLOOKUP(H18,$A$1:F$161,I$2,0)</f>
        <v>902.58</v>
      </c>
      <c r="J18">
        <f>VLOOKUP(H18,$A$1:F$161,J$2,0)</f>
        <v>878.51</v>
      </c>
      <c r="K18">
        <f>VLOOKUP(H18,$A$1:F$161,K$2,0)</f>
        <v>988.21</v>
      </c>
      <c r="L18">
        <f>VLOOKUP(H18,$A$1:F$161,L$2,0)</f>
        <v>1634.52</v>
      </c>
      <c r="M18">
        <f>VLOOKUP(H18,$A$1:F$161,M$2,0)</f>
        <v>1706.61</v>
      </c>
    </row>
    <row r="19" spans="1:13" x14ac:dyDescent="0.25">
      <c r="A19" t="s">
        <v>16</v>
      </c>
      <c r="B19">
        <v>14.05</v>
      </c>
      <c r="C19">
        <v>5.8</v>
      </c>
      <c r="D19">
        <v>4</v>
      </c>
      <c r="E19">
        <v>294.57</v>
      </c>
      <c r="F19">
        <v>425.67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16.55</v>
      </c>
      <c r="C20">
        <v>10.37</v>
      </c>
      <c r="D20">
        <v>8.1999999999999993</v>
      </c>
      <c r="E20">
        <v>7.16</v>
      </c>
      <c r="F20">
        <v>5.9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62.45</v>
      </c>
      <c r="C21">
        <v>74.27</v>
      </c>
      <c r="D21">
        <v>206.78</v>
      </c>
      <c r="E21">
        <v>494.65</v>
      </c>
      <c r="F21">
        <v>592.49</v>
      </c>
      <c r="H21" t="s">
        <v>28</v>
      </c>
      <c r="I21">
        <f>VLOOKUP(H21,$A$1:F$161,I$2,0)</f>
        <v>574.87</v>
      </c>
      <c r="J21">
        <f>VLOOKUP(H21,$A$1:F$161,J$2,0)</f>
        <v>575.94000000000005</v>
      </c>
      <c r="K21">
        <f>VLOOKUP(H21,$A$1:F$161,K$2,0)</f>
        <v>474.98</v>
      </c>
      <c r="L21">
        <f>VLOOKUP(H21,$A$1:F$161,L$2,0)</f>
        <v>464.7</v>
      </c>
      <c r="M21">
        <f>VLOOKUP(H21,$A$1:F$161,M$2,0)</f>
        <v>414.58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7.4</v>
      </c>
      <c r="J22">
        <f>VLOOKUP(H22,$A$1:F$161,J$2,0)</f>
        <v>15.74</v>
      </c>
      <c r="K22">
        <f>VLOOKUP(H22,$A$1:F$161,K$2,0)</f>
        <v>75.72</v>
      </c>
      <c r="L22">
        <f>VLOOKUP(H22,$A$1:F$161,L$2,0)</f>
        <v>41.79</v>
      </c>
      <c r="M22">
        <f>VLOOKUP(H22,$A$1:F$161,M$2,0)</f>
        <v>8.73</v>
      </c>
    </row>
    <row r="23" spans="1:13" x14ac:dyDescent="0.25">
      <c r="A23" t="s">
        <v>20</v>
      </c>
      <c r="B23">
        <v>3.76</v>
      </c>
      <c r="C23">
        <v>1.94</v>
      </c>
      <c r="D23">
        <v>88.44</v>
      </c>
      <c r="E23">
        <v>94.58</v>
      </c>
      <c r="F23">
        <v>104.14</v>
      </c>
      <c r="H23" t="s">
        <v>30</v>
      </c>
      <c r="I23">
        <f>VLOOKUP(H23,$A$1:F$161,I$2,0)</f>
        <v>587.35</v>
      </c>
      <c r="J23">
        <f>VLOOKUP(H23,$A$1:F$161,J$2,0)</f>
        <v>598.15</v>
      </c>
      <c r="K23">
        <f>VLOOKUP(H23,$A$1:F$161,K$2,0)</f>
        <v>558.39</v>
      </c>
      <c r="L23">
        <f>VLOOKUP(H23,$A$1:F$161,L$2,0)</f>
        <v>517.36</v>
      </c>
      <c r="M23">
        <f>VLOOKUP(H23,$A$1:F$161,M$2,0)</f>
        <v>441.78</v>
      </c>
    </row>
    <row r="24" spans="1:13" x14ac:dyDescent="0.25">
      <c r="A24" t="s">
        <v>21</v>
      </c>
      <c r="B24">
        <v>51.87</v>
      </c>
      <c r="C24">
        <v>35.46</v>
      </c>
      <c r="D24">
        <v>59.95</v>
      </c>
      <c r="E24">
        <v>68.569999999999993</v>
      </c>
      <c r="F24">
        <v>66.959999999999994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22</v>
      </c>
      <c r="B25">
        <v>118.67</v>
      </c>
      <c r="C25">
        <v>157.76</v>
      </c>
      <c r="D25">
        <v>160.05000000000001</v>
      </c>
      <c r="E25">
        <v>154.28</v>
      </c>
      <c r="F25">
        <v>147.5</v>
      </c>
      <c r="H25" t="s">
        <v>33</v>
      </c>
      <c r="I25">
        <f>VLOOKUP(H25,$A$1:F$161,I$2,0)</f>
        <v>0</v>
      </c>
      <c r="J25">
        <f>VLOOKUP(H25,$A$1:F$161,J$2,0)</f>
        <v>5.47</v>
      </c>
      <c r="K25">
        <f>VLOOKUP(H25,$A$1:F$161,K$2,0)</f>
        <v>5.38</v>
      </c>
      <c r="L25">
        <f>VLOOKUP(H25,$A$1:F$161,L$2,0)</f>
        <v>4.63</v>
      </c>
      <c r="M25">
        <f>VLOOKUP(H25,$A$1:F$161,M$2,0)</f>
        <v>4.12</v>
      </c>
    </row>
    <row r="26" spans="1:13" x14ac:dyDescent="0.25">
      <c r="A26" t="s">
        <v>23</v>
      </c>
      <c r="B26">
        <v>8.2799999999999994</v>
      </c>
      <c r="C26">
        <v>12.77</v>
      </c>
      <c r="D26">
        <v>11.25</v>
      </c>
      <c r="E26">
        <v>8.19</v>
      </c>
      <c r="F26">
        <v>7.29</v>
      </c>
      <c r="H26" t="s">
        <v>34</v>
      </c>
      <c r="I26">
        <f>VLOOKUP(H26,$A$1:F$161,I$2,0)</f>
        <v>6.79</v>
      </c>
      <c r="J26">
        <f>VLOOKUP(H26,$A$1:F$161,J$2,0)</f>
        <v>2.2400000000000002</v>
      </c>
      <c r="K26">
        <f>VLOOKUP(H26,$A$1:F$161,K$2,0)</f>
        <v>3.43</v>
      </c>
      <c r="L26">
        <f>VLOOKUP(H26,$A$1:F$161,L$2,0)</f>
        <v>2.57</v>
      </c>
      <c r="M26">
        <f>VLOOKUP(H26,$A$1:F$161,M$2,0)</f>
        <v>4.9800000000000004</v>
      </c>
    </row>
    <row r="27" spans="1:13" x14ac:dyDescent="0.25">
      <c r="A27" t="s">
        <v>24</v>
      </c>
      <c r="B27">
        <v>182.58</v>
      </c>
      <c r="C27">
        <v>207.93</v>
      </c>
      <c r="D27">
        <v>319.69</v>
      </c>
      <c r="E27">
        <v>325.61</v>
      </c>
      <c r="F27">
        <v>325.89999999999998</v>
      </c>
      <c r="H27" t="s">
        <v>35</v>
      </c>
      <c r="I27">
        <f>VLOOKUP(H27,$A$1:F$161,I$2,0)</f>
        <v>611.82000000000005</v>
      </c>
      <c r="J27">
        <f>VLOOKUP(H27,$A$1:F$161,J$2,0)</f>
        <v>619.04999999999995</v>
      </c>
      <c r="K27">
        <f>VLOOKUP(H27,$A$1:F$161,K$2,0)</f>
        <v>719.52</v>
      </c>
      <c r="L27">
        <f>VLOOKUP(H27,$A$1:F$161,L$2,0)</f>
        <v>1359.58</v>
      </c>
      <c r="M27">
        <f>VLOOKUP(H27,$A$1:F$161,M$2,0)</f>
        <v>1452.61</v>
      </c>
    </row>
    <row r="28" spans="1:13" x14ac:dyDescent="0.25">
      <c r="A28" t="s">
        <v>25</v>
      </c>
      <c r="B28">
        <v>902.58</v>
      </c>
      <c r="C28">
        <v>878.51</v>
      </c>
      <c r="D28">
        <v>988.21</v>
      </c>
      <c r="E28">
        <v>1634.52</v>
      </c>
      <c r="F28">
        <v>1706.61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205.84</v>
      </c>
      <c r="J29">
        <f>VLOOKUP(H29,$A$1:F$161,J$2,0)</f>
        <v>198.27</v>
      </c>
      <c r="K29">
        <f>VLOOKUP(H29,$A$1:F$161,K$2,0)</f>
        <v>144.66999999999999</v>
      </c>
      <c r="L29">
        <f>VLOOKUP(H29,$A$1:F$161,L$2,0)</f>
        <v>138.36000000000001</v>
      </c>
      <c r="M29">
        <f>VLOOKUP(H29,$A$1:F$161,M$2,0)</f>
        <v>154.75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18.48</v>
      </c>
      <c r="J30">
        <f>VLOOKUP(H30,$A$1:F$161,J$2,0)</f>
        <v>15.22</v>
      </c>
      <c r="K30">
        <f>VLOOKUP(H30,$A$1:F$161,K$2,0)</f>
        <v>21.89</v>
      </c>
      <c r="L30">
        <f>VLOOKUP(H30,$A$1:F$161,L$2,0)</f>
        <v>42.35</v>
      </c>
      <c r="M30">
        <f>VLOOKUP(H30,$A$1:F$161,M$2,0)</f>
        <v>12.89</v>
      </c>
    </row>
    <row r="31" spans="1:13" x14ac:dyDescent="0.25">
      <c r="A31" t="s">
        <v>28</v>
      </c>
      <c r="B31">
        <v>574.87</v>
      </c>
      <c r="C31">
        <v>575.94000000000005</v>
      </c>
      <c r="D31">
        <v>474.98</v>
      </c>
      <c r="E31">
        <v>464.7</v>
      </c>
      <c r="F31">
        <v>414.58</v>
      </c>
      <c r="H31" t="s">
        <v>40</v>
      </c>
      <c r="I31">
        <f>VLOOKUP(H31,$A$1:F$161,I$2,0)</f>
        <v>35.61</v>
      </c>
      <c r="J31">
        <f>VLOOKUP(H31,$A$1:F$161,J$2,0)</f>
        <v>23.56</v>
      </c>
      <c r="K31">
        <f>VLOOKUP(H31,$A$1:F$161,K$2,0)</f>
        <v>58.25</v>
      </c>
      <c r="L31">
        <f>VLOOKUP(H31,$A$1:F$161,L$2,0)</f>
        <v>74.75</v>
      </c>
      <c r="M31">
        <f>VLOOKUP(H31,$A$1:F$161,M$2,0)</f>
        <v>68.819999999999993</v>
      </c>
    </row>
    <row r="32" spans="1:13" x14ac:dyDescent="0.25">
      <c r="A32" t="s">
        <v>106</v>
      </c>
      <c r="B32">
        <v>4.4400000000000004</v>
      </c>
      <c r="C32">
        <v>3.9</v>
      </c>
      <c r="D32">
        <v>6.11</v>
      </c>
      <c r="E32">
        <v>10.86</v>
      </c>
      <c r="F32">
        <v>18.48</v>
      </c>
      <c r="H32" t="s">
        <v>41</v>
      </c>
      <c r="I32">
        <f>VLOOKUP(H32,$A$1:F$161,I$2,0)</f>
        <v>0.09</v>
      </c>
      <c r="J32">
        <f>VLOOKUP(H32,$A$1:F$161,J$2,0)</f>
        <v>3.68</v>
      </c>
      <c r="K32">
        <f>VLOOKUP(H32,$A$1:F$161,K$2,0)</f>
        <v>2.82</v>
      </c>
      <c r="L32">
        <f>VLOOKUP(H32,$A$1:F$161,L$2,0)</f>
        <v>2.37</v>
      </c>
      <c r="M32">
        <f>VLOOKUP(H32,$A$1:F$161,M$2,0)</f>
        <v>4.37</v>
      </c>
    </row>
    <row r="33" spans="1:13" x14ac:dyDescent="0.25">
      <c r="A33" t="s">
        <v>29</v>
      </c>
      <c r="B33">
        <v>7.4</v>
      </c>
      <c r="C33">
        <v>15.74</v>
      </c>
      <c r="D33">
        <v>75.72</v>
      </c>
      <c r="E33">
        <v>41.79</v>
      </c>
      <c r="F33">
        <v>8.73</v>
      </c>
      <c r="H33" t="s">
        <v>42</v>
      </c>
      <c r="I33">
        <f>VLOOKUP(H33,$A$1:F$161,I$2,0)</f>
        <v>30.73</v>
      </c>
      <c r="J33">
        <f>VLOOKUP(H33,$A$1:F$161,J$2,0)</f>
        <v>18.73</v>
      </c>
      <c r="K33">
        <f>VLOOKUP(H33,$A$1:F$161,K$2,0)</f>
        <v>41.04</v>
      </c>
      <c r="L33">
        <f>VLOOKUP(H33,$A$1:F$161,L$2,0)</f>
        <v>17.11</v>
      </c>
      <c r="M33">
        <f>VLOOKUP(H33,$A$1:F$161,M$2,0)</f>
        <v>13.16</v>
      </c>
    </row>
    <row r="34" spans="1:13" x14ac:dyDescent="0.25">
      <c r="A34" t="s">
        <v>120</v>
      </c>
      <c r="B34">
        <v>0.64</v>
      </c>
      <c r="C34">
        <v>2.58</v>
      </c>
      <c r="D34">
        <v>1.58</v>
      </c>
      <c r="E34">
        <v>0</v>
      </c>
      <c r="F34">
        <v>0</v>
      </c>
      <c r="H34" t="s">
        <v>43</v>
      </c>
      <c r="I34">
        <f>VLOOKUP(H34,$A$1:F$161,I$2,0)</f>
        <v>290.76</v>
      </c>
      <c r="J34">
        <f>VLOOKUP(H34,$A$1:F$161,J$2,0)</f>
        <v>259.45999999999998</v>
      </c>
      <c r="K34">
        <f>VLOOKUP(H34,$A$1:F$161,K$2,0)</f>
        <v>268.68</v>
      </c>
      <c r="L34">
        <f>VLOOKUP(H34,$A$1:F$161,L$2,0)</f>
        <v>274.94</v>
      </c>
      <c r="M34">
        <f>VLOOKUP(H34,$A$1:F$161,M$2,0)</f>
        <v>254</v>
      </c>
    </row>
    <row r="35" spans="1:13" x14ac:dyDescent="0.25">
      <c r="A35" t="s">
        <v>30</v>
      </c>
      <c r="B35">
        <v>587.35</v>
      </c>
      <c r="C35">
        <v>598.15</v>
      </c>
      <c r="D35">
        <v>558.39</v>
      </c>
      <c r="E35">
        <v>517.36</v>
      </c>
      <c r="F35">
        <v>441.78</v>
      </c>
      <c r="H35" t="s">
        <v>44</v>
      </c>
      <c r="I35">
        <f>VLOOKUP(H35,$A$1:F$161,I$2,0)</f>
        <v>902.58</v>
      </c>
      <c r="J35">
        <f>VLOOKUP(H35,$A$1:F$161,J$2,0)</f>
        <v>878.51</v>
      </c>
      <c r="K35">
        <f>VLOOKUP(H35,$A$1:F$161,K$2,0)</f>
        <v>988.21</v>
      </c>
      <c r="L35">
        <f>VLOOKUP(H35,$A$1:F$161,L$2,0)</f>
        <v>1634.52</v>
      </c>
      <c r="M35">
        <f>VLOOKUP(H35,$A$1:F$161,M$2,0)</f>
        <v>1706.61</v>
      </c>
    </row>
    <row r="36" spans="1:13" x14ac:dyDescent="0.25">
      <c r="A36" t="s">
        <v>31</v>
      </c>
      <c r="B36">
        <v>17.68</v>
      </c>
      <c r="C36">
        <v>13.19</v>
      </c>
      <c r="D36">
        <v>152.32</v>
      </c>
      <c r="E36">
        <v>835.02</v>
      </c>
      <c r="F36">
        <v>1001.72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33</v>
      </c>
      <c r="B37">
        <v>0</v>
      </c>
      <c r="C37">
        <v>5.47</v>
      </c>
      <c r="D37">
        <v>5.38</v>
      </c>
      <c r="E37">
        <v>4.63</v>
      </c>
      <c r="F37">
        <v>4.12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34</v>
      </c>
      <c r="B38">
        <v>6.79</v>
      </c>
      <c r="C38">
        <v>2.2400000000000002</v>
      </c>
      <c r="D38">
        <v>3.43</v>
      </c>
      <c r="E38">
        <v>2.57</v>
      </c>
      <c r="F38">
        <v>4.9800000000000004</v>
      </c>
      <c r="H38" t="s">
        <v>47</v>
      </c>
      <c r="I38">
        <f>VLOOKUP(H38,$A$1:F$161,I$2,0)</f>
        <v>14.7</v>
      </c>
      <c r="J38">
        <f>VLOOKUP(H38,$A$1:F$161,J$2,0)</f>
        <v>9.58</v>
      </c>
      <c r="K38">
        <f>VLOOKUP(H38,$A$1:F$161,K$2,0)</f>
        <v>31.13</v>
      </c>
      <c r="L38">
        <f>VLOOKUP(H38,$A$1:F$161,L$2,0)</f>
        <v>11.7</v>
      </c>
      <c r="M38">
        <f>VLOOKUP(H38,$A$1:F$161,M$2,0)</f>
        <v>34.6</v>
      </c>
    </row>
    <row r="39" spans="1:13" x14ac:dyDescent="0.25">
      <c r="A39" t="s">
        <v>35</v>
      </c>
      <c r="B39">
        <v>611.82000000000005</v>
      </c>
      <c r="C39">
        <v>619.04999999999995</v>
      </c>
      <c r="D39">
        <v>719.52</v>
      </c>
      <c r="E39">
        <v>1359.58</v>
      </c>
      <c r="F39">
        <v>1452.61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ht="15" customHeight="1" x14ac:dyDescent="0.25">
      <c r="A40" t="s">
        <v>36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38</v>
      </c>
      <c r="B41">
        <v>205.84</v>
      </c>
      <c r="C41">
        <v>198.27</v>
      </c>
      <c r="D41">
        <v>144.66999999999999</v>
      </c>
      <c r="E41">
        <v>138.36000000000001</v>
      </c>
      <c r="F41">
        <v>154.75</v>
      </c>
      <c r="H41" t="s">
        <v>64</v>
      </c>
      <c r="I41" t="e">
        <f>VLOOKUP(H41,$A$1:F$161,I$2,0)</f>
        <v>#N/A</v>
      </c>
      <c r="J41" t="e">
        <f>VLOOKUP(H41,$A$1:F$161,J$2,0)</f>
        <v>#N/A</v>
      </c>
      <c r="K41" t="e">
        <f>VLOOKUP(H41,$A$1:F$161,K$2,0)</f>
        <v>#N/A</v>
      </c>
      <c r="L41" t="e">
        <f>VLOOKUP(H41,$A$1:F$161,L$2,0)</f>
        <v>#N/A</v>
      </c>
      <c r="M41" t="e">
        <f>VLOOKUP(H41,$A$1:F$161,M$2,0)</f>
        <v>#N/A</v>
      </c>
    </row>
    <row r="42" spans="1:13" x14ac:dyDescent="0.25">
      <c r="A42" t="s">
        <v>39</v>
      </c>
      <c r="B42">
        <v>18.48</v>
      </c>
      <c r="C42">
        <v>15.22</v>
      </c>
      <c r="D42">
        <v>21.89</v>
      </c>
      <c r="E42">
        <v>42.35</v>
      </c>
      <c r="F42">
        <v>12.89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40</v>
      </c>
      <c r="B43">
        <v>35.61</v>
      </c>
      <c r="C43">
        <v>23.56</v>
      </c>
      <c r="D43">
        <v>58.25</v>
      </c>
      <c r="E43">
        <v>74.75</v>
      </c>
      <c r="F43">
        <v>68.819999999999993</v>
      </c>
      <c r="H43" t="s">
        <v>68</v>
      </c>
      <c r="I43">
        <f>VLOOKUP(H43,$A$1:F$161,I$2,0)</f>
        <v>2678.61</v>
      </c>
      <c r="J43">
        <f>VLOOKUP(H43,$A$1:F$161,J$2,0)</f>
        <v>2472.69</v>
      </c>
      <c r="K43">
        <f>VLOOKUP(H43,$A$1:F$161,K$2,0)</f>
        <v>2724.23</v>
      </c>
      <c r="L43">
        <f>VLOOKUP(H43,$A$1:F$161,L$2,0)</f>
        <v>2508.38</v>
      </c>
      <c r="M43">
        <f>VLOOKUP(H43,$A$1:F$161,M$2,0)</f>
        <v>2371.0500000000002</v>
      </c>
    </row>
    <row r="44" spans="1:13" x14ac:dyDescent="0.25">
      <c r="A44" t="s">
        <v>41</v>
      </c>
      <c r="B44">
        <v>0.09</v>
      </c>
      <c r="C44">
        <v>3.68</v>
      </c>
      <c r="D44">
        <v>2.82</v>
      </c>
      <c r="E44">
        <v>2.37</v>
      </c>
      <c r="F44">
        <v>4.37</v>
      </c>
      <c r="H44" t="s">
        <v>70</v>
      </c>
      <c r="I44">
        <f>VLOOKUP(H44,$A$1:F$161,I$2,0)</f>
        <v>2678.61</v>
      </c>
      <c r="J44">
        <f>VLOOKUP(H44,$A$1:F$161,J$2,0)</f>
        <v>2472.69</v>
      </c>
      <c r="K44">
        <f>VLOOKUP(H44,$A$1:F$161,K$2,0)</f>
        <v>2724.23</v>
      </c>
      <c r="L44">
        <f>VLOOKUP(H44,$A$1:F$161,L$2,0)</f>
        <v>2508.38</v>
      </c>
      <c r="M44">
        <f>VLOOKUP(H44,$A$1:F$161,M$2,0)</f>
        <v>2370.71</v>
      </c>
    </row>
    <row r="45" spans="1:13" x14ac:dyDescent="0.25">
      <c r="A45" t="s">
        <v>42</v>
      </c>
      <c r="B45">
        <v>30.73</v>
      </c>
      <c r="C45">
        <v>18.73</v>
      </c>
      <c r="D45">
        <v>41.04</v>
      </c>
      <c r="E45">
        <v>17.11</v>
      </c>
      <c r="F45">
        <v>13.16</v>
      </c>
      <c r="H45" t="s">
        <v>71</v>
      </c>
      <c r="I45">
        <f>VLOOKUP(H45,$A$1:F$161,I$2,0)</f>
        <v>2.67</v>
      </c>
      <c r="J45">
        <f>VLOOKUP(H45,$A$1:F$161,J$2,0)</f>
        <v>0.43</v>
      </c>
      <c r="K45">
        <f>VLOOKUP(H45,$A$1:F$161,K$2,0)</f>
        <v>1.68</v>
      </c>
      <c r="L45">
        <f>VLOOKUP(H45,$A$1:F$161,L$2,0)</f>
        <v>6.37</v>
      </c>
      <c r="M45">
        <f>VLOOKUP(H45,$A$1:F$161,M$2,0)</f>
        <v>2.37</v>
      </c>
    </row>
    <row r="46" spans="1:13" x14ac:dyDescent="0.25">
      <c r="A46" t="s">
        <v>43</v>
      </c>
      <c r="B46">
        <v>290.76</v>
      </c>
      <c r="C46">
        <v>259.45999999999998</v>
      </c>
      <c r="D46">
        <v>268.68</v>
      </c>
      <c r="E46">
        <v>274.94</v>
      </c>
      <c r="F46">
        <v>254</v>
      </c>
      <c r="H46" t="s">
        <v>72</v>
      </c>
      <c r="I46">
        <f>VLOOKUP(H46,$A$1:F$161,I$2,0)</f>
        <v>2681.28</v>
      </c>
      <c r="J46">
        <f>VLOOKUP(H46,$A$1:F$161,J$2,0)</f>
        <v>2473.11</v>
      </c>
      <c r="K46">
        <f>VLOOKUP(H46,$A$1:F$161,K$2,0)</f>
        <v>2725.9</v>
      </c>
      <c r="L46">
        <f>VLOOKUP(H46,$A$1:F$161,L$2,0)</f>
        <v>2514.75</v>
      </c>
      <c r="M46">
        <f>VLOOKUP(H46,$A$1:F$161,M$2,0)</f>
        <v>2373.09</v>
      </c>
    </row>
    <row r="47" spans="1:13" x14ac:dyDescent="0.25">
      <c r="A47" t="s">
        <v>44</v>
      </c>
      <c r="B47">
        <v>902.58</v>
      </c>
      <c r="C47">
        <v>878.51</v>
      </c>
      <c r="D47">
        <v>988.21</v>
      </c>
      <c r="E47">
        <v>1634.52</v>
      </c>
      <c r="F47">
        <v>1706.61</v>
      </c>
      <c r="H47" t="s">
        <v>73</v>
      </c>
      <c r="I47">
        <f>VLOOKUP(H47,$A$1:F$161,I$2,0)</f>
        <v>11.27</v>
      </c>
      <c r="J47">
        <f>VLOOKUP(H47,$A$1:F$161,J$2,0)</f>
        <v>8.0299999999999994</v>
      </c>
      <c r="K47">
        <f>VLOOKUP(H47,$A$1:F$161,K$2,0)</f>
        <v>303.36</v>
      </c>
      <c r="L47">
        <f>VLOOKUP(H47,$A$1:F$161,L$2,0)</f>
        <v>140.12</v>
      </c>
      <c r="M47">
        <f>VLOOKUP(H47,$A$1:F$161,M$2,0)</f>
        <v>403.04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2692.55</v>
      </c>
      <c r="J48">
        <f>VLOOKUP(H48,$A$1:F$161,J$2,0)</f>
        <v>2481.15</v>
      </c>
      <c r="K48">
        <f>VLOOKUP(H48,$A$1:F$161,K$2,0)</f>
        <v>3029.26</v>
      </c>
      <c r="L48">
        <f>VLOOKUP(H48,$A$1:F$161,L$2,0)</f>
        <v>2654.87</v>
      </c>
      <c r="M48">
        <f>VLOOKUP(H48,$A$1:F$161,M$2,0)</f>
        <v>2776.13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14.7</v>
      </c>
      <c r="C50">
        <v>9.58</v>
      </c>
      <c r="D50">
        <v>31.13</v>
      </c>
      <c r="E50">
        <v>11.7</v>
      </c>
      <c r="F50">
        <v>34.6</v>
      </c>
      <c r="H50" t="s">
        <v>76</v>
      </c>
      <c r="I50">
        <f>VLOOKUP(H50,$A$1:F$161,I$2,0)</f>
        <v>2060.52</v>
      </c>
      <c r="J50">
        <f>VLOOKUP(H50,$A$1:F$161,J$2,0)</f>
        <v>1841.98</v>
      </c>
      <c r="K50">
        <f>VLOOKUP(H50,$A$1:F$161,K$2,0)</f>
        <v>2226.34</v>
      </c>
      <c r="L50">
        <f>VLOOKUP(H50,$A$1:F$161,L$2,0)</f>
        <v>1880.5</v>
      </c>
      <c r="M50">
        <f>VLOOKUP(H50,$A$1:F$161,M$2,0)</f>
        <v>1851.94</v>
      </c>
    </row>
    <row r="51" spans="1:13" ht="15" customHeight="1" x14ac:dyDescent="0.25">
      <c r="A51" t="s">
        <v>57</v>
      </c>
      <c r="H51" t="s">
        <v>77</v>
      </c>
      <c r="I51">
        <f>VLOOKUP(H51,$A$1:F$161,I$2,0)</f>
        <v>16.940000000000001</v>
      </c>
      <c r="J51">
        <f>VLOOKUP(H51,$A$1:F$161,J$2,0)</f>
        <v>26.69</v>
      </c>
      <c r="K51">
        <f>VLOOKUP(H51,$A$1:F$161,K$2,0)</f>
        <v>11.97</v>
      </c>
      <c r="L51">
        <f>VLOOKUP(H51,$A$1:F$161,L$2,0)</f>
        <v>59.24</v>
      </c>
      <c r="M51">
        <f>VLOOKUP(H51,$A$1:F$161,M$2,0)</f>
        <v>110.86</v>
      </c>
    </row>
    <row r="52" spans="1:13" x14ac:dyDescent="0.25">
      <c r="A52" t="s">
        <v>58</v>
      </c>
      <c r="B52">
        <v>11.6</v>
      </c>
      <c r="C52">
        <v>11.6</v>
      </c>
      <c r="D52">
        <v>11.6</v>
      </c>
      <c r="E52">
        <v>11.6</v>
      </c>
      <c r="F52">
        <v>11.6</v>
      </c>
      <c r="H52" t="s">
        <v>78</v>
      </c>
      <c r="I52">
        <f>VLOOKUP(H52,$A$1:F$161,I$2,0)</f>
        <v>6.01</v>
      </c>
      <c r="J52">
        <f>VLOOKUP(H52,$A$1:F$161,J$2,0)</f>
        <v>-31.3</v>
      </c>
      <c r="K52">
        <f>VLOOKUP(H52,$A$1:F$161,K$2,0)</f>
        <v>-13.75</v>
      </c>
      <c r="L52">
        <f>VLOOKUP(H52,$A$1:F$161,L$2,0)</f>
        <v>33.270000000000003</v>
      </c>
      <c r="M52">
        <f>VLOOKUP(H52,$A$1:F$161,M$2,0)</f>
        <v>-43.39</v>
      </c>
    </row>
    <row r="53" spans="1:13" ht="24" customHeight="1" x14ac:dyDescent="0.25">
      <c r="A53" t="s">
        <v>59</v>
      </c>
      <c r="H53" t="s">
        <v>79</v>
      </c>
      <c r="I53">
        <f>VLOOKUP(H53,$A$1:F$161,I$2,0)</f>
        <v>184.29</v>
      </c>
      <c r="J53">
        <f>VLOOKUP(H53,$A$1:F$161,J$2,0)</f>
        <v>177.89</v>
      </c>
      <c r="K53">
        <f>VLOOKUP(H53,$A$1:F$161,K$2,0)</f>
        <v>156.38999999999999</v>
      </c>
      <c r="L53">
        <f>VLOOKUP(H53,$A$1:F$161,L$2,0)</f>
        <v>141.83000000000001</v>
      </c>
      <c r="M53">
        <f>VLOOKUP(H53,$A$1:F$161,M$2,0)</f>
        <v>124.18</v>
      </c>
    </row>
    <row r="54" spans="1:13" x14ac:dyDescent="0.25">
      <c r="A54" t="s">
        <v>60</v>
      </c>
      <c r="B54">
        <v>0.02</v>
      </c>
      <c r="C54">
        <v>0.01</v>
      </c>
      <c r="D54">
        <v>143.86000000000001</v>
      </c>
      <c r="E54">
        <v>826.07</v>
      </c>
      <c r="F54">
        <v>1000.88</v>
      </c>
      <c r="H54" t="s">
        <v>80</v>
      </c>
      <c r="I54">
        <f>VLOOKUP(H54,$A$1:F$161,I$2,0)</f>
        <v>4.01</v>
      </c>
      <c r="J54">
        <f>VLOOKUP(H54,$A$1:F$161,J$2,0)</f>
        <v>19.18</v>
      </c>
      <c r="K54">
        <f>VLOOKUP(H54,$A$1:F$161,K$2,0)</f>
        <v>22.63</v>
      </c>
      <c r="L54">
        <f>VLOOKUP(H54,$A$1:F$161,L$2,0)</f>
        <v>21.48</v>
      </c>
      <c r="M54">
        <f>VLOOKUP(H54,$A$1:F$161,M$2,0)</f>
        <v>18.239999999999998</v>
      </c>
    </row>
    <row r="55" spans="1:13" x14ac:dyDescent="0.25">
      <c r="A55" t="s">
        <v>61</v>
      </c>
      <c r="B55">
        <v>0.27</v>
      </c>
      <c r="C55">
        <v>0.27</v>
      </c>
      <c r="D55">
        <v>0.27</v>
      </c>
      <c r="E55">
        <v>0.27</v>
      </c>
      <c r="F55">
        <v>0.27</v>
      </c>
      <c r="H55" t="s">
        <v>81</v>
      </c>
      <c r="I55">
        <f>VLOOKUP(H55,$A$1:F$161,I$2,0)</f>
        <v>0.42</v>
      </c>
      <c r="J55">
        <f>VLOOKUP(H55,$A$1:F$161,J$2,0)</f>
        <v>4.24</v>
      </c>
      <c r="K55">
        <f>VLOOKUP(H55,$A$1:F$161,K$2,0)</f>
        <v>0.74</v>
      </c>
      <c r="L55">
        <f>VLOOKUP(H55,$A$1:F$161,L$2,0)</f>
        <v>3.66</v>
      </c>
      <c r="M55">
        <f>VLOOKUP(H55,$A$1:F$161,M$2,0)</f>
        <v>0.4</v>
      </c>
    </row>
    <row r="56" spans="1:13" ht="24" customHeight="1" x14ac:dyDescent="0.25">
      <c r="A56" t="s">
        <v>62</v>
      </c>
      <c r="H56" t="s">
        <v>82</v>
      </c>
      <c r="I56">
        <f>VLOOKUP(H56,$A$1:F$161,I$2,0)</f>
        <v>52.18</v>
      </c>
      <c r="J56">
        <f>VLOOKUP(H56,$A$1:F$161,J$2,0)</f>
        <v>46.23</v>
      </c>
      <c r="K56">
        <f>VLOOKUP(H56,$A$1:F$161,K$2,0)</f>
        <v>50.13</v>
      </c>
      <c r="L56">
        <f>VLOOKUP(H56,$A$1:F$161,L$2,0)</f>
        <v>44.66</v>
      </c>
      <c r="M56">
        <f>VLOOKUP(H56,$A$1:F$161,M$2,0)</f>
        <v>37.83</v>
      </c>
    </row>
    <row r="57" spans="1:13" x14ac:dyDescent="0.25">
      <c r="H57" t="s">
        <v>83</v>
      </c>
      <c r="I57">
        <f>VLOOKUP(H57,$A$1:F$161,I$2,0)</f>
        <v>222.27</v>
      </c>
      <c r="J57">
        <f>VLOOKUP(H57,$A$1:F$161,J$2,0)</f>
        <v>191.51</v>
      </c>
      <c r="K57">
        <f>VLOOKUP(H57,$A$1:F$161,K$2,0)</f>
        <v>727.28</v>
      </c>
      <c r="L57">
        <f>VLOOKUP(H57,$A$1:F$161,L$2,0)</f>
        <v>342.31</v>
      </c>
      <c r="M57">
        <f>VLOOKUP(H57,$A$1:F$161,M$2,0)</f>
        <v>586.16</v>
      </c>
    </row>
    <row r="58" spans="1:13" x14ac:dyDescent="0.25">
      <c r="H58" t="s">
        <v>84</v>
      </c>
      <c r="I58">
        <f>VLOOKUP(H58,$A$1:F$161,I$2,0)</f>
        <v>2546.64</v>
      </c>
      <c r="J58">
        <f>VLOOKUP(H58,$A$1:F$161,J$2,0)</f>
        <v>2276.41</v>
      </c>
      <c r="K58">
        <f>VLOOKUP(H58,$A$1:F$161,K$2,0)</f>
        <v>3181.74</v>
      </c>
      <c r="L58">
        <f>VLOOKUP(H58,$A$1:F$161,L$2,0)</f>
        <v>2526.9499999999998</v>
      </c>
      <c r="M58">
        <f>VLOOKUP(H58,$A$1:F$161,M$2,0)</f>
        <v>2686.23</v>
      </c>
    </row>
    <row r="59" spans="1:13" x14ac:dyDescent="0.25">
      <c r="H59" t="s">
        <v>85</v>
      </c>
      <c r="I59">
        <f>VLOOKUP(H59,$A$1:F$161,I$2,0)</f>
        <v>145.91999999999999</v>
      </c>
      <c r="J59">
        <f>VLOOKUP(H59,$A$1:F$161,J$2,0)</f>
        <v>204.73</v>
      </c>
      <c r="K59">
        <f>VLOOKUP(H59,$A$1:F$161,K$2,0)</f>
        <v>-152.47999999999999</v>
      </c>
      <c r="L59">
        <f>VLOOKUP(H59,$A$1:F$161,L$2,0)</f>
        <v>127.92</v>
      </c>
      <c r="M59">
        <f>VLOOKUP(H59,$A$1:F$161,M$2,0)</f>
        <v>89.9</v>
      </c>
    </row>
    <row r="60" spans="1:13" ht="15" customHeight="1" x14ac:dyDescent="0.25">
      <c r="A60" t="s">
        <v>65</v>
      </c>
      <c r="H60" t="s">
        <v>87</v>
      </c>
      <c r="I60">
        <f>VLOOKUP(H60,$A$1:F$161,I$2,0)</f>
        <v>136.78</v>
      </c>
      <c r="J60">
        <f>VLOOKUP(H60,$A$1:F$161,J$2,0)</f>
        <v>204.73</v>
      </c>
      <c r="K60">
        <f>VLOOKUP(H60,$A$1:F$161,K$2,0)</f>
        <v>-152.47999999999999</v>
      </c>
      <c r="L60">
        <f>VLOOKUP(H60,$A$1:F$161,L$2,0)</f>
        <v>127.92</v>
      </c>
      <c r="M60">
        <f>VLOOKUP(H60,$A$1:F$161,M$2,0)</f>
        <v>89.9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34.36</v>
      </c>
      <c r="J62">
        <f>VLOOKUP(H62,$A$1:F$161,J$2,0)</f>
        <v>51.64</v>
      </c>
      <c r="K62">
        <f>VLOOKUP(H62,$A$1:F$161,K$2,0)</f>
        <v>18.59</v>
      </c>
      <c r="L62">
        <f>VLOOKUP(H62,$A$1:F$161,L$2,0)</f>
        <v>42.59</v>
      </c>
      <c r="M62">
        <f>VLOOKUP(H62,$A$1:F$161,M$2,0)</f>
        <v>28</v>
      </c>
    </row>
    <row r="63" spans="1:13" x14ac:dyDescent="0.25">
      <c r="H63" t="s">
        <v>90</v>
      </c>
      <c r="I63">
        <f>VLOOKUP(H63,$A$1:F$161,I$2,0)</f>
        <v>-0.14000000000000001</v>
      </c>
      <c r="J63">
        <f>VLOOKUP(H63,$A$1:F$161,J$2,0)</f>
        <v>1.83</v>
      </c>
      <c r="K63">
        <f>VLOOKUP(H63,$A$1:F$161,K$2,0)</f>
        <v>-3.25</v>
      </c>
      <c r="L63">
        <f>VLOOKUP(H63,$A$1:F$161,L$2,0)</f>
        <v>2.09</v>
      </c>
      <c r="M63">
        <f>VLOOKUP(H63,$A$1:F$161,M$2,0)</f>
        <v>-0.87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34.22</v>
      </c>
      <c r="J65">
        <f>VLOOKUP(H65,$A$1:F$161,J$2,0)</f>
        <v>53.47</v>
      </c>
      <c r="K65">
        <f>VLOOKUP(H65,$A$1:F$161,K$2,0)</f>
        <v>15.35</v>
      </c>
      <c r="L65">
        <f>VLOOKUP(H65,$A$1:F$161,L$2,0)</f>
        <v>44.68</v>
      </c>
      <c r="M65">
        <f>VLOOKUP(H65,$A$1:F$161,M$2,0)</f>
        <v>27.12</v>
      </c>
    </row>
    <row r="66" spans="8:13" x14ac:dyDescent="0.25">
      <c r="H66" t="s">
        <v>92</v>
      </c>
      <c r="I66">
        <f>VLOOKUP(H66,$A$1:F$161,I$2,0)</f>
        <v>102.56</v>
      </c>
      <c r="J66">
        <f>VLOOKUP(H66,$A$1:F$161,J$2,0)</f>
        <v>151.27000000000001</v>
      </c>
      <c r="K66">
        <f>VLOOKUP(H66,$A$1:F$161,K$2,0)</f>
        <v>-167.82</v>
      </c>
      <c r="L66">
        <f>VLOOKUP(H66,$A$1:F$161,L$2,0)</f>
        <v>83.24</v>
      </c>
      <c r="M66">
        <f>VLOOKUP(H66,$A$1:F$161,M$2,0)</f>
        <v>62.77</v>
      </c>
    </row>
    <row r="67" spans="8:13" x14ac:dyDescent="0.25">
      <c r="H67" t="s">
        <v>93</v>
      </c>
      <c r="I67">
        <f>VLOOKUP(H67,$A$1:F$161,I$2,0)</f>
        <v>102.56</v>
      </c>
      <c r="J67">
        <f>VLOOKUP(H67,$A$1:F$161,J$2,0)</f>
        <v>151.27000000000001</v>
      </c>
      <c r="K67">
        <f>VLOOKUP(H67,$A$1:F$161,K$2,0)</f>
        <v>-167.82</v>
      </c>
      <c r="L67">
        <f>VLOOKUP(H67,$A$1:F$161,L$2,0)</f>
        <v>83.24</v>
      </c>
      <c r="M67">
        <f>VLOOKUP(H67,$A$1:F$161,M$2,0)</f>
        <v>62.77</v>
      </c>
    </row>
    <row r="68" spans="8:13" x14ac:dyDescent="0.25">
      <c r="H68" t="s">
        <v>94</v>
      </c>
      <c r="I68">
        <f>VLOOKUP(H68,$A$1:F$161,I$2,0)</f>
        <v>102.12</v>
      </c>
      <c r="J68">
        <f>VLOOKUP(H68,$A$1:F$161,J$2,0)</f>
        <v>150.52000000000001</v>
      </c>
      <c r="K68">
        <f>VLOOKUP(H68,$A$1:F$161,K$2,0)</f>
        <v>-168.5</v>
      </c>
      <c r="L68">
        <f>VLOOKUP(H68,$A$1:F$161,L$2,0)</f>
        <v>82.99</v>
      </c>
      <c r="M68">
        <f>VLOOKUP(H68,$A$1:F$161,M$2,0)</f>
        <v>62.83</v>
      </c>
    </row>
    <row r="69" spans="8:13" x14ac:dyDescent="0.25">
      <c r="H69" t="s">
        <v>101</v>
      </c>
      <c r="I69">
        <f>VLOOKUP(H69,$A$1:F$161,I$2,0)</f>
        <v>34.799999999999997</v>
      </c>
      <c r="J69">
        <f>VLOOKUP(H69,$A$1:F$161,J$2,0)</f>
        <v>11.6</v>
      </c>
      <c r="K69">
        <f>VLOOKUP(H69,$A$1:F$161,K$2,0)</f>
        <v>9.2799999999999994</v>
      </c>
      <c r="L69">
        <f>VLOOKUP(H69,$A$1:F$161,L$2,0)</f>
        <v>9.2799999999999994</v>
      </c>
      <c r="M69">
        <f>VLOOKUP(H69,$A$1:F$161,M$2,0)</f>
        <v>9.2799999999999994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1.91</v>
      </c>
      <c r="L70">
        <f>VLOOKUP(H70,$A$1:F$161,L$2,0)</f>
        <v>1.91</v>
      </c>
      <c r="M70">
        <f>VLOOKUP(H70,$A$1:F$161,M$2,0)</f>
        <v>1.89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169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2678.61</v>
      </c>
      <c r="C97">
        <v>2472.69</v>
      </c>
      <c r="D97">
        <v>2724.23</v>
      </c>
      <c r="E97">
        <v>2508.38</v>
      </c>
      <c r="F97">
        <v>2371.0500000000002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0.33</v>
      </c>
    </row>
    <row r="99" spans="1:6" x14ac:dyDescent="0.25">
      <c r="A99" t="s">
        <v>70</v>
      </c>
      <c r="B99">
        <v>2678.61</v>
      </c>
      <c r="C99">
        <v>2472.69</v>
      </c>
      <c r="D99">
        <v>2724.23</v>
      </c>
      <c r="E99">
        <v>2508.38</v>
      </c>
      <c r="F99">
        <v>2370.71</v>
      </c>
    </row>
    <row r="100" spans="1:6" x14ac:dyDescent="0.25">
      <c r="A100" t="s">
        <v>71</v>
      </c>
      <c r="B100">
        <v>2.67</v>
      </c>
      <c r="C100">
        <v>0.43</v>
      </c>
      <c r="D100">
        <v>1.68</v>
      </c>
      <c r="E100">
        <v>6.37</v>
      </c>
      <c r="F100">
        <v>2.37</v>
      </c>
    </row>
    <row r="101" spans="1:6" x14ac:dyDescent="0.25">
      <c r="A101" t="s">
        <v>72</v>
      </c>
      <c r="B101">
        <v>2681.28</v>
      </c>
      <c r="C101">
        <v>2473.11</v>
      </c>
      <c r="D101">
        <v>2725.9</v>
      </c>
      <c r="E101">
        <v>2514.75</v>
      </c>
      <c r="F101">
        <v>2373.09</v>
      </c>
    </row>
    <row r="102" spans="1:6" x14ac:dyDescent="0.25">
      <c r="A102" t="s">
        <v>73</v>
      </c>
      <c r="B102">
        <v>11.27</v>
      </c>
      <c r="C102">
        <v>8.0299999999999994</v>
      </c>
      <c r="D102">
        <v>303.36</v>
      </c>
      <c r="E102">
        <v>140.12</v>
      </c>
      <c r="F102">
        <v>403.04</v>
      </c>
    </row>
    <row r="103" spans="1:6" x14ac:dyDescent="0.25">
      <c r="A103" t="s">
        <v>74</v>
      </c>
      <c r="B103">
        <v>2692.55</v>
      </c>
      <c r="C103">
        <v>2481.15</v>
      </c>
      <c r="D103">
        <v>3029.26</v>
      </c>
      <c r="E103">
        <v>2654.87</v>
      </c>
      <c r="F103">
        <v>2776.13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2060.52</v>
      </c>
      <c r="C105">
        <v>1841.98</v>
      </c>
      <c r="D105">
        <v>2226.34</v>
      </c>
      <c r="E105">
        <v>1880.5</v>
      </c>
      <c r="F105">
        <v>1851.94</v>
      </c>
    </row>
    <row r="106" spans="1:6" x14ac:dyDescent="0.25">
      <c r="A106" t="s">
        <v>77</v>
      </c>
      <c r="B106">
        <v>16.940000000000001</v>
      </c>
      <c r="C106">
        <v>26.69</v>
      </c>
      <c r="D106">
        <v>11.97</v>
      </c>
      <c r="E106">
        <v>59.24</v>
      </c>
      <c r="F106">
        <v>110.86</v>
      </c>
    </row>
    <row r="107" spans="1:6" x14ac:dyDescent="0.25">
      <c r="A107" t="s">
        <v>78</v>
      </c>
      <c r="B107">
        <v>6.01</v>
      </c>
      <c r="C107">
        <v>-31.3</v>
      </c>
      <c r="D107">
        <v>-13.75</v>
      </c>
      <c r="E107">
        <v>33.270000000000003</v>
      </c>
      <c r="F107">
        <v>-43.39</v>
      </c>
    </row>
    <row r="108" spans="1:6" x14ac:dyDescent="0.25">
      <c r="A108" t="s">
        <v>79</v>
      </c>
      <c r="B108">
        <v>184.29</v>
      </c>
      <c r="C108">
        <v>177.89</v>
      </c>
      <c r="D108">
        <v>156.38999999999999</v>
      </c>
      <c r="E108">
        <v>141.83000000000001</v>
      </c>
      <c r="F108">
        <v>124.18</v>
      </c>
    </row>
    <row r="109" spans="1:6" x14ac:dyDescent="0.25">
      <c r="A109" t="s">
        <v>80</v>
      </c>
      <c r="B109">
        <v>4.01</v>
      </c>
      <c r="C109">
        <v>19.18</v>
      </c>
      <c r="D109">
        <v>22.63</v>
      </c>
      <c r="E109">
        <v>21.48</v>
      </c>
      <c r="F109">
        <v>18.239999999999998</v>
      </c>
    </row>
    <row r="110" spans="1:6" x14ac:dyDescent="0.25">
      <c r="A110" t="s">
        <v>81</v>
      </c>
      <c r="B110">
        <v>0.42</v>
      </c>
      <c r="C110">
        <v>4.24</v>
      </c>
      <c r="D110">
        <v>0.74</v>
      </c>
      <c r="E110">
        <v>3.66</v>
      </c>
      <c r="F110">
        <v>0.4</v>
      </c>
    </row>
    <row r="111" spans="1:6" x14ac:dyDescent="0.25">
      <c r="A111" t="s">
        <v>82</v>
      </c>
      <c r="B111">
        <v>52.18</v>
      </c>
      <c r="C111">
        <v>46.23</v>
      </c>
      <c r="D111">
        <v>50.13</v>
      </c>
      <c r="E111">
        <v>44.66</v>
      </c>
      <c r="F111">
        <v>37.83</v>
      </c>
    </row>
    <row r="112" spans="1:6" x14ac:dyDescent="0.25">
      <c r="A112" t="s">
        <v>83</v>
      </c>
      <c r="B112">
        <v>222.27</v>
      </c>
      <c r="C112">
        <v>191.51</v>
      </c>
      <c r="D112">
        <v>727.28</v>
      </c>
      <c r="E112">
        <v>342.31</v>
      </c>
      <c r="F112">
        <v>586.16</v>
      </c>
    </row>
    <row r="113" spans="1:6" x14ac:dyDescent="0.25">
      <c r="A113" t="s">
        <v>84</v>
      </c>
      <c r="B113">
        <v>2546.64</v>
      </c>
      <c r="C113">
        <v>2276.41</v>
      </c>
      <c r="D113">
        <v>3181.74</v>
      </c>
      <c r="E113">
        <v>2526.9499999999998</v>
      </c>
      <c r="F113">
        <v>2686.23</v>
      </c>
    </row>
    <row r="114" spans="1:6" x14ac:dyDescent="0.25">
      <c r="A114" t="s">
        <v>85</v>
      </c>
      <c r="B114">
        <v>145.91999999999999</v>
      </c>
      <c r="C114">
        <v>204.73</v>
      </c>
      <c r="D114">
        <v>-152.47999999999999</v>
      </c>
      <c r="E114">
        <v>127.92</v>
      </c>
      <c r="F114">
        <v>89.9</v>
      </c>
    </row>
    <row r="115" spans="1:6" x14ac:dyDescent="0.25">
      <c r="A115" t="s">
        <v>86</v>
      </c>
      <c r="B115">
        <v>-9.14</v>
      </c>
      <c r="C115">
        <v>0</v>
      </c>
      <c r="D115">
        <v>0</v>
      </c>
      <c r="E115">
        <v>0</v>
      </c>
      <c r="F115">
        <v>0</v>
      </c>
    </row>
    <row r="116" spans="1:6" x14ac:dyDescent="0.25">
      <c r="A116" t="s">
        <v>87</v>
      </c>
      <c r="B116">
        <v>136.78</v>
      </c>
      <c r="C116">
        <v>204.73</v>
      </c>
      <c r="D116">
        <v>-152.47999999999999</v>
      </c>
      <c r="E116">
        <v>127.92</v>
      </c>
      <c r="F116">
        <v>89.9</v>
      </c>
    </row>
    <row r="117" spans="1:6" ht="24" customHeight="1" x14ac:dyDescent="0.25">
      <c r="A117" t="s">
        <v>88</v>
      </c>
    </row>
    <row r="118" spans="1:6" x14ac:dyDescent="0.25">
      <c r="A118" t="s">
        <v>89</v>
      </c>
      <c r="B118">
        <v>34.36</v>
      </c>
      <c r="C118">
        <v>51.64</v>
      </c>
      <c r="D118">
        <v>18.59</v>
      </c>
      <c r="E118">
        <v>42.59</v>
      </c>
      <c r="F118">
        <v>28</v>
      </c>
    </row>
    <row r="119" spans="1:6" x14ac:dyDescent="0.25">
      <c r="A119" t="s">
        <v>90</v>
      </c>
      <c r="B119">
        <v>-0.14000000000000001</v>
      </c>
      <c r="C119">
        <v>1.83</v>
      </c>
      <c r="D119">
        <v>-3.25</v>
      </c>
      <c r="E119">
        <v>2.09</v>
      </c>
      <c r="F119">
        <v>-0.87</v>
      </c>
    </row>
    <row r="120" spans="1:6" x14ac:dyDescent="0.25">
      <c r="A120" t="s">
        <v>91</v>
      </c>
      <c r="B120">
        <v>34.22</v>
      </c>
      <c r="C120">
        <v>53.47</v>
      </c>
      <c r="D120">
        <v>15.35</v>
      </c>
      <c r="E120">
        <v>44.68</v>
      </c>
      <c r="F120">
        <v>27.12</v>
      </c>
    </row>
    <row r="121" spans="1:6" x14ac:dyDescent="0.25">
      <c r="A121" t="s">
        <v>92</v>
      </c>
      <c r="B121">
        <v>102.56</v>
      </c>
      <c r="C121">
        <v>151.27000000000001</v>
      </c>
      <c r="D121">
        <v>-167.82</v>
      </c>
      <c r="E121">
        <v>83.24</v>
      </c>
      <c r="F121">
        <v>62.77</v>
      </c>
    </row>
    <row r="122" spans="1:6" x14ac:dyDescent="0.25">
      <c r="A122" t="s">
        <v>93</v>
      </c>
      <c r="B122">
        <v>102.56</v>
      </c>
      <c r="C122">
        <v>151.27000000000001</v>
      </c>
      <c r="D122">
        <v>-167.82</v>
      </c>
      <c r="E122">
        <v>83.24</v>
      </c>
      <c r="F122">
        <v>62.77</v>
      </c>
    </row>
    <row r="123" spans="1:6" x14ac:dyDescent="0.25">
      <c r="A123" t="s">
        <v>126</v>
      </c>
      <c r="B123">
        <v>-0.44</v>
      </c>
      <c r="C123">
        <v>-0.75</v>
      </c>
      <c r="D123">
        <v>-0.68</v>
      </c>
      <c r="E123">
        <v>-0.19</v>
      </c>
      <c r="F123">
        <v>0.11</v>
      </c>
    </row>
    <row r="124" spans="1:6" x14ac:dyDescent="0.25">
      <c r="A124" t="s">
        <v>127</v>
      </c>
      <c r="B124">
        <v>0</v>
      </c>
      <c r="C124">
        <v>0</v>
      </c>
      <c r="D124">
        <v>0</v>
      </c>
      <c r="E124">
        <v>0.06</v>
      </c>
      <c r="F124">
        <v>0.06</v>
      </c>
    </row>
    <row r="125" spans="1:6" x14ac:dyDescent="0.25">
      <c r="A125" t="s">
        <v>128</v>
      </c>
      <c r="B125">
        <v>-0.44</v>
      </c>
      <c r="C125">
        <v>-0.75</v>
      </c>
      <c r="D125">
        <v>-0.68</v>
      </c>
      <c r="E125">
        <v>-0.25</v>
      </c>
      <c r="F125">
        <v>0.05</v>
      </c>
    </row>
    <row r="126" spans="1:6" x14ac:dyDescent="0.25">
      <c r="A126" t="s">
        <v>94</v>
      </c>
      <c r="B126">
        <v>102.12</v>
      </c>
      <c r="C126">
        <v>150.52000000000001</v>
      </c>
      <c r="D126">
        <v>-168.5</v>
      </c>
      <c r="E126">
        <v>82.99</v>
      </c>
      <c r="F126">
        <v>62.83</v>
      </c>
    </row>
    <row r="127" spans="1:6" x14ac:dyDescent="0.25">
      <c r="A127" t="s">
        <v>116</v>
      </c>
      <c r="B127">
        <v>0.48</v>
      </c>
      <c r="C127">
        <v>1.65</v>
      </c>
      <c r="D127">
        <v>9.09</v>
      </c>
      <c r="E127">
        <v>-1.1599999999999999</v>
      </c>
      <c r="F127">
        <v>0.04</v>
      </c>
    </row>
    <row r="128" spans="1:6" x14ac:dyDescent="0.25">
      <c r="A128" t="s">
        <v>130</v>
      </c>
      <c r="B128">
        <v>-6.03</v>
      </c>
      <c r="C128">
        <v>-2.2200000000000002</v>
      </c>
      <c r="D128">
        <v>-0.9</v>
      </c>
      <c r="E128">
        <v>-0.39</v>
      </c>
      <c r="F128">
        <v>-0.09</v>
      </c>
    </row>
    <row r="129" spans="1:6" x14ac:dyDescent="0.25">
      <c r="A129" t="s">
        <v>113</v>
      </c>
      <c r="B129">
        <v>96.57</v>
      </c>
      <c r="C129">
        <v>149.94999999999999</v>
      </c>
      <c r="D129">
        <v>-160.31</v>
      </c>
      <c r="E129">
        <v>81.430000000000007</v>
      </c>
      <c r="F129">
        <v>62.77</v>
      </c>
    </row>
    <row r="130" spans="1:6" ht="24" customHeight="1" x14ac:dyDescent="0.25">
      <c r="A130" t="s">
        <v>45</v>
      </c>
    </row>
    <row r="131" spans="1:6" ht="24" customHeight="1" x14ac:dyDescent="0.25">
      <c r="A131" t="s">
        <v>95</v>
      </c>
    </row>
    <row r="132" spans="1:6" x14ac:dyDescent="0.25">
      <c r="A132" t="s">
        <v>96</v>
      </c>
      <c r="B132">
        <v>21</v>
      </c>
      <c r="C132">
        <v>32</v>
      </c>
      <c r="D132">
        <v>-35</v>
      </c>
      <c r="E132">
        <v>18</v>
      </c>
      <c r="F132">
        <v>14</v>
      </c>
    </row>
    <row r="133" spans="1:6" x14ac:dyDescent="0.25">
      <c r="A133" t="s">
        <v>97</v>
      </c>
      <c r="B133">
        <v>21</v>
      </c>
      <c r="C133">
        <v>32</v>
      </c>
      <c r="D133">
        <v>-35</v>
      </c>
      <c r="E133">
        <v>18</v>
      </c>
      <c r="F133">
        <v>14</v>
      </c>
    </row>
    <row r="134" spans="1:6" ht="36" customHeight="1" x14ac:dyDescent="0.25">
      <c r="A134" t="s">
        <v>100</v>
      </c>
    </row>
    <row r="135" spans="1:6" x14ac:dyDescent="0.25">
      <c r="A135" t="s">
        <v>101</v>
      </c>
      <c r="B135">
        <v>34.799999999999997</v>
      </c>
      <c r="C135">
        <v>11.6</v>
      </c>
      <c r="D135">
        <v>9.2799999999999994</v>
      </c>
      <c r="E135">
        <v>9.2799999999999994</v>
      </c>
      <c r="F135">
        <v>9.2799999999999994</v>
      </c>
    </row>
    <row r="136" spans="1:6" x14ac:dyDescent="0.25">
      <c r="A136" t="s">
        <v>102</v>
      </c>
      <c r="B136">
        <v>0</v>
      </c>
      <c r="C136">
        <v>0</v>
      </c>
      <c r="D136">
        <v>1.91</v>
      </c>
      <c r="E136">
        <v>1.91</v>
      </c>
      <c r="F136">
        <v>1.89</v>
      </c>
    </row>
    <row r="140" spans="1:6" ht="15" customHeight="1" x14ac:dyDescent="0.25">
      <c r="A140" t="s">
        <v>65</v>
      </c>
    </row>
  </sheetData>
  <hyperlinks>
    <hyperlink ref="B1" r:id="rId1" display="javascript:void(0);" xr:uid="{80B7B8C6-1A98-4EBD-B760-D625EEBF8312}"/>
    <hyperlink ref="B90" r:id="rId2" display="javascript:void(0);" xr:uid="{792B161F-344B-4BE6-BB8B-3D8A401B3561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3B41-8338-4FE9-881E-E377322A7EA5}">
  <sheetPr codeName="Sheet2"/>
  <dimension ref="A1:M148"/>
  <sheetViews>
    <sheetView workbookViewId="0">
      <selection activeCell="H9" sqref="H9"/>
    </sheetView>
  </sheetViews>
  <sheetFormatPr defaultRowHeight="15" x14ac:dyDescent="0.25"/>
  <cols>
    <col min="1" max="1" width="50.85546875" bestFit="1" customWidth="1"/>
    <col min="8" max="8" width="55.28515625" bestFit="1" customWidth="1"/>
  </cols>
  <sheetData>
    <row r="1" spans="1:13" x14ac:dyDescent="0.25">
      <c r="A1" t="s">
        <v>104</v>
      </c>
      <c r="B1" t="s">
        <v>1</v>
      </c>
      <c r="H1" t="str">
        <f>A1</f>
        <v>Gujarat Ambuja Exports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22.93</v>
      </c>
      <c r="J4">
        <f>VLOOKUP(H4,$A$1:F$161,J$2,0)</f>
        <v>22.93</v>
      </c>
      <c r="K4">
        <f>VLOOKUP(H4,$A$1:F$161,K$2,0)</f>
        <v>22.93</v>
      </c>
      <c r="L4">
        <f>VLOOKUP(H4,$A$1:F$161,L$2,0)</f>
        <v>22.93</v>
      </c>
      <c r="M4">
        <f>VLOOKUP(H4,$A$1:F$161,M$2,0)</f>
        <v>22.93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22.93</v>
      </c>
      <c r="J5">
        <f>VLOOKUP(H5,$A$1:F$161,J$2,0)</f>
        <v>22.93</v>
      </c>
      <c r="K5">
        <f>VLOOKUP(H5,$A$1:F$161,K$2,0)</f>
        <v>22.93</v>
      </c>
      <c r="L5">
        <f>VLOOKUP(H5,$A$1:F$161,L$2,0)</f>
        <v>22.93</v>
      </c>
      <c r="M5">
        <f>VLOOKUP(H5,$A$1:F$161,M$2,0)</f>
        <v>22.93</v>
      </c>
    </row>
    <row r="6" spans="1:13" x14ac:dyDescent="0.25">
      <c r="H6" t="s">
        <v>10</v>
      </c>
      <c r="I6">
        <f>VLOOKUP(H6,$A$1:F$161,I$2,0)</f>
        <v>2104.3000000000002</v>
      </c>
      <c r="J6">
        <f>VLOOKUP(H6,$A$1:F$161,J$2,0)</f>
        <v>1642.61</v>
      </c>
      <c r="K6">
        <f>VLOOKUP(H6,$A$1:F$161,K$2,0)</f>
        <v>1303.53</v>
      </c>
      <c r="L6">
        <f>VLOOKUP(H6,$A$1:F$161,L$2,0)</f>
        <v>1185.31</v>
      </c>
      <c r="M6">
        <f>VLOOKUP(H6,$A$1:F$161,M$2,0)</f>
        <v>999.42</v>
      </c>
    </row>
    <row r="7" spans="1:13" ht="24" customHeight="1" x14ac:dyDescent="0.25">
      <c r="A7" t="s">
        <v>6</v>
      </c>
      <c r="H7" t="s">
        <v>11</v>
      </c>
      <c r="I7">
        <f>VLOOKUP(H7,$A$1:F$161,I$2,0)</f>
        <v>2104.3000000000002</v>
      </c>
      <c r="J7">
        <f>VLOOKUP(H7,$A$1:F$161,J$2,0)</f>
        <v>1642.61</v>
      </c>
      <c r="K7">
        <f>VLOOKUP(H7,$A$1:F$161,K$2,0)</f>
        <v>1303.53</v>
      </c>
      <c r="L7">
        <f>VLOOKUP(H7,$A$1:F$161,L$2,0)</f>
        <v>1185.31</v>
      </c>
      <c r="M7">
        <f>VLOOKUP(H7,$A$1:F$161,M$2,0)</f>
        <v>999.42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2127.23</v>
      </c>
      <c r="J8">
        <f>VLOOKUP(H8,$A$1:F$161,J$2,0)</f>
        <v>1665.54</v>
      </c>
      <c r="K8">
        <f>VLOOKUP(H8,$A$1:F$161,K$2,0)</f>
        <v>1326.46</v>
      </c>
      <c r="L8">
        <f>VLOOKUP(H8,$A$1:F$161,L$2,0)</f>
        <v>1208.24</v>
      </c>
      <c r="M8">
        <f>VLOOKUP(H8,$A$1:F$161,M$2,0)</f>
        <v>1022.35</v>
      </c>
    </row>
    <row r="9" spans="1:13" x14ac:dyDescent="0.25">
      <c r="A9" t="s">
        <v>8</v>
      </c>
      <c r="B9">
        <v>22.93</v>
      </c>
      <c r="C9">
        <v>22.93</v>
      </c>
      <c r="D9">
        <v>22.93</v>
      </c>
      <c r="E9">
        <v>22.93</v>
      </c>
      <c r="F9">
        <v>22.93</v>
      </c>
      <c r="H9" t="s">
        <v>14</v>
      </c>
      <c r="I9">
        <f>VLOOKUP(H9,$A$1:F$161,I$2,0)</f>
        <v>2.62</v>
      </c>
      <c r="J9">
        <f>VLOOKUP(H9,$A$1:F$161,J$2,0)</f>
        <v>2.12</v>
      </c>
      <c r="K9">
        <f>VLOOKUP(H9,$A$1:F$161,K$2,0)</f>
        <v>1.44</v>
      </c>
      <c r="L9">
        <f>VLOOKUP(H9,$A$1:F$161,L$2,0)</f>
        <v>0.78</v>
      </c>
      <c r="M9">
        <f>VLOOKUP(H9,$A$1:F$161,M$2,0)</f>
        <v>7.24</v>
      </c>
    </row>
    <row r="10" spans="1:13" x14ac:dyDescent="0.25">
      <c r="A10" t="s">
        <v>9</v>
      </c>
      <c r="B10">
        <v>22.93</v>
      </c>
      <c r="C10">
        <v>22.93</v>
      </c>
      <c r="D10">
        <v>22.93</v>
      </c>
      <c r="E10">
        <v>22.93</v>
      </c>
      <c r="F10">
        <v>22.93</v>
      </c>
      <c r="H10" t="s">
        <v>16</v>
      </c>
      <c r="I10">
        <f>VLOOKUP(H10,$A$1:F$161,I$2,0)</f>
        <v>18.329999999999998</v>
      </c>
      <c r="J10">
        <f>VLOOKUP(H10,$A$1:F$161,J$2,0)</f>
        <v>13.58</v>
      </c>
      <c r="K10">
        <f>VLOOKUP(H10,$A$1:F$161,K$2,0)</f>
        <v>16.93</v>
      </c>
      <c r="L10">
        <f>VLOOKUP(H10,$A$1:F$161,L$2,0)</f>
        <v>8.57</v>
      </c>
      <c r="M10">
        <f>VLOOKUP(H10,$A$1:F$161,M$2,0)</f>
        <v>8.8000000000000007</v>
      </c>
    </row>
    <row r="11" spans="1:13" x14ac:dyDescent="0.25">
      <c r="A11" t="s">
        <v>10</v>
      </c>
      <c r="B11">
        <v>2104.3000000000002</v>
      </c>
      <c r="C11">
        <v>1642.61</v>
      </c>
      <c r="D11">
        <v>1303.53</v>
      </c>
      <c r="E11">
        <v>1185.31</v>
      </c>
      <c r="F11">
        <v>999.42</v>
      </c>
      <c r="H11" t="s">
        <v>17</v>
      </c>
      <c r="I11">
        <f>VLOOKUP(H11,$A$1:F$161,I$2,0)</f>
        <v>6.93</v>
      </c>
      <c r="J11">
        <f>VLOOKUP(H11,$A$1:F$161,J$2,0)</f>
        <v>6.62</v>
      </c>
      <c r="K11">
        <f>VLOOKUP(H11,$A$1:F$161,K$2,0)</f>
        <v>6.52</v>
      </c>
      <c r="L11">
        <f>VLOOKUP(H11,$A$1:F$161,L$2,0)</f>
        <v>5.23</v>
      </c>
      <c r="M11">
        <f>VLOOKUP(H11,$A$1:F$161,M$2,0)</f>
        <v>4.38</v>
      </c>
    </row>
    <row r="12" spans="1:13" x14ac:dyDescent="0.25">
      <c r="A12" t="s">
        <v>11</v>
      </c>
      <c r="B12">
        <v>2104.3000000000002</v>
      </c>
      <c r="C12">
        <v>1642.61</v>
      </c>
      <c r="D12">
        <v>1303.53</v>
      </c>
      <c r="E12">
        <v>1185.31</v>
      </c>
      <c r="F12">
        <v>999.42</v>
      </c>
      <c r="H12" t="s">
        <v>18</v>
      </c>
      <c r="I12">
        <f>VLOOKUP(H12,$A$1:F$161,I$2,0)</f>
        <v>73.37</v>
      </c>
      <c r="J12">
        <f>VLOOKUP(H12,$A$1:F$161,J$2,0)</f>
        <v>66.08</v>
      </c>
      <c r="K12">
        <f>VLOOKUP(H12,$A$1:F$161,K$2,0)</f>
        <v>59.81</v>
      </c>
      <c r="L12">
        <f>VLOOKUP(H12,$A$1:F$161,L$2,0)</f>
        <v>54.24</v>
      </c>
      <c r="M12">
        <f>VLOOKUP(H12,$A$1:F$161,M$2,0)</f>
        <v>58.95</v>
      </c>
    </row>
    <row r="13" spans="1:13" x14ac:dyDescent="0.25">
      <c r="A13" t="s">
        <v>12</v>
      </c>
      <c r="B13">
        <v>2127.23</v>
      </c>
      <c r="C13">
        <v>1665.54</v>
      </c>
      <c r="D13">
        <v>1326.46</v>
      </c>
      <c r="E13">
        <v>1208.24</v>
      </c>
      <c r="F13">
        <v>1022.35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187.68</v>
      </c>
      <c r="J14">
        <f>VLOOKUP(H14,$A$1:F$161,J$2,0)</f>
        <v>170.16</v>
      </c>
      <c r="K14">
        <f>VLOOKUP(H14,$A$1:F$161,K$2,0)</f>
        <v>134.81</v>
      </c>
      <c r="L14">
        <f>VLOOKUP(H14,$A$1:F$161,L$2,0)</f>
        <v>168.79</v>
      </c>
      <c r="M14">
        <f>VLOOKUP(H14,$A$1:F$161,M$2,0)</f>
        <v>122.83</v>
      </c>
    </row>
    <row r="15" spans="1:13" x14ac:dyDescent="0.25">
      <c r="A15" t="s">
        <v>14</v>
      </c>
      <c r="B15">
        <v>2.62</v>
      </c>
      <c r="C15">
        <v>2.12</v>
      </c>
      <c r="D15">
        <v>1.44</v>
      </c>
      <c r="E15">
        <v>0.78</v>
      </c>
      <c r="F15">
        <v>7.24</v>
      </c>
      <c r="H15" t="s">
        <v>22</v>
      </c>
      <c r="I15">
        <f>VLOOKUP(H15,$A$1:F$161,I$2,0)</f>
        <v>104.15</v>
      </c>
      <c r="J15">
        <f>VLOOKUP(H15,$A$1:F$161,J$2,0)</f>
        <v>115.32</v>
      </c>
      <c r="K15">
        <f>VLOOKUP(H15,$A$1:F$161,K$2,0)</f>
        <v>63.16</v>
      </c>
      <c r="L15">
        <f>VLOOKUP(H15,$A$1:F$161,L$2,0)</f>
        <v>68.069999999999993</v>
      </c>
      <c r="M15">
        <f>VLOOKUP(H15,$A$1:F$161,M$2,0)</f>
        <v>52.03</v>
      </c>
    </row>
    <row r="16" spans="1:13" x14ac:dyDescent="0.25">
      <c r="A16" t="s">
        <v>15</v>
      </c>
      <c r="B16">
        <v>45.49</v>
      </c>
      <c r="C16">
        <v>43.76</v>
      </c>
      <c r="D16">
        <v>34.92</v>
      </c>
      <c r="E16">
        <v>39.659999999999997</v>
      </c>
      <c r="F16">
        <v>38.53</v>
      </c>
      <c r="H16" t="s">
        <v>23</v>
      </c>
      <c r="I16">
        <f>VLOOKUP(H16,$A$1:F$161,I$2,0)</f>
        <v>5.4</v>
      </c>
      <c r="J16">
        <f>VLOOKUP(H16,$A$1:F$161,J$2,0)</f>
        <v>6.2</v>
      </c>
      <c r="K16">
        <f>VLOOKUP(H16,$A$1:F$161,K$2,0)</f>
        <v>6.26</v>
      </c>
      <c r="L16">
        <f>VLOOKUP(H16,$A$1:F$161,L$2,0)</f>
        <v>6.58</v>
      </c>
      <c r="M16">
        <f>VLOOKUP(H16,$A$1:F$161,M$2,0)</f>
        <v>6.23</v>
      </c>
    </row>
    <row r="17" spans="1:13" x14ac:dyDescent="0.25">
      <c r="A17" t="s">
        <v>16</v>
      </c>
      <c r="B17">
        <v>18.329999999999998</v>
      </c>
      <c r="C17">
        <v>13.58</v>
      </c>
      <c r="D17">
        <v>16.93</v>
      </c>
      <c r="E17">
        <v>8.57</v>
      </c>
      <c r="F17">
        <v>8.8000000000000007</v>
      </c>
      <c r="H17" t="s">
        <v>24</v>
      </c>
      <c r="I17">
        <f>VLOOKUP(H17,$A$1:F$161,I$2,0)</f>
        <v>563.41999999999996</v>
      </c>
      <c r="J17">
        <f>VLOOKUP(H17,$A$1:F$161,J$2,0)</f>
        <v>442.29</v>
      </c>
      <c r="K17">
        <f>VLOOKUP(H17,$A$1:F$161,K$2,0)</f>
        <v>349.83</v>
      </c>
      <c r="L17">
        <f>VLOOKUP(H17,$A$1:F$161,L$2,0)</f>
        <v>452.68</v>
      </c>
      <c r="M17">
        <f>VLOOKUP(H17,$A$1:F$161,M$2,0)</f>
        <v>813.48</v>
      </c>
    </row>
    <row r="18" spans="1:13" x14ac:dyDescent="0.25">
      <c r="A18" t="s">
        <v>17</v>
      </c>
      <c r="B18">
        <v>6.93</v>
      </c>
      <c r="C18">
        <v>6.62</v>
      </c>
      <c r="D18">
        <v>6.52</v>
      </c>
      <c r="E18">
        <v>5.23</v>
      </c>
      <c r="F18">
        <v>4.38</v>
      </c>
      <c r="H18" t="s">
        <v>25</v>
      </c>
      <c r="I18">
        <f>VLOOKUP(H18,$A$1:F$161,I$2,0)</f>
        <v>2764.02</v>
      </c>
      <c r="J18">
        <f>VLOOKUP(H18,$A$1:F$161,J$2,0)</f>
        <v>2173.91</v>
      </c>
      <c r="K18">
        <f>VLOOKUP(H18,$A$1:F$161,K$2,0)</f>
        <v>1736.1</v>
      </c>
      <c r="L18">
        <f>VLOOKUP(H18,$A$1:F$161,L$2,0)</f>
        <v>1715.16</v>
      </c>
      <c r="M18">
        <f>VLOOKUP(H18,$A$1:F$161,M$2,0)</f>
        <v>1894.78</v>
      </c>
    </row>
    <row r="19" spans="1:13" x14ac:dyDescent="0.25">
      <c r="A19" t="s">
        <v>18</v>
      </c>
      <c r="B19">
        <v>73.37</v>
      </c>
      <c r="C19">
        <v>66.08</v>
      </c>
      <c r="D19">
        <v>59.81</v>
      </c>
      <c r="E19">
        <v>54.24</v>
      </c>
      <c r="F19">
        <v>58.95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266.19</v>
      </c>
      <c r="C21">
        <v>150.61000000000001</v>
      </c>
      <c r="D21">
        <v>145.6</v>
      </c>
      <c r="E21">
        <v>209.24</v>
      </c>
      <c r="F21">
        <v>632.39</v>
      </c>
      <c r="H21" t="s">
        <v>28</v>
      </c>
      <c r="I21">
        <f>VLOOKUP(H21,$A$1:F$161,I$2,0)</f>
        <v>770.58</v>
      </c>
      <c r="J21">
        <f>VLOOKUP(H21,$A$1:F$161,J$2,0)</f>
        <v>730.25</v>
      </c>
      <c r="K21">
        <f>VLOOKUP(H21,$A$1:F$161,K$2,0)</f>
        <v>786.56</v>
      </c>
      <c r="L21">
        <f>VLOOKUP(H21,$A$1:F$161,L$2,0)</f>
        <v>752.3</v>
      </c>
      <c r="M21">
        <f>VLOOKUP(H21,$A$1:F$161,M$2,0)</f>
        <v>771.06</v>
      </c>
    </row>
    <row r="22" spans="1:13" x14ac:dyDescent="0.25">
      <c r="A22" t="s">
        <v>21</v>
      </c>
      <c r="B22">
        <v>187.68</v>
      </c>
      <c r="C22">
        <v>170.16</v>
      </c>
      <c r="D22">
        <v>134.81</v>
      </c>
      <c r="E22">
        <v>168.79</v>
      </c>
      <c r="F22">
        <v>122.83</v>
      </c>
      <c r="H22" t="s">
        <v>29</v>
      </c>
      <c r="I22">
        <f>VLOOKUP(H22,$A$1:F$161,I$2,0)</f>
        <v>245.97</v>
      </c>
      <c r="J22">
        <f>VLOOKUP(H22,$A$1:F$161,J$2,0)</f>
        <v>106.31</v>
      </c>
      <c r="K22">
        <f>VLOOKUP(H22,$A$1:F$161,K$2,0)</f>
        <v>12.19</v>
      </c>
      <c r="L22">
        <f>VLOOKUP(H22,$A$1:F$161,L$2,0)</f>
        <v>60.73</v>
      </c>
      <c r="M22">
        <f>VLOOKUP(H22,$A$1:F$161,M$2,0)</f>
        <v>54.3</v>
      </c>
    </row>
    <row r="23" spans="1:13" x14ac:dyDescent="0.25">
      <c r="A23" t="s">
        <v>22</v>
      </c>
      <c r="B23">
        <v>104.15</v>
      </c>
      <c r="C23">
        <v>115.32</v>
      </c>
      <c r="D23">
        <v>63.16</v>
      </c>
      <c r="E23">
        <v>68.069999999999993</v>
      </c>
      <c r="F23">
        <v>52.03</v>
      </c>
      <c r="H23" t="s">
        <v>30</v>
      </c>
      <c r="I23">
        <f>VLOOKUP(H23,$A$1:F$161,I$2,0)</f>
        <v>1016.96</v>
      </c>
      <c r="J23">
        <f>VLOOKUP(H23,$A$1:F$161,J$2,0)</f>
        <v>837.05</v>
      </c>
      <c r="K23">
        <f>VLOOKUP(H23,$A$1:F$161,K$2,0)</f>
        <v>799.39</v>
      </c>
      <c r="L23">
        <f>VLOOKUP(H23,$A$1:F$161,L$2,0)</f>
        <v>813.75</v>
      </c>
      <c r="M23">
        <f>VLOOKUP(H23,$A$1:F$161,M$2,0)</f>
        <v>826.05</v>
      </c>
    </row>
    <row r="24" spans="1:13" x14ac:dyDescent="0.25">
      <c r="A24" t="s">
        <v>23</v>
      </c>
      <c r="B24">
        <v>5.4</v>
      </c>
      <c r="C24">
        <v>6.2</v>
      </c>
      <c r="D24">
        <v>6.26</v>
      </c>
      <c r="E24">
        <v>6.58</v>
      </c>
      <c r="F24">
        <v>6.23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24</v>
      </c>
      <c r="B25">
        <v>563.41999999999996</v>
      </c>
      <c r="C25">
        <v>442.29</v>
      </c>
      <c r="D25">
        <v>349.83</v>
      </c>
      <c r="E25">
        <v>452.68</v>
      </c>
      <c r="F25">
        <v>813.48</v>
      </c>
      <c r="H25" t="s">
        <v>33</v>
      </c>
      <c r="I25">
        <f>VLOOKUP(H25,$A$1:F$161,I$2,0)</f>
        <v>0</v>
      </c>
      <c r="J25">
        <f>VLOOKUP(H25,$A$1:F$161,J$2,0)</f>
        <v>0</v>
      </c>
      <c r="K25">
        <f>VLOOKUP(H25,$A$1:F$161,K$2,0)</f>
        <v>0</v>
      </c>
      <c r="L25">
        <f>VLOOKUP(H25,$A$1:F$161,L$2,0)</f>
        <v>35.97</v>
      </c>
      <c r="M25">
        <f>VLOOKUP(H25,$A$1:F$161,M$2,0)</f>
        <v>34.35</v>
      </c>
    </row>
    <row r="26" spans="1:13" x14ac:dyDescent="0.25">
      <c r="A26" t="s">
        <v>25</v>
      </c>
      <c r="B26">
        <v>2764.02</v>
      </c>
      <c r="C26">
        <v>2173.91</v>
      </c>
      <c r="D26">
        <v>1736.1</v>
      </c>
      <c r="E26">
        <v>1715.16</v>
      </c>
      <c r="F26">
        <v>1894.78</v>
      </c>
      <c r="H26" t="s">
        <v>34</v>
      </c>
      <c r="I26">
        <f>VLOOKUP(H26,$A$1:F$161,I$2,0)</f>
        <v>45.67</v>
      </c>
      <c r="J26">
        <f>VLOOKUP(H26,$A$1:F$161,J$2,0)</f>
        <v>37.26</v>
      </c>
      <c r="K26">
        <f>VLOOKUP(H26,$A$1:F$161,K$2,0)</f>
        <v>21.31</v>
      </c>
      <c r="L26">
        <f>VLOOKUP(H26,$A$1:F$161,L$2,0)</f>
        <v>29.56</v>
      </c>
      <c r="M26">
        <f>VLOOKUP(H26,$A$1:F$161,M$2,0)</f>
        <v>14.66</v>
      </c>
    </row>
    <row r="27" spans="1:13" x14ac:dyDescent="0.25">
      <c r="A27" t="s">
        <v>26</v>
      </c>
      <c r="H27" t="s">
        <v>35</v>
      </c>
      <c r="I27">
        <f>VLOOKUP(H27,$A$1:F$161,I$2,0)</f>
        <v>1126.22</v>
      </c>
      <c r="J27">
        <f>VLOOKUP(H27,$A$1:F$161,J$2,0)</f>
        <v>909.93</v>
      </c>
      <c r="K27">
        <f>VLOOKUP(H27,$A$1:F$161,K$2,0)</f>
        <v>838.23</v>
      </c>
      <c r="L27">
        <f>VLOOKUP(H27,$A$1:F$161,L$2,0)</f>
        <v>870.95</v>
      </c>
      <c r="M27">
        <f>VLOOKUP(H27,$A$1:F$161,M$2,0)</f>
        <v>883.33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770.58</v>
      </c>
      <c r="C29">
        <v>730.25</v>
      </c>
      <c r="D29">
        <v>786.56</v>
      </c>
      <c r="E29">
        <v>752.3</v>
      </c>
      <c r="F29">
        <v>771.06</v>
      </c>
      <c r="H29" t="s">
        <v>38</v>
      </c>
      <c r="I29">
        <f>VLOOKUP(H29,$A$1:F$161,I$2,0)</f>
        <v>666.16</v>
      </c>
      <c r="J29">
        <f>VLOOKUP(H29,$A$1:F$161,J$2,0)</f>
        <v>723.41</v>
      </c>
      <c r="K29">
        <f>VLOOKUP(H29,$A$1:F$161,K$2,0)</f>
        <v>598.71</v>
      </c>
      <c r="L29">
        <f>VLOOKUP(H29,$A$1:F$161,L$2,0)</f>
        <v>501.64</v>
      </c>
      <c r="M29">
        <f>VLOOKUP(H29,$A$1:F$161,M$2,0)</f>
        <v>723.73</v>
      </c>
    </row>
    <row r="30" spans="1:13" x14ac:dyDescent="0.25">
      <c r="A30" t="s">
        <v>106</v>
      </c>
      <c r="B30">
        <v>0.41</v>
      </c>
      <c r="C30">
        <v>0.49</v>
      </c>
      <c r="D30">
        <v>0.64</v>
      </c>
      <c r="E30">
        <v>0.72</v>
      </c>
      <c r="F30">
        <v>0.69</v>
      </c>
      <c r="H30" t="s">
        <v>39</v>
      </c>
      <c r="I30">
        <f>VLOOKUP(H30,$A$1:F$161,I$2,0)</f>
        <v>224.41</v>
      </c>
      <c r="J30">
        <f>VLOOKUP(H30,$A$1:F$161,J$2,0)</f>
        <v>225.38</v>
      </c>
      <c r="K30">
        <f>VLOOKUP(H30,$A$1:F$161,K$2,0)</f>
        <v>154.24</v>
      </c>
      <c r="L30">
        <f>VLOOKUP(H30,$A$1:F$161,L$2,0)</f>
        <v>217.96</v>
      </c>
      <c r="M30">
        <f>VLOOKUP(H30,$A$1:F$161,M$2,0)</f>
        <v>229.31</v>
      </c>
    </row>
    <row r="31" spans="1:13" x14ac:dyDescent="0.25">
      <c r="A31" t="s">
        <v>29</v>
      </c>
      <c r="B31">
        <v>245.97</v>
      </c>
      <c r="C31">
        <v>106.31</v>
      </c>
      <c r="D31">
        <v>12.19</v>
      </c>
      <c r="E31">
        <v>60.73</v>
      </c>
      <c r="F31">
        <v>54.3</v>
      </c>
      <c r="H31" t="s">
        <v>40</v>
      </c>
      <c r="I31">
        <f>VLOOKUP(H31,$A$1:F$161,I$2,0)</f>
        <v>17.97</v>
      </c>
      <c r="J31">
        <f>VLOOKUP(H31,$A$1:F$161,J$2,0)</f>
        <v>97.85</v>
      </c>
      <c r="K31">
        <f>VLOOKUP(H31,$A$1:F$161,K$2,0)</f>
        <v>101.36</v>
      </c>
      <c r="L31">
        <f>VLOOKUP(H31,$A$1:F$161,L$2,0)</f>
        <v>16.43</v>
      </c>
      <c r="M31">
        <f>VLOOKUP(H31,$A$1:F$161,M$2,0)</f>
        <v>6.94</v>
      </c>
    </row>
    <row r="32" spans="1:13" x14ac:dyDescent="0.25">
      <c r="A32" t="s">
        <v>30</v>
      </c>
      <c r="B32">
        <v>1016.96</v>
      </c>
      <c r="C32">
        <v>837.05</v>
      </c>
      <c r="D32">
        <v>799.39</v>
      </c>
      <c r="E32">
        <v>813.75</v>
      </c>
      <c r="F32">
        <v>826.05</v>
      </c>
      <c r="H32" t="s">
        <v>41</v>
      </c>
      <c r="I32">
        <f>VLOOKUP(H32,$A$1:F$161,I$2,0)</f>
        <v>0</v>
      </c>
      <c r="J32">
        <f>VLOOKUP(H32,$A$1:F$161,J$2,0)</f>
        <v>0</v>
      </c>
      <c r="K32">
        <f>VLOOKUP(H32,$A$1:F$161,K$2,0)</f>
        <v>0</v>
      </c>
      <c r="L32">
        <f>VLOOKUP(H32,$A$1:F$161,L$2,0)</f>
        <v>28.84</v>
      </c>
      <c r="M32">
        <f>VLOOKUP(H32,$A$1:F$161,M$2,0)</f>
        <v>29.09</v>
      </c>
    </row>
    <row r="33" spans="1:13" x14ac:dyDescent="0.25">
      <c r="A33" t="s">
        <v>31</v>
      </c>
      <c r="B33">
        <v>63.59</v>
      </c>
      <c r="C33">
        <v>35.619999999999997</v>
      </c>
      <c r="D33">
        <v>17.53</v>
      </c>
      <c r="E33">
        <v>27.64</v>
      </c>
      <c r="F33">
        <v>42.62</v>
      </c>
      <c r="H33" t="s">
        <v>42</v>
      </c>
      <c r="I33">
        <f>VLOOKUP(H33,$A$1:F$161,I$2,0)</f>
        <v>67.16</v>
      </c>
      <c r="J33">
        <f>VLOOKUP(H33,$A$1:F$161,J$2,0)</f>
        <v>61.36</v>
      </c>
      <c r="K33">
        <f>VLOOKUP(H33,$A$1:F$161,K$2,0)</f>
        <v>38.96</v>
      </c>
      <c r="L33">
        <f>VLOOKUP(H33,$A$1:F$161,L$2,0)</f>
        <v>83.38</v>
      </c>
      <c r="M33">
        <f>VLOOKUP(H33,$A$1:F$161,M$2,0)</f>
        <v>51.47</v>
      </c>
    </row>
    <row r="34" spans="1:13" x14ac:dyDescent="0.25">
      <c r="A34" t="s">
        <v>34</v>
      </c>
      <c r="B34">
        <v>45.67</v>
      </c>
      <c r="C34">
        <v>37.26</v>
      </c>
      <c r="D34">
        <v>21.31</v>
      </c>
      <c r="E34">
        <v>29.56</v>
      </c>
      <c r="F34">
        <v>14.66</v>
      </c>
      <c r="H34" t="s">
        <v>43</v>
      </c>
      <c r="I34">
        <f>VLOOKUP(H34,$A$1:F$161,I$2,0)</f>
        <v>1637.8</v>
      </c>
      <c r="J34">
        <f>VLOOKUP(H34,$A$1:F$161,J$2,0)</f>
        <v>1263.98</v>
      </c>
      <c r="K34">
        <f>VLOOKUP(H34,$A$1:F$161,K$2,0)</f>
        <v>897.87</v>
      </c>
      <c r="L34">
        <f>VLOOKUP(H34,$A$1:F$161,L$2,0)</f>
        <v>844.21</v>
      </c>
      <c r="M34">
        <f>VLOOKUP(H34,$A$1:F$161,M$2,0)</f>
        <v>1011.45</v>
      </c>
    </row>
    <row r="35" spans="1:13" x14ac:dyDescent="0.25">
      <c r="A35" t="s">
        <v>35</v>
      </c>
      <c r="B35">
        <v>1126.22</v>
      </c>
      <c r="C35">
        <v>909.93</v>
      </c>
      <c r="D35">
        <v>838.23</v>
      </c>
      <c r="E35">
        <v>870.95</v>
      </c>
      <c r="F35">
        <v>883.33</v>
      </c>
      <c r="H35" t="s">
        <v>44</v>
      </c>
      <c r="I35">
        <f>VLOOKUP(H35,$A$1:F$161,I$2,0)</f>
        <v>2764.02</v>
      </c>
      <c r="J35">
        <f>VLOOKUP(H35,$A$1:F$161,J$2,0)</f>
        <v>2173.91</v>
      </c>
      <c r="K35">
        <f>VLOOKUP(H35,$A$1:F$161,K$2,0)</f>
        <v>1736.1</v>
      </c>
      <c r="L35">
        <f>VLOOKUP(H35,$A$1:F$161,L$2,0)</f>
        <v>1715.16</v>
      </c>
      <c r="M35">
        <f>VLOOKUP(H35,$A$1:F$161,M$2,0)</f>
        <v>1894.78</v>
      </c>
    </row>
    <row r="36" spans="1:13" ht="15" customHeight="1" x14ac:dyDescent="0.25">
      <c r="A36" t="s">
        <v>36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37</v>
      </c>
      <c r="B37">
        <v>662.1</v>
      </c>
      <c r="C37">
        <v>155.97999999999999</v>
      </c>
      <c r="D37">
        <v>4.5999999999999996</v>
      </c>
      <c r="E37">
        <v>24.8</v>
      </c>
      <c r="F37">
        <v>0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38</v>
      </c>
      <c r="B38">
        <v>666.16</v>
      </c>
      <c r="C38">
        <v>723.41</v>
      </c>
      <c r="D38">
        <v>598.71</v>
      </c>
      <c r="E38">
        <v>501.64</v>
      </c>
      <c r="F38">
        <v>723.73</v>
      </c>
      <c r="H38" t="s">
        <v>47</v>
      </c>
      <c r="I38">
        <f>VLOOKUP(H38,$A$1:F$161,I$2,0)</f>
        <v>112.77</v>
      </c>
      <c r="J38">
        <f>VLOOKUP(H38,$A$1:F$161,J$2,0)</f>
        <v>170.9</v>
      </c>
      <c r="K38">
        <f>VLOOKUP(H38,$A$1:F$161,K$2,0)</f>
        <v>94.18</v>
      </c>
      <c r="L38">
        <f>VLOOKUP(H38,$A$1:F$161,L$2,0)</f>
        <v>25.09</v>
      </c>
      <c r="M38">
        <f>VLOOKUP(H38,$A$1:F$161,M$2,0)</f>
        <v>34.65</v>
      </c>
    </row>
    <row r="39" spans="1:13" x14ac:dyDescent="0.25">
      <c r="A39" t="s">
        <v>39</v>
      </c>
      <c r="B39">
        <v>224.41</v>
      </c>
      <c r="C39">
        <v>225.38</v>
      </c>
      <c r="D39">
        <v>154.24</v>
      </c>
      <c r="E39">
        <v>217.96</v>
      </c>
      <c r="F39">
        <v>229.31</v>
      </c>
      <c r="H39" t="s">
        <v>62</v>
      </c>
      <c r="I39">
        <f>VLOOKUP(H39,$A$1:F$161,I$2,0)</f>
        <v>662.1</v>
      </c>
      <c r="J39">
        <f>VLOOKUP(H39,$A$1:F$161,J$2,0)</f>
        <v>155.97999999999999</v>
      </c>
      <c r="K39">
        <f>VLOOKUP(H39,$A$1:F$161,K$2,0)</f>
        <v>4.5999999999999996</v>
      </c>
      <c r="L39">
        <f>VLOOKUP(H39,$A$1:F$161,L$2,0)</f>
        <v>24.8</v>
      </c>
      <c r="M39">
        <f>VLOOKUP(H39,$A$1:F$161,M$2,0)</f>
        <v>0</v>
      </c>
    </row>
    <row r="40" spans="1:13" x14ac:dyDescent="0.25">
      <c r="A40" t="s">
        <v>40</v>
      </c>
      <c r="B40">
        <v>17.97</v>
      </c>
      <c r="C40">
        <v>97.85</v>
      </c>
      <c r="D40">
        <v>101.36</v>
      </c>
      <c r="E40">
        <v>16.43</v>
      </c>
      <c r="F40">
        <v>6.94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42</v>
      </c>
      <c r="B41">
        <v>67.16</v>
      </c>
      <c r="C41">
        <v>61.36</v>
      </c>
      <c r="D41">
        <v>38.96</v>
      </c>
      <c r="E41">
        <v>83.38</v>
      </c>
      <c r="F41">
        <v>51.47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43</v>
      </c>
      <c r="B42">
        <v>1637.8</v>
      </c>
      <c r="C42">
        <v>1263.98</v>
      </c>
      <c r="D42">
        <v>897.87</v>
      </c>
      <c r="E42">
        <v>844.21</v>
      </c>
      <c r="F42">
        <v>1011.45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44</v>
      </c>
      <c r="B43">
        <v>2764.02</v>
      </c>
      <c r="C43">
        <v>2173.91</v>
      </c>
      <c r="D43">
        <v>1736.1</v>
      </c>
      <c r="E43">
        <v>1715.16</v>
      </c>
      <c r="F43">
        <v>1894.78</v>
      </c>
      <c r="H43" t="s">
        <v>68</v>
      </c>
      <c r="I43" t="e">
        <f>VLOOKUP(H43,$A$1:F$161,I$2,0)</f>
        <v>#N/A</v>
      </c>
      <c r="J43" t="e">
        <f>VLOOKUP(H43,$A$1:F$161,J$2,0)</f>
        <v>#N/A</v>
      </c>
      <c r="K43" t="e">
        <f>VLOOKUP(H43,$A$1:F$161,K$2,0)</f>
        <v>#N/A</v>
      </c>
      <c r="L43" t="e">
        <f>VLOOKUP(H43,$A$1:F$161,L$2,0)</f>
        <v>#N/A</v>
      </c>
      <c r="M43" t="e">
        <f>VLOOKUP(H43,$A$1:F$161,M$2,0)</f>
        <v>#N/A</v>
      </c>
    </row>
    <row r="44" spans="1:13" ht="24" customHeight="1" x14ac:dyDescent="0.25">
      <c r="A44" t="s">
        <v>45</v>
      </c>
      <c r="H44" t="s">
        <v>70</v>
      </c>
      <c r="I44" t="e">
        <f>VLOOKUP(H44,$A$1:F$161,I$2,0)</f>
        <v>#N/A</v>
      </c>
      <c r="J44" t="e">
        <f>VLOOKUP(H44,$A$1:F$161,J$2,0)</f>
        <v>#N/A</v>
      </c>
      <c r="K44" t="e">
        <f>VLOOKUP(H44,$A$1:F$161,K$2,0)</f>
        <v>#N/A</v>
      </c>
      <c r="L44" t="e">
        <f>VLOOKUP(H44,$A$1:F$161,L$2,0)</f>
        <v>#N/A</v>
      </c>
      <c r="M44" t="e">
        <f>VLOOKUP(H44,$A$1:F$161,M$2,0)</f>
        <v>#N/A</v>
      </c>
    </row>
    <row r="45" spans="1:13" ht="36" customHeight="1" x14ac:dyDescent="0.25">
      <c r="A45" t="s">
        <v>46</v>
      </c>
      <c r="H45" t="s">
        <v>71</v>
      </c>
      <c r="I45" t="e">
        <f>VLOOKUP(H45,$A$1:F$161,I$2,0)</f>
        <v>#N/A</v>
      </c>
      <c r="J45" t="e">
        <f>VLOOKUP(H45,$A$1:F$161,J$2,0)</f>
        <v>#N/A</v>
      </c>
      <c r="K45" t="e">
        <f>VLOOKUP(H45,$A$1:F$161,K$2,0)</f>
        <v>#N/A</v>
      </c>
      <c r="L45" t="e">
        <f>VLOOKUP(H45,$A$1:F$161,L$2,0)</f>
        <v>#N/A</v>
      </c>
      <c r="M45" t="e">
        <f>VLOOKUP(H45,$A$1:F$161,M$2,0)</f>
        <v>#N/A</v>
      </c>
    </row>
    <row r="46" spans="1:13" x14ac:dyDescent="0.25">
      <c r="A46" t="s">
        <v>47</v>
      </c>
      <c r="B46">
        <v>112.77</v>
      </c>
      <c r="C46">
        <v>170.9</v>
      </c>
      <c r="D46">
        <v>94.18</v>
      </c>
      <c r="E46">
        <v>25.09</v>
      </c>
      <c r="F46">
        <v>34.65</v>
      </c>
      <c r="H46" t="s">
        <v>72</v>
      </c>
      <c r="I46" t="e">
        <f>VLOOKUP(H46,$A$1:F$161,I$2,0)</f>
        <v>#N/A</v>
      </c>
      <c r="J46" t="e">
        <f>VLOOKUP(H46,$A$1:F$161,J$2,0)</f>
        <v>#N/A</v>
      </c>
      <c r="K46" t="e">
        <f>VLOOKUP(H46,$A$1:F$161,K$2,0)</f>
        <v>#N/A</v>
      </c>
      <c r="L46" t="e">
        <f>VLOOKUP(H46,$A$1:F$161,L$2,0)</f>
        <v>#N/A</v>
      </c>
      <c r="M46" t="e">
        <f>VLOOKUP(H46,$A$1:F$161,M$2,0)</f>
        <v>#N/A</v>
      </c>
    </row>
    <row r="47" spans="1:13" ht="24" customHeight="1" x14ac:dyDescent="0.25">
      <c r="A47" t="s">
        <v>48</v>
      </c>
      <c r="H47" t="s">
        <v>73</v>
      </c>
      <c r="I47" t="e">
        <f>VLOOKUP(H47,$A$1:F$161,I$2,0)</f>
        <v>#N/A</v>
      </c>
      <c r="J47" t="e">
        <f>VLOOKUP(H47,$A$1:F$161,J$2,0)</f>
        <v>#N/A</v>
      </c>
      <c r="K47" t="e">
        <f>VLOOKUP(H47,$A$1:F$161,K$2,0)</f>
        <v>#N/A</v>
      </c>
      <c r="L47" t="e">
        <f>VLOOKUP(H47,$A$1:F$161,L$2,0)</f>
        <v>#N/A</v>
      </c>
      <c r="M47" t="e">
        <f>VLOOKUP(H47,$A$1:F$161,M$2,0)</f>
        <v>#N/A</v>
      </c>
    </row>
    <row r="48" spans="1:13" ht="24" customHeight="1" x14ac:dyDescent="0.25">
      <c r="A48" t="s">
        <v>49</v>
      </c>
      <c r="H48" t="s">
        <v>74</v>
      </c>
      <c r="I48" t="e">
        <f>VLOOKUP(H48,$A$1:F$161,I$2,0)</f>
        <v>#N/A</v>
      </c>
      <c r="J48" t="e">
        <f>VLOOKUP(H48,$A$1:F$161,J$2,0)</f>
        <v>#N/A</v>
      </c>
      <c r="K48" t="e">
        <f>VLOOKUP(H48,$A$1:F$161,K$2,0)</f>
        <v>#N/A</v>
      </c>
      <c r="L48" t="e">
        <f>VLOOKUP(H48,$A$1:F$161,L$2,0)</f>
        <v>#N/A</v>
      </c>
      <c r="M48" t="e">
        <f>VLOOKUP(H48,$A$1:F$161,M$2,0)</f>
        <v>#N/A</v>
      </c>
    </row>
    <row r="49" spans="1:13" x14ac:dyDescent="0.25">
      <c r="A49" t="s">
        <v>50</v>
      </c>
      <c r="B49">
        <v>462.87</v>
      </c>
      <c r="C49">
        <v>373.23</v>
      </c>
      <c r="D49">
        <v>463.4</v>
      </c>
      <c r="E49">
        <v>391.71</v>
      </c>
      <c r="F49">
        <v>285.68</v>
      </c>
      <c r="H49" t="s">
        <v>75</v>
      </c>
      <c r="I49" t="e">
        <f>VLOOKUP(H49,$A$1:F$161,I$2,0)</f>
        <v>#N/A</v>
      </c>
      <c r="J49" t="e">
        <f>VLOOKUP(H49,$A$1:F$161,J$2,0)</f>
        <v>#N/A</v>
      </c>
      <c r="K49" t="e">
        <f>VLOOKUP(H49,$A$1:F$161,K$2,0)</f>
        <v>#N/A</v>
      </c>
      <c r="L49" t="e">
        <f>VLOOKUP(H49,$A$1:F$161,L$2,0)</f>
        <v>#N/A</v>
      </c>
      <c r="M49" t="e">
        <f>VLOOKUP(H49,$A$1:F$161,M$2,0)</f>
        <v>#N/A</v>
      </c>
    </row>
    <row r="50" spans="1:13" ht="48" customHeight="1" x14ac:dyDescent="0.25">
      <c r="A50" t="s">
        <v>51</v>
      </c>
      <c r="H50" t="s">
        <v>76</v>
      </c>
      <c r="I50" t="e">
        <f>VLOOKUP(H50,$A$1:F$161,I$2,0)</f>
        <v>#N/A</v>
      </c>
      <c r="J50" t="e">
        <f>VLOOKUP(H50,$A$1:F$161,J$2,0)</f>
        <v>#N/A</v>
      </c>
      <c r="K50" t="e">
        <f>VLOOKUP(H50,$A$1:F$161,K$2,0)</f>
        <v>#N/A</v>
      </c>
      <c r="L50" t="e">
        <f>VLOOKUP(H50,$A$1:F$161,L$2,0)</f>
        <v>#N/A</v>
      </c>
      <c r="M50" t="e">
        <f>VLOOKUP(H50,$A$1:F$161,M$2,0)</f>
        <v>#N/A</v>
      </c>
    </row>
    <row r="51" spans="1:13" x14ac:dyDescent="0.25">
      <c r="A51" t="s">
        <v>52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H51" t="s">
        <v>77</v>
      </c>
      <c r="I51" t="e">
        <f>VLOOKUP(H51,$A$1:F$161,I$2,0)</f>
        <v>#N/A</v>
      </c>
      <c r="J51" t="e">
        <f>VLOOKUP(H51,$A$1:F$161,J$2,0)</f>
        <v>#N/A</v>
      </c>
      <c r="K51" t="e">
        <f>VLOOKUP(H51,$A$1:F$161,K$2,0)</f>
        <v>#N/A</v>
      </c>
      <c r="L51" t="e">
        <f>VLOOKUP(H51,$A$1:F$161,L$2,0)</f>
        <v>#N/A</v>
      </c>
      <c r="M51" t="e">
        <f>VLOOKUP(H51,$A$1:F$161,M$2,0)</f>
        <v>#N/A</v>
      </c>
    </row>
    <row r="52" spans="1:13" ht="24" customHeight="1" x14ac:dyDescent="0.25">
      <c r="A52" t="s">
        <v>54</v>
      </c>
      <c r="H52" t="s">
        <v>78</v>
      </c>
      <c r="I52" t="e">
        <f>VLOOKUP(H52,$A$1:F$161,I$2,0)</f>
        <v>#N/A</v>
      </c>
      <c r="J52" t="e">
        <f>VLOOKUP(H52,$A$1:F$161,J$2,0)</f>
        <v>#N/A</v>
      </c>
      <c r="K52" t="e">
        <f>VLOOKUP(H52,$A$1:F$161,K$2,0)</f>
        <v>#N/A</v>
      </c>
      <c r="L52" t="e">
        <f>VLOOKUP(H52,$A$1:F$161,L$2,0)</f>
        <v>#N/A</v>
      </c>
      <c r="M52" t="e">
        <f>VLOOKUP(H52,$A$1:F$161,M$2,0)</f>
        <v>#N/A</v>
      </c>
    </row>
    <row r="53" spans="1:13" x14ac:dyDescent="0.25">
      <c r="A53" t="s">
        <v>55</v>
      </c>
      <c r="B53">
        <v>1138.98</v>
      </c>
      <c r="C53">
        <v>1485.91</v>
      </c>
      <c r="D53">
        <v>452.27</v>
      </c>
      <c r="E53">
        <v>972.97</v>
      </c>
      <c r="F53">
        <v>576.29</v>
      </c>
      <c r="H53" t="s">
        <v>79</v>
      </c>
      <c r="I53" t="e">
        <f>VLOOKUP(H53,$A$1:F$161,I$2,0)</f>
        <v>#N/A</v>
      </c>
      <c r="J53" t="e">
        <f>VLOOKUP(H53,$A$1:F$161,J$2,0)</f>
        <v>#N/A</v>
      </c>
      <c r="K53" t="e">
        <f>VLOOKUP(H53,$A$1:F$161,K$2,0)</f>
        <v>#N/A</v>
      </c>
      <c r="L53" t="e">
        <f>VLOOKUP(H53,$A$1:F$161,L$2,0)</f>
        <v>#N/A</v>
      </c>
      <c r="M53" t="e">
        <f>VLOOKUP(H53,$A$1:F$161,M$2,0)</f>
        <v>#N/A</v>
      </c>
    </row>
    <row r="54" spans="1:13" x14ac:dyDescent="0.25">
      <c r="A54" t="s">
        <v>56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 t="e">
        <f>VLOOKUP(H54,$A$1:F$161,I$2,0)</f>
        <v>#N/A</v>
      </c>
      <c r="J54" t="e">
        <f>VLOOKUP(H54,$A$1:F$161,J$2,0)</f>
        <v>#N/A</v>
      </c>
      <c r="K54" t="e">
        <f>VLOOKUP(H54,$A$1:F$161,K$2,0)</f>
        <v>#N/A</v>
      </c>
      <c r="L54" t="e">
        <f>VLOOKUP(H54,$A$1:F$161,L$2,0)</f>
        <v>#N/A</v>
      </c>
      <c r="M54" t="e">
        <f>VLOOKUP(H54,$A$1:F$161,M$2,0)</f>
        <v>#N/A</v>
      </c>
    </row>
    <row r="55" spans="1:13" ht="15" customHeight="1" x14ac:dyDescent="0.25">
      <c r="A55" t="s">
        <v>57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58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 t="e">
        <f>VLOOKUP(H56,$A$1:F$161,I$2,0)</f>
        <v>#N/A</v>
      </c>
      <c r="J56" t="e">
        <f>VLOOKUP(H56,$A$1:F$161,J$2,0)</f>
        <v>#N/A</v>
      </c>
      <c r="K56" t="e">
        <f>VLOOKUP(H56,$A$1:F$161,K$2,0)</f>
        <v>#N/A</v>
      </c>
      <c r="L56" t="e">
        <f>VLOOKUP(H56,$A$1:F$161,L$2,0)</f>
        <v>#N/A</v>
      </c>
      <c r="M56" t="e">
        <f>VLOOKUP(H56,$A$1:F$161,M$2,0)</f>
        <v>#N/A</v>
      </c>
    </row>
    <row r="57" spans="1:13" ht="24" customHeight="1" x14ac:dyDescent="0.25">
      <c r="A57" t="s">
        <v>59</v>
      </c>
      <c r="H57" t="s">
        <v>83</v>
      </c>
      <c r="I57" t="e">
        <f>VLOOKUP(H57,$A$1:F$161,I$2,0)</f>
        <v>#N/A</v>
      </c>
      <c r="J57" t="e">
        <f>VLOOKUP(H57,$A$1:F$161,J$2,0)</f>
        <v>#N/A</v>
      </c>
      <c r="K57" t="e">
        <f>VLOOKUP(H57,$A$1:F$161,K$2,0)</f>
        <v>#N/A</v>
      </c>
      <c r="L57" t="e">
        <f>VLOOKUP(H57,$A$1:F$161,L$2,0)</f>
        <v>#N/A</v>
      </c>
      <c r="M57" t="e">
        <f>VLOOKUP(H57,$A$1:F$161,M$2,0)</f>
        <v>#N/A</v>
      </c>
    </row>
    <row r="58" spans="1:13" x14ac:dyDescent="0.25">
      <c r="A58" t="s">
        <v>60</v>
      </c>
      <c r="B58" t="s">
        <v>53</v>
      </c>
      <c r="C58" t="s">
        <v>53</v>
      </c>
      <c r="D58" t="s">
        <v>53</v>
      </c>
      <c r="E58" t="s">
        <v>53</v>
      </c>
      <c r="F58" t="s">
        <v>53</v>
      </c>
      <c r="H58" t="s">
        <v>84</v>
      </c>
      <c r="I58" t="e">
        <f>VLOOKUP(H58,$A$1:F$161,I$2,0)</f>
        <v>#N/A</v>
      </c>
      <c r="J58" t="e">
        <f>VLOOKUP(H58,$A$1:F$161,J$2,0)</f>
        <v>#N/A</v>
      </c>
      <c r="K58" t="e">
        <f>VLOOKUP(H58,$A$1:F$161,K$2,0)</f>
        <v>#N/A</v>
      </c>
      <c r="L58" t="e">
        <f>VLOOKUP(H58,$A$1:F$161,L$2,0)</f>
        <v>#N/A</v>
      </c>
      <c r="M58" t="e">
        <f>VLOOKUP(H58,$A$1:F$161,M$2,0)</f>
        <v>#N/A</v>
      </c>
    </row>
    <row r="59" spans="1:13" x14ac:dyDescent="0.25">
      <c r="A59" t="s">
        <v>61</v>
      </c>
      <c r="B59">
        <v>0.03</v>
      </c>
      <c r="C59">
        <v>15.45</v>
      </c>
      <c r="D59">
        <v>5.13</v>
      </c>
      <c r="E59">
        <v>5.13</v>
      </c>
      <c r="F59">
        <v>5.13</v>
      </c>
      <c r="H59" t="s">
        <v>85</v>
      </c>
      <c r="I59" t="e">
        <f>VLOOKUP(H59,$A$1:F$161,I$2,0)</f>
        <v>#N/A</v>
      </c>
      <c r="J59" t="e">
        <f>VLOOKUP(H59,$A$1:F$161,J$2,0)</f>
        <v>#N/A</v>
      </c>
      <c r="K59" t="e">
        <f>VLOOKUP(H59,$A$1:F$161,K$2,0)</f>
        <v>#N/A</v>
      </c>
      <c r="L59" t="e">
        <f>VLOOKUP(H59,$A$1:F$161,L$2,0)</f>
        <v>#N/A</v>
      </c>
      <c r="M59" t="e">
        <f>VLOOKUP(H59,$A$1:F$161,M$2,0)</f>
        <v>#N/A</v>
      </c>
    </row>
    <row r="60" spans="1:13" ht="24" customHeight="1" x14ac:dyDescent="0.25">
      <c r="A60" t="s">
        <v>62</v>
      </c>
      <c r="H60" t="s">
        <v>87</v>
      </c>
      <c r="I60" t="e">
        <f>VLOOKUP(H60,$A$1:F$161,I$2,0)</f>
        <v>#N/A</v>
      </c>
      <c r="J60" t="e">
        <f>VLOOKUP(H60,$A$1:F$161,J$2,0)</f>
        <v>#N/A</v>
      </c>
      <c r="K60" t="e">
        <f>VLOOKUP(H60,$A$1:F$161,K$2,0)</f>
        <v>#N/A</v>
      </c>
      <c r="L60" t="e">
        <f>VLOOKUP(H60,$A$1:F$161,L$2,0)</f>
        <v>#N/A</v>
      </c>
      <c r="M60" t="e">
        <f>VLOOKUP(H60,$A$1:F$161,M$2,0)</f>
        <v>#N/A</v>
      </c>
    </row>
    <row r="61" spans="1:13" x14ac:dyDescent="0.25">
      <c r="A61" t="s">
        <v>63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H61" t="s">
        <v>88</v>
      </c>
      <c r="I61" t="e">
        <f>VLOOKUP(H61,$A$1:F$161,I$2,0)</f>
        <v>#N/A</v>
      </c>
      <c r="J61" t="e">
        <f>VLOOKUP(H61,$A$1:F$161,J$2,0)</f>
        <v>#N/A</v>
      </c>
      <c r="K61" t="e">
        <f>VLOOKUP(H61,$A$1:F$161,K$2,0)</f>
        <v>#N/A</v>
      </c>
      <c r="L61" t="e">
        <f>VLOOKUP(H61,$A$1:F$161,L$2,0)</f>
        <v>#N/A</v>
      </c>
      <c r="M61" t="e">
        <f>VLOOKUP(H61,$A$1:F$161,M$2,0)</f>
        <v>#N/A</v>
      </c>
    </row>
    <row r="62" spans="1:13" x14ac:dyDescent="0.25">
      <c r="A62" t="s">
        <v>64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 t="e">
        <f>VLOOKUP(H62,$A$1:F$161,I$2,0)</f>
        <v>#N/A</v>
      </c>
      <c r="J62" t="e">
        <f>VLOOKUP(H62,$A$1:F$161,J$2,0)</f>
        <v>#N/A</v>
      </c>
      <c r="K62" t="e">
        <f>VLOOKUP(H62,$A$1:F$161,K$2,0)</f>
        <v>#N/A</v>
      </c>
      <c r="L62" t="e">
        <f>VLOOKUP(H62,$A$1:F$161,L$2,0)</f>
        <v>#N/A</v>
      </c>
      <c r="M62" t="e">
        <f>VLOOKUP(H62,$A$1:F$161,M$2,0)</f>
        <v>#N/A</v>
      </c>
    </row>
    <row r="63" spans="1:13" x14ac:dyDescent="0.25">
      <c r="H63" t="s">
        <v>90</v>
      </c>
      <c r="I63" t="e">
        <f>VLOOKUP(H63,$A$1:F$161,I$2,0)</f>
        <v>#N/A</v>
      </c>
      <c r="J63" t="e">
        <f>VLOOKUP(H63,$A$1:F$161,J$2,0)</f>
        <v>#N/A</v>
      </c>
      <c r="K63" t="e">
        <f>VLOOKUP(H63,$A$1:F$161,K$2,0)</f>
        <v>#N/A</v>
      </c>
      <c r="L63" t="e">
        <f>VLOOKUP(H63,$A$1:F$161,L$2,0)</f>
        <v>#N/A</v>
      </c>
      <c r="M63" t="e">
        <f>VLOOKUP(H63,$A$1:F$161,M$2,0)</f>
        <v>#N/A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 t="e">
        <f>VLOOKUP(H65,$A$1:F$161,I$2,0)</f>
        <v>#N/A</v>
      </c>
      <c r="J65" t="e">
        <f>VLOOKUP(H65,$A$1:F$161,J$2,0)</f>
        <v>#N/A</v>
      </c>
      <c r="K65" t="e">
        <f>VLOOKUP(H65,$A$1:F$161,K$2,0)</f>
        <v>#N/A</v>
      </c>
      <c r="L65" t="e">
        <f>VLOOKUP(H65,$A$1:F$161,L$2,0)</f>
        <v>#N/A</v>
      </c>
      <c r="M65" t="e">
        <f>VLOOKUP(H65,$A$1:F$161,M$2,0)</f>
        <v>#N/A</v>
      </c>
    </row>
    <row r="66" spans="1:13" ht="15" customHeight="1" x14ac:dyDescent="0.25">
      <c r="A66" t="s">
        <v>65</v>
      </c>
      <c r="H66" t="s">
        <v>92</v>
      </c>
      <c r="I66" t="e">
        <f>VLOOKUP(H66,$A$1:F$161,I$2,0)</f>
        <v>#N/A</v>
      </c>
      <c r="J66" t="e">
        <f>VLOOKUP(H66,$A$1:F$161,J$2,0)</f>
        <v>#N/A</v>
      </c>
      <c r="K66" t="e">
        <f>VLOOKUP(H66,$A$1:F$161,K$2,0)</f>
        <v>#N/A</v>
      </c>
      <c r="L66" t="e">
        <f>VLOOKUP(H66,$A$1:F$161,L$2,0)</f>
        <v>#N/A</v>
      </c>
      <c r="M66" t="e">
        <f>VLOOKUP(H66,$A$1:F$161,M$2,0)</f>
        <v>#N/A</v>
      </c>
    </row>
    <row r="67" spans="1:13" x14ac:dyDescent="0.25">
      <c r="H67" t="s">
        <v>93</v>
      </c>
      <c r="I67" t="e">
        <f>VLOOKUP(H67,$A$1:F$161,I$2,0)</f>
        <v>#N/A</v>
      </c>
      <c r="J67" t="e">
        <f>VLOOKUP(H67,$A$1:F$161,J$2,0)</f>
        <v>#N/A</v>
      </c>
      <c r="K67" t="e">
        <f>VLOOKUP(H67,$A$1:F$161,K$2,0)</f>
        <v>#N/A</v>
      </c>
      <c r="L67" t="e">
        <f>VLOOKUP(H67,$A$1:F$161,L$2,0)</f>
        <v>#N/A</v>
      </c>
      <c r="M67" t="e">
        <f>VLOOKUP(H67,$A$1:F$161,M$2,0)</f>
        <v>#N/A</v>
      </c>
    </row>
    <row r="68" spans="1:13" x14ac:dyDescent="0.25">
      <c r="H68" t="s">
        <v>94</v>
      </c>
      <c r="I68" t="e">
        <f>VLOOKUP(H68,$A$1:F$161,I$2,0)</f>
        <v>#N/A</v>
      </c>
      <c r="J68" t="e">
        <f>VLOOKUP(H68,$A$1:F$161,J$2,0)</f>
        <v>#N/A</v>
      </c>
      <c r="K68" t="e">
        <f>VLOOKUP(H68,$A$1:F$161,K$2,0)</f>
        <v>#N/A</v>
      </c>
      <c r="L68" t="e">
        <f>VLOOKUP(H68,$A$1:F$161,L$2,0)</f>
        <v>#N/A</v>
      </c>
      <c r="M68" t="e">
        <f>VLOOKUP(H68,$A$1:F$161,M$2,0)</f>
        <v>#N/A</v>
      </c>
    </row>
    <row r="69" spans="1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1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104</v>
      </c>
      <c r="B90" t="s">
        <v>1</v>
      </c>
    </row>
    <row r="91" spans="1:6" x14ac:dyDescent="0.25">
      <c r="A91" t="s">
        <v>107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42430</v>
      </c>
      <c r="F92">
        <v>42064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ht="24" customHeight="1" x14ac:dyDescent="0.25">
      <c r="A96" t="s">
        <v>6</v>
      </c>
    </row>
    <row r="97" spans="1:6" ht="24" customHeight="1" x14ac:dyDescent="0.25">
      <c r="A97" t="s">
        <v>7</v>
      </c>
    </row>
    <row r="98" spans="1:6" x14ac:dyDescent="0.25">
      <c r="A98" t="s">
        <v>8</v>
      </c>
      <c r="B98">
        <v>22.93</v>
      </c>
      <c r="C98">
        <v>22.93</v>
      </c>
      <c r="D98">
        <v>22.93</v>
      </c>
      <c r="E98">
        <v>27.67</v>
      </c>
      <c r="F98">
        <v>27.67</v>
      </c>
    </row>
    <row r="99" spans="1:6" x14ac:dyDescent="0.25">
      <c r="A99" t="s">
        <v>9</v>
      </c>
      <c r="B99">
        <v>22.93</v>
      </c>
      <c r="C99">
        <v>22.93</v>
      </c>
      <c r="D99">
        <v>22.93</v>
      </c>
      <c r="E99">
        <v>27.67</v>
      </c>
      <c r="F99">
        <v>27.67</v>
      </c>
    </row>
    <row r="100" spans="1:6" x14ac:dyDescent="0.25">
      <c r="A100" t="s">
        <v>10</v>
      </c>
      <c r="B100">
        <v>2095.4</v>
      </c>
      <c r="C100">
        <v>1633.71</v>
      </c>
      <c r="D100">
        <v>1303.53</v>
      </c>
      <c r="E100">
        <v>888.72</v>
      </c>
      <c r="F100">
        <v>799.6</v>
      </c>
    </row>
    <row r="101" spans="1:6" x14ac:dyDescent="0.25">
      <c r="A101" t="s">
        <v>11</v>
      </c>
      <c r="B101">
        <v>2095.4</v>
      </c>
      <c r="C101">
        <v>1633.71</v>
      </c>
      <c r="D101">
        <v>1303.53</v>
      </c>
      <c r="E101">
        <v>888.72</v>
      </c>
      <c r="F101">
        <v>799.6</v>
      </c>
    </row>
    <row r="102" spans="1:6" x14ac:dyDescent="0.25">
      <c r="A102" t="s">
        <v>12</v>
      </c>
      <c r="B102">
        <v>2118.33</v>
      </c>
      <c r="C102">
        <v>1656.64</v>
      </c>
      <c r="D102">
        <v>1326.46</v>
      </c>
      <c r="E102">
        <v>916.39</v>
      </c>
      <c r="F102">
        <v>827.27</v>
      </c>
    </row>
    <row r="103" spans="1:6" ht="24" customHeight="1" x14ac:dyDescent="0.25">
      <c r="A103" t="s">
        <v>13</v>
      </c>
    </row>
    <row r="104" spans="1:6" x14ac:dyDescent="0.25">
      <c r="A104" t="s">
        <v>14</v>
      </c>
      <c r="B104">
        <v>2.62</v>
      </c>
      <c r="C104">
        <v>2.12</v>
      </c>
      <c r="D104">
        <v>1.44</v>
      </c>
      <c r="E104">
        <v>21.72</v>
      </c>
      <c r="F104">
        <v>24.91</v>
      </c>
    </row>
    <row r="105" spans="1:6" x14ac:dyDescent="0.25">
      <c r="A105" t="s">
        <v>15</v>
      </c>
      <c r="B105">
        <v>45.49</v>
      </c>
      <c r="C105">
        <v>43.76</v>
      </c>
      <c r="D105">
        <v>34.92</v>
      </c>
      <c r="E105">
        <v>55.71</v>
      </c>
      <c r="F105">
        <v>55.08</v>
      </c>
    </row>
    <row r="106" spans="1:6" x14ac:dyDescent="0.25">
      <c r="A106" t="s">
        <v>16</v>
      </c>
      <c r="B106">
        <v>18.329999999999998</v>
      </c>
      <c r="C106">
        <v>13.58</v>
      </c>
      <c r="D106">
        <v>16.93</v>
      </c>
      <c r="E106">
        <v>0</v>
      </c>
      <c r="F106">
        <v>0</v>
      </c>
    </row>
    <row r="107" spans="1:6" x14ac:dyDescent="0.25">
      <c r="A107" t="s">
        <v>17</v>
      </c>
      <c r="B107">
        <v>6.93</v>
      </c>
      <c r="C107">
        <v>6.62</v>
      </c>
      <c r="D107">
        <v>6.52</v>
      </c>
      <c r="E107">
        <v>4.3899999999999997</v>
      </c>
      <c r="F107">
        <v>3.62</v>
      </c>
    </row>
    <row r="108" spans="1:6" x14ac:dyDescent="0.25">
      <c r="A108" t="s">
        <v>18</v>
      </c>
      <c r="B108">
        <v>73.37</v>
      </c>
      <c r="C108">
        <v>66.08</v>
      </c>
      <c r="D108">
        <v>59.81</v>
      </c>
      <c r="E108">
        <v>81.819999999999993</v>
      </c>
      <c r="F108">
        <v>83.61</v>
      </c>
    </row>
    <row r="109" spans="1:6" ht="15" customHeight="1" x14ac:dyDescent="0.25">
      <c r="A109" t="s">
        <v>19</v>
      </c>
    </row>
    <row r="110" spans="1:6" x14ac:dyDescent="0.25">
      <c r="A110" t="s">
        <v>20</v>
      </c>
      <c r="B110">
        <v>266.19</v>
      </c>
      <c r="C110">
        <v>150.61000000000001</v>
      </c>
      <c r="D110">
        <v>145.6</v>
      </c>
      <c r="E110">
        <v>299.55</v>
      </c>
      <c r="F110">
        <v>278.16000000000003</v>
      </c>
    </row>
    <row r="111" spans="1:6" x14ac:dyDescent="0.25">
      <c r="A111" t="s">
        <v>21</v>
      </c>
      <c r="B111">
        <v>185.18</v>
      </c>
      <c r="C111">
        <v>167.65</v>
      </c>
      <c r="D111">
        <v>134.81</v>
      </c>
      <c r="E111">
        <v>83.35</v>
      </c>
      <c r="F111">
        <v>62.87</v>
      </c>
    </row>
    <row r="112" spans="1:6" x14ac:dyDescent="0.25">
      <c r="A112" t="s">
        <v>22</v>
      </c>
      <c r="B112">
        <v>104.16</v>
      </c>
      <c r="C112">
        <v>115.31</v>
      </c>
      <c r="D112">
        <v>63.42</v>
      </c>
      <c r="E112">
        <v>34.61</v>
      </c>
      <c r="F112">
        <v>27.93</v>
      </c>
    </row>
    <row r="113" spans="1:6" x14ac:dyDescent="0.25">
      <c r="A113" t="s">
        <v>23</v>
      </c>
      <c r="B113">
        <v>5.4</v>
      </c>
      <c r="C113">
        <v>6.2</v>
      </c>
      <c r="D113">
        <v>6.26</v>
      </c>
      <c r="E113">
        <v>5.42</v>
      </c>
      <c r="F113">
        <v>4.54</v>
      </c>
    </row>
    <row r="114" spans="1:6" x14ac:dyDescent="0.25">
      <c r="A114" t="s">
        <v>24</v>
      </c>
      <c r="B114">
        <v>560.92999999999995</v>
      </c>
      <c r="C114">
        <v>439.77</v>
      </c>
      <c r="D114">
        <v>350.09</v>
      </c>
      <c r="E114">
        <v>422.93</v>
      </c>
      <c r="F114">
        <v>373.5</v>
      </c>
    </row>
    <row r="115" spans="1:6" x14ac:dyDescent="0.25">
      <c r="A115" t="s">
        <v>25</v>
      </c>
      <c r="B115">
        <v>2752.63</v>
      </c>
      <c r="C115">
        <v>2162.4899999999998</v>
      </c>
      <c r="D115">
        <v>1736.36</v>
      </c>
      <c r="E115">
        <v>1421.14</v>
      </c>
      <c r="F115">
        <v>1284.3800000000001</v>
      </c>
    </row>
    <row r="116" spans="1:6" x14ac:dyDescent="0.25">
      <c r="A116" t="s">
        <v>26</v>
      </c>
    </row>
    <row r="117" spans="1:6" ht="24" customHeight="1" x14ac:dyDescent="0.25">
      <c r="A117" t="s">
        <v>27</v>
      </c>
    </row>
    <row r="118" spans="1:6" x14ac:dyDescent="0.25">
      <c r="A118" t="s">
        <v>28</v>
      </c>
      <c r="B118">
        <v>770.72</v>
      </c>
      <c r="C118">
        <v>730.39</v>
      </c>
      <c r="D118">
        <v>786.56</v>
      </c>
      <c r="E118">
        <v>561.34</v>
      </c>
      <c r="F118">
        <v>541.70000000000005</v>
      </c>
    </row>
    <row r="119" spans="1:6" x14ac:dyDescent="0.25">
      <c r="A119" t="s">
        <v>106</v>
      </c>
      <c r="B119">
        <v>0.41</v>
      </c>
      <c r="C119">
        <v>0.49</v>
      </c>
      <c r="D119">
        <v>0.64</v>
      </c>
      <c r="E119">
        <v>0.98</v>
      </c>
      <c r="F119">
        <v>1.0900000000000001</v>
      </c>
    </row>
    <row r="120" spans="1:6" x14ac:dyDescent="0.25">
      <c r="A120" t="s">
        <v>29</v>
      </c>
      <c r="B120">
        <v>245.97</v>
      </c>
      <c r="C120">
        <v>106.31</v>
      </c>
      <c r="D120">
        <v>12.19</v>
      </c>
      <c r="E120">
        <v>100.57</v>
      </c>
      <c r="F120">
        <v>62.94</v>
      </c>
    </row>
    <row r="121" spans="1:6" x14ac:dyDescent="0.25">
      <c r="A121" t="s">
        <v>30</v>
      </c>
      <c r="B121">
        <v>1017.1</v>
      </c>
      <c r="C121">
        <v>837.19</v>
      </c>
      <c r="D121">
        <v>799.39</v>
      </c>
      <c r="E121">
        <v>662.89</v>
      </c>
      <c r="F121">
        <v>605.73</v>
      </c>
    </row>
    <row r="122" spans="1:6" x14ac:dyDescent="0.25">
      <c r="A122" t="s">
        <v>31</v>
      </c>
      <c r="B122">
        <v>51.61</v>
      </c>
      <c r="C122">
        <v>23.64</v>
      </c>
      <c r="D122">
        <v>17.53</v>
      </c>
      <c r="E122">
        <v>41.16</v>
      </c>
      <c r="F122">
        <v>42.49</v>
      </c>
    </row>
    <row r="123" spans="1:6" x14ac:dyDescent="0.25">
      <c r="A123" t="s">
        <v>33</v>
      </c>
      <c r="B123">
        <v>0</v>
      </c>
      <c r="C123">
        <v>0</v>
      </c>
      <c r="D123">
        <v>0</v>
      </c>
      <c r="E123">
        <v>35.97</v>
      </c>
      <c r="F123">
        <v>34.35</v>
      </c>
    </row>
    <row r="124" spans="1:6" x14ac:dyDescent="0.25">
      <c r="A124" t="s">
        <v>34</v>
      </c>
      <c r="B124">
        <v>45.67</v>
      </c>
      <c r="C124">
        <v>37.26</v>
      </c>
      <c r="D124">
        <v>21.31</v>
      </c>
      <c r="E124">
        <v>0.08</v>
      </c>
      <c r="F124">
        <v>0.24</v>
      </c>
    </row>
    <row r="125" spans="1:6" x14ac:dyDescent="0.25">
      <c r="A125" t="s">
        <v>35</v>
      </c>
      <c r="B125">
        <v>1114.3800000000001</v>
      </c>
      <c r="C125">
        <v>898.09</v>
      </c>
      <c r="D125">
        <v>838.23</v>
      </c>
      <c r="E125">
        <v>740.1</v>
      </c>
      <c r="F125">
        <v>682.88</v>
      </c>
    </row>
    <row r="126" spans="1:6" ht="15" customHeight="1" x14ac:dyDescent="0.25">
      <c r="A126" t="s">
        <v>36</v>
      </c>
    </row>
    <row r="127" spans="1:6" x14ac:dyDescent="0.25">
      <c r="A127" t="s">
        <v>37</v>
      </c>
      <c r="B127">
        <v>662.1</v>
      </c>
      <c r="C127">
        <v>155.97999999999999</v>
      </c>
      <c r="D127">
        <v>4.5999999999999996</v>
      </c>
      <c r="E127">
        <v>31.36</v>
      </c>
      <c r="F127">
        <v>10</v>
      </c>
    </row>
    <row r="128" spans="1:6" x14ac:dyDescent="0.25">
      <c r="A128" t="s">
        <v>38</v>
      </c>
      <c r="B128">
        <v>666.16</v>
      </c>
      <c r="C128">
        <v>723.41</v>
      </c>
      <c r="D128">
        <v>598.71</v>
      </c>
      <c r="E128">
        <v>430.75</v>
      </c>
      <c r="F128">
        <v>443.69</v>
      </c>
    </row>
    <row r="129" spans="1:6" x14ac:dyDescent="0.25">
      <c r="A129" t="s">
        <v>39</v>
      </c>
      <c r="B129">
        <v>224.41</v>
      </c>
      <c r="C129">
        <v>225.38</v>
      </c>
      <c r="D129">
        <v>154.24</v>
      </c>
      <c r="E129">
        <v>173.71</v>
      </c>
      <c r="F129">
        <v>108.07</v>
      </c>
    </row>
    <row r="130" spans="1:6" x14ac:dyDescent="0.25">
      <c r="A130" t="s">
        <v>40</v>
      </c>
      <c r="B130">
        <v>18.420000000000002</v>
      </c>
      <c r="C130">
        <v>98.27</v>
      </c>
      <c r="D130">
        <v>101.36</v>
      </c>
      <c r="E130">
        <v>8.32</v>
      </c>
      <c r="F130">
        <v>6.95</v>
      </c>
    </row>
    <row r="131" spans="1:6" x14ac:dyDescent="0.25">
      <c r="A131" t="s">
        <v>41</v>
      </c>
      <c r="B131">
        <v>0</v>
      </c>
      <c r="C131">
        <v>0</v>
      </c>
      <c r="D131">
        <v>0</v>
      </c>
      <c r="E131">
        <v>28.84</v>
      </c>
      <c r="F131">
        <v>29.09</v>
      </c>
    </row>
    <row r="132" spans="1:6" x14ac:dyDescent="0.25">
      <c r="A132" t="s">
        <v>42</v>
      </c>
      <c r="B132">
        <v>67.16</v>
      </c>
      <c r="C132">
        <v>61.36</v>
      </c>
      <c r="D132">
        <v>39.22</v>
      </c>
      <c r="E132">
        <v>8.06</v>
      </c>
      <c r="F132">
        <v>3.7</v>
      </c>
    </row>
    <row r="133" spans="1:6" x14ac:dyDescent="0.25">
      <c r="A133" t="s">
        <v>43</v>
      </c>
      <c r="B133">
        <v>1638.25</v>
      </c>
      <c r="C133">
        <v>1264.4000000000001</v>
      </c>
      <c r="D133">
        <v>898.13</v>
      </c>
      <c r="E133">
        <v>681.04</v>
      </c>
      <c r="F133">
        <v>601.5</v>
      </c>
    </row>
    <row r="134" spans="1:6" x14ac:dyDescent="0.25">
      <c r="A134" t="s">
        <v>44</v>
      </c>
      <c r="B134">
        <v>2752.63</v>
      </c>
      <c r="C134">
        <v>2162.4899999999998</v>
      </c>
      <c r="D134">
        <v>1736.36</v>
      </c>
      <c r="E134">
        <v>1421.14</v>
      </c>
      <c r="F134">
        <v>1284.3800000000001</v>
      </c>
    </row>
    <row r="135" spans="1:6" ht="24" customHeight="1" x14ac:dyDescent="0.25">
      <c r="A135" t="s">
        <v>45</v>
      </c>
    </row>
    <row r="136" spans="1:6" ht="36" customHeight="1" x14ac:dyDescent="0.25">
      <c r="A136" t="s">
        <v>46</v>
      </c>
    </row>
    <row r="137" spans="1:6" x14ac:dyDescent="0.25">
      <c r="A137" t="s">
        <v>47</v>
      </c>
      <c r="B137">
        <v>112.77</v>
      </c>
      <c r="C137">
        <v>170.9</v>
      </c>
      <c r="D137">
        <v>87.46</v>
      </c>
      <c r="E137">
        <v>62.09</v>
      </c>
      <c r="F137">
        <v>24.68</v>
      </c>
    </row>
    <row r="138" spans="1:6" ht="15" customHeight="1" x14ac:dyDescent="0.25">
      <c r="A138" t="s">
        <v>57</v>
      </c>
    </row>
    <row r="139" spans="1:6" ht="24" customHeight="1" x14ac:dyDescent="0.25">
      <c r="A139" t="s">
        <v>59</v>
      </c>
    </row>
    <row r="140" spans="1:6" x14ac:dyDescent="0.25">
      <c r="A140" t="s">
        <v>60</v>
      </c>
      <c r="B140">
        <v>0</v>
      </c>
      <c r="C140">
        <v>0</v>
      </c>
      <c r="D140">
        <v>0</v>
      </c>
      <c r="E140">
        <v>40.840000000000003</v>
      </c>
      <c r="F140">
        <v>30.34</v>
      </c>
    </row>
    <row r="141" spans="1:6" x14ac:dyDescent="0.25">
      <c r="A141" t="s">
        <v>61</v>
      </c>
      <c r="B141">
        <v>0.69</v>
      </c>
      <c r="C141">
        <v>3.37</v>
      </c>
      <c r="D141">
        <v>5.13</v>
      </c>
      <c r="E141">
        <v>3.81</v>
      </c>
      <c r="F141">
        <v>4.97</v>
      </c>
    </row>
    <row r="142" spans="1:6" ht="24" customHeight="1" x14ac:dyDescent="0.25">
      <c r="A142" t="s">
        <v>62</v>
      </c>
    </row>
    <row r="143" spans="1:6" x14ac:dyDescent="0.25">
      <c r="A143" t="s">
        <v>63</v>
      </c>
      <c r="B143">
        <v>0</v>
      </c>
      <c r="C143">
        <v>0</v>
      </c>
      <c r="D143">
        <v>0</v>
      </c>
      <c r="E143">
        <v>29.2</v>
      </c>
      <c r="F143">
        <v>0</v>
      </c>
    </row>
    <row r="144" spans="1:6" x14ac:dyDescent="0.25">
      <c r="A144" t="s">
        <v>64</v>
      </c>
      <c r="B144">
        <v>0</v>
      </c>
      <c r="C144">
        <v>0</v>
      </c>
      <c r="D144">
        <v>0</v>
      </c>
      <c r="E144">
        <v>2.73</v>
      </c>
      <c r="F144">
        <v>0</v>
      </c>
    </row>
    <row r="148" spans="1:1" ht="15" customHeight="1" x14ac:dyDescent="0.25">
      <c r="A148" t="s">
        <v>65</v>
      </c>
    </row>
  </sheetData>
  <hyperlinks>
    <hyperlink ref="B1" r:id="rId1" display="javascript:void(0);" xr:uid="{25951B9A-3BDD-4373-BAB0-65C1C9E9EE79}"/>
    <hyperlink ref="B90" r:id="rId2" display="javascript:void(0);" xr:uid="{554E0A76-2018-48B5-8C0C-A8C2B8551649}"/>
  </hyperlinks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B55E5-5240-4E93-B19B-D167EEA1E4B4}">
  <sheetPr codeName="Sheet3"/>
  <dimension ref="A1:M134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108</v>
      </c>
      <c r="B1" t="s">
        <v>1</v>
      </c>
      <c r="H1" t="str">
        <f>A1</f>
        <v>Kohinoor Foods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37.07</v>
      </c>
      <c r="J4">
        <f>VLOOKUP(H4,$A$1:F$161,J$2,0)</f>
        <v>37.07</v>
      </c>
      <c r="K4">
        <f>VLOOKUP(H4,$A$1:F$161,K$2,0)</f>
        <v>37.07</v>
      </c>
      <c r="L4">
        <f>VLOOKUP(H4,$A$1:F$161,L$2,0)</f>
        <v>37.07</v>
      </c>
      <c r="M4">
        <f>VLOOKUP(H4,$A$1:F$161,M$2,0)</f>
        <v>35.24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37.07</v>
      </c>
      <c r="J5">
        <f>VLOOKUP(H5,$A$1:F$161,J$2,0)</f>
        <v>37.07</v>
      </c>
      <c r="K5">
        <f>VLOOKUP(H5,$A$1:F$161,K$2,0)</f>
        <v>37.07</v>
      </c>
      <c r="L5">
        <f>VLOOKUP(H5,$A$1:F$161,L$2,0)</f>
        <v>37.07</v>
      </c>
      <c r="M5">
        <f>VLOOKUP(H5,$A$1:F$161,M$2,0)</f>
        <v>35.24</v>
      </c>
    </row>
    <row r="6" spans="1:13" x14ac:dyDescent="0.25">
      <c r="H6" t="s">
        <v>10</v>
      </c>
      <c r="I6">
        <f>VLOOKUP(H6,$A$1:F$161,I$2,0)</f>
        <v>-709.3</v>
      </c>
      <c r="J6">
        <f>VLOOKUP(H6,$A$1:F$161,J$2,0)</f>
        <v>-705.17</v>
      </c>
      <c r="K6">
        <f>VLOOKUP(H6,$A$1:F$161,K$2,0)</f>
        <v>-749.05</v>
      </c>
      <c r="L6">
        <f>VLOOKUP(H6,$A$1:F$161,L$2,0)</f>
        <v>-561.72</v>
      </c>
      <c r="M6">
        <f>VLOOKUP(H6,$A$1:F$161,M$2,0)</f>
        <v>-203.61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-550.45000000000005</v>
      </c>
      <c r="J7">
        <f>VLOOKUP(H7,$A$1:F$161,J$2,0)</f>
        <v>-546.32000000000005</v>
      </c>
      <c r="K7">
        <f>VLOOKUP(H7,$A$1:F$161,K$2,0)</f>
        <v>-571.03</v>
      </c>
      <c r="L7">
        <f>VLOOKUP(H7,$A$1:F$161,L$2,0)</f>
        <v>-383.69</v>
      </c>
      <c r="M7">
        <f>VLOOKUP(H7,$A$1:F$161,M$2,0)</f>
        <v>-33.21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-513.38</v>
      </c>
      <c r="J8">
        <f>VLOOKUP(H8,$A$1:F$161,J$2,0)</f>
        <v>-509.25</v>
      </c>
      <c r="K8">
        <f>VLOOKUP(H8,$A$1:F$161,K$2,0)</f>
        <v>-533.95000000000005</v>
      </c>
      <c r="L8">
        <f>VLOOKUP(H8,$A$1:F$161,L$2,0)</f>
        <v>-346.62</v>
      </c>
      <c r="M8">
        <f>VLOOKUP(H8,$A$1:F$161,M$2,0)</f>
        <v>2.0299999999999998</v>
      </c>
    </row>
    <row r="9" spans="1:13" x14ac:dyDescent="0.25">
      <c r="A9" t="s">
        <v>8</v>
      </c>
      <c r="B9">
        <v>37.07</v>
      </c>
      <c r="C9">
        <v>37.07</v>
      </c>
      <c r="D9">
        <v>37.07</v>
      </c>
      <c r="E9">
        <v>37.07</v>
      </c>
      <c r="F9">
        <v>35.24</v>
      </c>
      <c r="H9" t="s">
        <v>14</v>
      </c>
      <c r="I9">
        <f>VLOOKUP(H9,$A$1:F$161,I$2,0)</f>
        <v>2.95</v>
      </c>
      <c r="J9">
        <f>VLOOKUP(H9,$A$1:F$161,J$2,0)</f>
        <v>18.7</v>
      </c>
      <c r="K9">
        <f>VLOOKUP(H9,$A$1:F$161,K$2,0)</f>
        <v>19.600000000000001</v>
      </c>
      <c r="L9">
        <f>VLOOKUP(H9,$A$1:F$161,L$2,0)</f>
        <v>15</v>
      </c>
      <c r="M9">
        <f>VLOOKUP(H9,$A$1:F$161,M$2,0)</f>
        <v>15.87</v>
      </c>
    </row>
    <row r="10" spans="1:13" x14ac:dyDescent="0.25">
      <c r="A10" t="s">
        <v>9</v>
      </c>
      <c r="B10">
        <v>37.07</v>
      </c>
      <c r="C10">
        <v>37.07</v>
      </c>
      <c r="D10">
        <v>37.07</v>
      </c>
      <c r="E10">
        <v>37.07</v>
      </c>
      <c r="F10">
        <v>35.24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109</v>
      </c>
      <c r="B11">
        <v>158.85</v>
      </c>
      <c r="C11">
        <v>158.85</v>
      </c>
      <c r="D11">
        <v>178.02</v>
      </c>
      <c r="E11">
        <v>178.02</v>
      </c>
      <c r="F11">
        <v>170.4</v>
      </c>
      <c r="H11" t="s">
        <v>17</v>
      </c>
      <c r="I11">
        <f>VLOOKUP(H11,$A$1:F$161,I$2,0)</f>
        <v>0.87</v>
      </c>
      <c r="J11">
        <f>VLOOKUP(H11,$A$1:F$161,J$2,0)</f>
        <v>1.01</v>
      </c>
      <c r="K11">
        <f>VLOOKUP(H11,$A$1:F$161,K$2,0)</f>
        <v>1.34</v>
      </c>
      <c r="L11">
        <f>VLOOKUP(H11,$A$1:F$161,L$2,0)</f>
        <v>1.6</v>
      </c>
      <c r="M11">
        <f>VLOOKUP(H11,$A$1:F$161,M$2,0)</f>
        <v>2.25</v>
      </c>
    </row>
    <row r="12" spans="1:13" x14ac:dyDescent="0.25">
      <c r="A12" t="s">
        <v>10</v>
      </c>
      <c r="B12">
        <v>-709.3</v>
      </c>
      <c r="C12">
        <v>-705.17</v>
      </c>
      <c r="D12">
        <v>-749.05</v>
      </c>
      <c r="E12">
        <v>-561.72</v>
      </c>
      <c r="F12">
        <v>-203.61</v>
      </c>
      <c r="H12" t="s">
        <v>18</v>
      </c>
      <c r="I12">
        <f>VLOOKUP(H12,$A$1:F$161,I$2,0)</f>
        <v>3.83</v>
      </c>
      <c r="J12">
        <f>VLOOKUP(H12,$A$1:F$161,J$2,0)</f>
        <v>19.72</v>
      </c>
      <c r="K12">
        <f>VLOOKUP(H12,$A$1:F$161,K$2,0)</f>
        <v>20.93</v>
      </c>
      <c r="L12">
        <f>VLOOKUP(H12,$A$1:F$161,L$2,0)</f>
        <v>16.600000000000001</v>
      </c>
      <c r="M12">
        <f>VLOOKUP(H12,$A$1:F$161,M$2,0)</f>
        <v>18.12</v>
      </c>
    </row>
    <row r="13" spans="1:13" x14ac:dyDescent="0.25">
      <c r="A13" t="s">
        <v>11</v>
      </c>
      <c r="B13">
        <v>-550.45000000000005</v>
      </c>
      <c r="C13">
        <v>-546.32000000000005</v>
      </c>
      <c r="D13">
        <v>-571.03</v>
      </c>
      <c r="E13">
        <v>-383.69</v>
      </c>
      <c r="F13">
        <v>-33.21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-513.38</v>
      </c>
      <c r="C14">
        <v>-509.25</v>
      </c>
      <c r="D14">
        <v>-533.95000000000005</v>
      </c>
      <c r="E14">
        <v>-346.62</v>
      </c>
      <c r="F14">
        <v>2.0299999999999998</v>
      </c>
      <c r="H14" t="s">
        <v>21</v>
      </c>
      <c r="I14">
        <f>VLOOKUP(H14,$A$1:F$161,I$2,0)</f>
        <v>8.33</v>
      </c>
      <c r="J14">
        <f>VLOOKUP(H14,$A$1:F$161,J$2,0)</f>
        <v>31.73</v>
      </c>
      <c r="K14">
        <f>VLOOKUP(H14,$A$1:F$161,K$2,0)</f>
        <v>48.08</v>
      </c>
      <c r="L14">
        <f>VLOOKUP(H14,$A$1:F$161,L$2,0)</f>
        <v>65.239999999999995</v>
      </c>
      <c r="M14">
        <f>VLOOKUP(H14,$A$1:F$161,M$2,0)</f>
        <v>169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9.2899999999999991</v>
      </c>
      <c r="J15">
        <f>VLOOKUP(H15,$A$1:F$161,J$2,0)</f>
        <v>38.9</v>
      </c>
      <c r="K15">
        <f>VLOOKUP(H15,$A$1:F$161,K$2,0)</f>
        <v>40.31</v>
      </c>
      <c r="L15">
        <f>VLOOKUP(H15,$A$1:F$161,L$2,0)</f>
        <v>37.35</v>
      </c>
      <c r="M15">
        <f>VLOOKUP(H15,$A$1:F$161,M$2,0)</f>
        <v>56.11</v>
      </c>
    </row>
    <row r="16" spans="1:13" x14ac:dyDescent="0.25">
      <c r="A16" t="s">
        <v>14</v>
      </c>
      <c r="B16">
        <v>2.95</v>
      </c>
      <c r="C16">
        <v>18.7</v>
      </c>
      <c r="D16">
        <v>19.600000000000001</v>
      </c>
      <c r="E16">
        <v>15</v>
      </c>
      <c r="F16">
        <v>15.87</v>
      </c>
      <c r="H16" t="s">
        <v>23</v>
      </c>
      <c r="I16">
        <f>VLOOKUP(H16,$A$1:F$161,I$2,0)</f>
        <v>0.22</v>
      </c>
      <c r="J16">
        <f>VLOOKUP(H16,$A$1:F$161,J$2,0)</f>
        <v>0.17</v>
      </c>
      <c r="K16">
        <f>VLOOKUP(H16,$A$1:F$161,K$2,0)</f>
        <v>0.13</v>
      </c>
      <c r="L16">
        <f>VLOOKUP(H16,$A$1:F$161,L$2,0)</f>
        <v>0.17</v>
      </c>
      <c r="M16">
        <f>VLOOKUP(H16,$A$1:F$161,M$2,0)</f>
        <v>0.21</v>
      </c>
    </row>
    <row r="17" spans="1:13" x14ac:dyDescent="0.25">
      <c r="A17" t="s">
        <v>17</v>
      </c>
      <c r="B17">
        <v>0.87</v>
      </c>
      <c r="C17">
        <v>1.01</v>
      </c>
      <c r="D17">
        <v>1.34</v>
      </c>
      <c r="E17">
        <v>1.6</v>
      </c>
      <c r="F17">
        <v>2.25</v>
      </c>
      <c r="H17" t="s">
        <v>24</v>
      </c>
      <c r="I17">
        <f>VLOOKUP(H17,$A$1:F$161,I$2,0)</f>
        <v>724.91</v>
      </c>
      <c r="J17">
        <f>VLOOKUP(H17,$A$1:F$161,J$2,0)</f>
        <v>845.22</v>
      </c>
      <c r="K17">
        <f>VLOOKUP(H17,$A$1:F$161,K$2,0)</f>
        <v>858.41</v>
      </c>
      <c r="L17">
        <f>VLOOKUP(H17,$A$1:F$161,L$2,0)</f>
        <v>850.96</v>
      </c>
      <c r="M17">
        <f>VLOOKUP(H17,$A$1:F$161,M$2,0)</f>
        <v>1044.9100000000001</v>
      </c>
    </row>
    <row r="18" spans="1:13" x14ac:dyDescent="0.25">
      <c r="A18" t="s">
        <v>18</v>
      </c>
      <c r="B18">
        <v>3.83</v>
      </c>
      <c r="C18">
        <v>19.72</v>
      </c>
      <c r="D18">
        <v>20.93</v>
      </c>
      <c r="E18">
        <v>16.600000000000001</v>
      </c>
      <c r="F18">
        <v>18.12</v>
      </c>
      <c r="H18" t="s">
        <v>25</v>
      </c>
      <c r="I18">
        <f>VLOOKUP(H18,$A$1:F$161,I$2,0)</f>
        <v>215.35</v>
      </c>
      <c r="J18">
        <f>VLOOKUP(H18,$A$1:F$161,J$2,0)</f>
        <v>355.69</v>
      </c>
      <c r="K18">
        <f>VLOOKUP(H18,$A$1:F$161,K$2,0)</f>
        <v>345.39</v>
      </c>
      <c r="L18">
        <f>VLOOKUP(H18,$A$1:F$161,L$2,0)</f>
        <v>520.94000000000005</v>
      </c>
      <c r="M18">
        <f>VLOOKUP(H18,$A$1:F$161,M$2,0)</f>
        <v>1065.07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707.07</v>
      </c>
      <c r="C20">
        <v>774.43</v>
      </c>
      <c r="D20">
        <v>769.89</v>
      </c>
      <c r="E20">
        <v>748.21</v>
      </c>
      <c r="F20">
        <v>819.6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8.33</v>
      </c>
      <c r="C21">
        <v>31.73</v>
      </c>
      <c r="D21">
        <v>48.08</v>
      </c>
      <c r="E21">
        <v>65.239999999999995</v>
      </c>
      <c r="F21">
        <v>169</v>
      </c>
      <c r="H21" t="s">
        <v>28</v>
      </c>
      <c r="I21">
        <f>VLOOKUP(H21,$A$1:F$161,I$2,0)</f>
        <v>165.13</v>
      </c>
      <c r="J21">
        <f>VLOOKUP(H21,$A$1:F$161,J$2,0)</f>
        <v>178.8</v>
      </c>
      <c r="K21">
        <f>VLOOKUP(H21,$A$1:F$161,K$2,0)</f>
        <v>189.89</v>
      </c>
      <c r="L21">
        <f>VLOOKUP(H21,$A$1:F$161,L$2,0)</f>
        <v>245.76</v>
      </c>
      <c r="M21">
        <f>VLOOKUP(H21,$A$1:F$161,M$2,0)</f>
        <v>260.72000000000003</v>
      </c>
    </row>
    <row r="22" spans="1:13" x14ac:dyDescent="0.25">
      <c r="A22" t="s">
        <v>22</v>
      </c>
      <c r="B22">
        <v>9.2899999999999991</v>
      </c>
      <c r="C22">
        <v>38.9</v>
      </c>
      <c r="D22">
        <v>40.31</v>
      </c>
      <c r="E22">
        <v>37.35</v>
      </c>
      <c r="F22">
        <v>56.11</v>
      </c>
      <c r="H22" t="s">
        <v>29</v>
      </c>
      <c r="I22">
        <f>VLOOKUP(H22,$A$1:F$161,I$2,0)</f>
        <v>0</v>
      </c>
      <c r="J22">
        <f>VLOOKUP(H22,$A$1:F$161,J$2,0)</f>
        <v>0.03</v>
      </c>
      <c r="K22">
        <f>VLOOKUP(H22,$A$1:F$161,K$2,0)</f>
        <v>0</v>
      </c>
      <c r="L22">
        <f>VLOOKUP(H22,$A$1:F$161,L$2,0)</f>
        <v>0</v>
      </c>
      <c r="M22">
        <f>VLOOKUP(H22,$A$1:F$161,M$2,0)</f>
        <v>0.01</v>
      </c>
    </row>
    <row r="23" spans="1:13" x14ac:dyDescent="0.25">
      <c r="A23" t="s">
        <v>23</v>
      </c>
      <c r="B23">
        <v>0.22</v>
      </c>
      <c r="C23">
        <v>0.17</v>
      </c>
      <c r="D23">
        <v>0.13</v>
      </c>
      <c r="E23">
        <v>0.17</v>
      </c>
      <c r="F23">
        <v>0.21</v>
      </c>
      <c r="H23" t="s">
        <v>30</v>
      </c>
      <c r="I23">
        <f>VLOOKUP(H23,$A$1:F$161,I$2,0)</f>
        <v>165.13</v>
      </c>
      <c r="J23">
        <f>VLOOKUP(H23,$A$1:F$161,J$2,0)</f>
        <v>178.82</v>
      </c>
      <c r="K23">
        <f>VLOOKUP(H23,$A$1:F$161,K$2,0)</f>
        <v>189.89</v>
      </c>
      <c r="L23">
        <f>VLOOKUP(H23,$A$1:F$161,L$2,0)</f>
        <v>245.76</v>
      </c>
      <c r="M23">
        <f>VLOOKUP(H23,$A$1:F$161,M$2,0)</f>
        <v>260.73</v>
      </c>
    </row>
    <row r="24" spans="1:13" x14ac:dyDescent="0.25">
      <c r="A24" t="s">
        <v>24</v>
      </c>
      <c r="B24">
        <v>724.91</v>
      </c>
      <c r="C24">
        <v>845.22</v>
      </c>
      <c r="D24">
        <v>858.41</v>
      </c>
      <c r="E24">
        <v>850.96</v>
      </c>
      <c r="F24">
        <v>1044.9100000000001</v>
      </c>
      <c r="H24" t="s">
        <v>32</v>
      </c>
      <c r="I24">
        <f>VLOOKUP(H24,$A$1:F$161,I$2,0)</f>
        <v>2.31</v>
      </c>
      <c r="J24">
        <f>VLOOKUP(H24,$A$1:F$161,J$2,0)</f>
        <v>4.57</v>
      </c>
      <c r="K24">
        <f>VLOOKUP(H24,$A$1:F$161,K$2,0)</f>
        <v>4.99</v>
      </c>
      <c r="L24">
        <f>VLOOKUP(H24,$A$1:F$161,L$2,0)</f>
        <v>3.56</v>
      </c>
      <c r="M24">
        <f>VLOOKUP(H24,$A$1:F$161,M$2,0)</f>
        <v>109.03</v>
      </c>
    </row>
    <row r="25" spans="1:13" x14ac:dyDescent="0.25">
      <c r="A25" t="s">
        <v>25</v>
      </c>
      <c r="B25">
        <v>215.35</v>
      </c>
      <c r="C25">
        <v>355.69</v>
      </c>
      <c r="D25">
        <v>345.39</v>
      </c>
      <c r="E25">
        <v>520.94000000000005</v>
      </c>
      <c r="F25">
        <v>1065.07</v>
      </c>
      <c r="H25" t="s">
        <v>33</v>
      </c>
      <c r="I25" t="e">
        <f>VLOOKUP(H25,$A$1:F$161,I$2,0)</f>
        <v>#N/A</v>
      </c>
      <c r="J25" t="e">
        <f>VLOOKUP(H25,$A$1:F$161,J$2,0)</f>
        <v>#N/A</v>
      </c>
      <c r="K25" t="e">
        <f>VLOOKUP(H25,$A$1:F$161,K$2,0)</f>
        <v>#N/A</v>
      </c>
      <c r="L25" t="e">
        <f>VLOOKUP(H25,$A$1:F$161,L$2,0)</f>
        <v>#N/A</v>
      </c>
      <c r="M25" t="e">
        <f>VLOOKUP(H25,$A$1:F$161,M$2,0)</f>
        <v>#N/A</v>
      </c>
    </row>
    <row r="26" spans="1:13" x14ac:dyDescent="0.25">
      <c r="A26" t="s">
        <v>26</v>
      </c>
      <c r="H26" t="s">
        <v>34</v>
      </c>
      <c r="I26">
        <f>VLOOKUP(H26,$A$1:F$161,I$2,0)</f>
        <v>3.54</v>
      </c>
      <c r="J26">
        <f>VLOOKUP(H26,$A$1:F$161,J$2,0)</f>
        <v>0.7</v>
      </c>
      <c r="K26">
        <f>VLOOKUP(H26,$A$1:F$161,K$2,0)</f>
        <v>0.99</v>
      </c>
      <c r="L26">
        <f>VLOOKUP(H26,$A$1:F$161,L$2,0)</f>
        <v>0.99</v>
      </c>
      <c r="M26">
        <f>VLOOKUP(H26,$A$1:F$161,M$2,0)</f>
        <v>1.35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170.97</v>
      </c>
      <c r="J27">
        <f>VLOOKUP(H27,$A$1:F$161,J$2,0)</f>
        <v>184.1</v>
      </c>
      <c r="K27">
        <f>VLOOKUP(H27,$A$1:F$161,K$2,0)</f>
        <v>195.88</v>
      </c>
      <c r="L27">
        <f>VLOOKUP(H27,$A$1:F$161,L$2,0)</f>
        <v>250.31</v>
      </c>
      <c r="M27">
        <f>VLOOKUP(H27,$A$1:F$161,M$2,0)</f>
        <v>371.11</v>
      </c>
    </row>
    <row r="28" spans="1:13" x14ac:dyDescent="0.25">
      <c r="A28" t="s">
        <v>28</v>
      </c>
      <c r="B28">
        <v>165.13</v>
      </c>
      <c r="C28">
        <v>178.8</v>
      </c>
      <c r="D28">
        <v>189.89</v>
      </c>
      <c r="E28">
        <v>245.76</v>
      </c>
      <c r="F28">
        <v>260.72000000000003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29</v>
      </c>
      <c r="B29">
        <v>0</v>
      </c>
      <c r="C29">
        <v>0.03</v>
      </c>
      <c r="D29">
        <v>0</v>
      </c>
      <c r="E29">
        <v>0</v>
      </c>
      <c r="F29">
        <v>0.01</v>
      </c>
      <c r="H29" t="s">
        <v>38</v>
      </c>
      <c r="I29">
        <f>VLOOKUP(H29,$A$1:F$161,I$2,0)</f>
        <v>7.09</v>
      </c>
      <c r="J29">
        <f>VLOOKUP(H29,$A$1:F$161,J$2,0)</f>
        <v>37.43</v>
      </c>
      <c r="K29">
        <f>VLOOKUP(H29,$A$1:F$161,K$2,0)</f>
        <v>23.36</v>
      </c>
      <c r="L29">
        <f>VLOOKUP(H29,$A$1:F$161,L$2,0)</f>
        <v>23.36</v>
      </c>
      <c r="M29">
        <f>VLOOKUP(H29,$A$1:F$161,M$2,0)</f>
        <v>549.53</v>
      </c>
    </row>
    <row r="30" spans="1:13" x14ac:dyDescent="0.25">
      <c r="A30" t="s">
        <v>30</v>
      </c>
      <c r="B30">
        <v>165.13</v>
      </c>
      <c r="C30">
        <v>178.82</v>
      </c>
      <c r="D30">
        <v>189.89</v>
      </c>
      <c r="E30">
        <v>245.76</v>
      </c>
      <c r="F30">
        <v>260.73</v>
      </c>
      <c r="H30" t="s">
        <v>39</v>
      </c>
      <c r="I30">
        <f>VLOOKUP(H30,$A$1:F$161,I$2,0)</f>
        <v>11.26</v>
      </c>
      <c r="J30">
        <f>VLOOKUP(H30,$A$1:F$161,J$2,0)</f>
        <v>84.36</v>
      </c>
      <c r="K30">
        <f>VLOOKUP(H30,$A$1:F$161,K$2,0)</f>
        <v>91.19</v>
      </c>
      <c r="L30">
        <f>VLOOKUP(H30,$A$1:F$161,L$2,0)</f>
        <v>211.79</v>
      </c>
      <c r="M30">
        <f>VLOOKUP(H30,$A$1:F$161,M$2,0)</f>
        <v>88.91</v>
      </c>
    </row>
    <row r="31" spans="1:13" x14ac:dyDescent="0.25">
      <c r="A31" t="s">
        <v>32</v>
      </c>
      <c r="B31">
        <v>2.31</v>
      </c>
      <c r="C31">
        <v>4.57</v>
      </c>
      <c r="D31">
        <v>4.99</v>
      </c>
      <c r="E31">
        <v>3.56</v>
      </c>
      <c r="F31">
        <v>109.03</v>
      </c>
      <c r="H31" t="s">
        <v>40</v>
      </c>
      <c r="I31">
        <f>VLOOKUP(H31,$A$1:F$161,I$2,0)</f>
        <v>1.43</v>
      </c>
      <c r="J31">
        <f>VLOOKUP(H31,$A$1:F$161,J$2,0)</f>
        <v>1.53</v>
      </c>
      <c r="K31">
        <f>VLOOKUP(H31,$A$1:F$161,K$2,0)</f>
        <v>4.3</v>
      </c>
      <c r="L31">
        <f>VLOOKUP(H31,$A$1:F$161,L$2,0)</f>
        <v>3.59</v>
      </c>
      <c r="M31">
        <f>VLOOKUP(H31,$A$1:F$161,M$2,0)</f>
        <v>11.47</v>
      </c>
    </row>
    <row r="32" spans="1:13" x14ac:dyDescent="0.25">
      <c r="A32" t="s">
        <v>34</v>
      </c>
      <c r="B32">
        <v>3.54</v>
      </c>
      <c r="C32">
        <v>0.7</v>
      </c>
      <c r="D32">
        <v>0.99</v>
      </c>
      <c r="E32">
        <v>0.99</v>
      </c>
      <c r="F32">
        <v>1.35</v>
      </c>
      <c r="H32" t="s">
        <v>41</v>
      </c>
      <c r="I32" t="e">
        <f>VLOOKUP(H32,$A$1:F$161,I$2,0)</f>
        <v>#N/A</v>
      </c>
      <c r="J32" t="e">
        <f>VLOOKUP(H32,$A$1:F$161,J$2,0)</f>
        <v>#N/A</v>
      </c>
      <c r="K32" t="e">
        <f>VLOOKUP(H32,$A$1:F$161,K$2,0)</f>
        <v>#N/A</v>
      </c>
      <c r="L32" t="e">
        <f>VLOOKUP(H32,$A$1:F$161,L$2,0)</f>
        <v>#N/A</v>
      </c>
      <c r="M32" t="e">
        <f>VLOOKUP(H32,$A$1:F$161,M$2,0)</f>
        <v>#N/A</v>
      </c>
    </row>
    <row r="33" spans="1:13" x14ac:dyDescent="0.25">
      <c r="A33" t="s">
        <v>35</v>
      </c>
      <c r="B33">
        <v>170.97</v>
      </c>
      <c r="C33">
        <v>184.1</v>
      </c>
      <c r="D33">
        <v>195.88</v>
      </c>
      <c r="E33">
        <v>250.31</v>
      </c>
      <c r="F33">
        <v>371.11</v>
      </c>
      <c r="H33" t="s">
        <v>42</v>
      </c>
      <c r="I33">
        <f>VLOOKUP(H33,$A$1:F$161,I$2,0)</f>
        <v>24.48</v>
      </c>
      <c r="J33">
        <f>VLOOKUP(H33,$A$1:F$161,J$2,0)</f>
        <v>48.18</v>
      </c>
      <c r="K33">
        <f>VLOOKUP(H33,$A$1:F$161,K$2,0)</f>
        <v>30.66</v>
      </c>
      <c r="L33">
        <f>VLOOKUP(H33,$A$1:F$161,L$2,0)</f>
        <v>31.89</v>
      </c>
      <c r="M33">
        <f>VLOOKUP(H33,$A$1:F$161,M$2,0)</f>
        <v>44.04</v>
      </c>
    </row>
    <row r="34" spans="1:13" ht="15" customHeight="1" x14ac:dyDescent="0.25">
      <c r="A34" t="s">
        <v>36</v>
      </c>
      <c r="H34" t="s">
        <v>43</v>
      </c>
      <c r="I34">
        <f>VLOOKUP(H34,$A$1:F$161,I$2,0)</f>
        <v>44.38</v>
      </c>
      <c r="J34">
        <f>VLOOKUP(H34,$A$1:F$161,J$2,0)</f>
        <v>171.6</v>
      </c>
      <c r="K34">
        <f>VLOOKUP(H34,$A$1:F$161,K$2,0)</f>
        <v>149.52000000000001</v>
      </c>
      <c r="L34">
        <f>VLOOKUP(H34,$A$1:F$161,L$2,0)</f>
        <v>270.63</v>
      </c>
      <c r="M34">
        <f>VLOOKUP(H34,$A$1:F$161,M$2,0)</f>
        <v>693.96</v>
      </c>
    </row>
    <row r="35" spans="1:13" x14ac:dyDescent="0.25">
      <c r="A35" t="s">
        <v>37</v>
      </c>
      <c r="B35">
        <v>0.11</v>
      </c>
      <c r="C35">
        <v>0.1</v>
      </c>
      <c r="D35">
        <v>0</v>
      </c>
      <c r="E35">
        <v>0</v>
      </c>
      <c r="F35">
        <v>0</v>
      </c>
      <c r="H35" t="s">
        <v>44</v>
      </c>
      <c r="I35">
        <f>VLOOKUP(H35,$A$1:F$161,I$2,0)</f>
        <v>215.35</v>
      </c>
      <c r="J35">
        <f>VLOOKUP(H35,$A$1:F$161,J$2,0)</f>
        <v>355.69</v>
      </c>
      <c r="K35">
        <f>VLOOKUP(H35,$A$1:F$161,K$2,0)</f>
        <v>345.39</v>
      </c>
      <c r="L35">
        <f>VLOOKUP(H35,$A$1:F$161,L$2,0)</f>
        <v>520.94000000000005</v>
      </c>
      <c r="M35">
        <f>VLOOKUP(H35,$A$1:F$161,M$2,0)</f>
        <v>1065.07</v>
      </c>
    </row>
    <row r="36" spans="1:13" x14ac:dyDescent="0.25">
      <c r="A36" t="s">
        <v>38</v>
      </c>
      <c r="B36">
        <v>7.09</v>
      </c>
      <c r="C36">
        <v>37.43</v>
      </c>
      <c r="D36">
        <v>23.36</v>
      </c>
      <c r="E36">
        <v>23.36</v>
      </c>
      <c r="F36">
        <v>549.53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39</v>
      </c>
      <c r="B37">
        <v>11.26</v>
      </c>
      <c r="C37">
        <v>84.36</v>
      </c>
      <c r="D37">
        <v>91.19</v>
      </c>
      <c r="E37">
        <v>211.79</v>
      </c>
      <c r="F37">
        <v>88.91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40</v>
      </c>
      <c r="B38">
        <v>1.43</v>
      </c>
      <c r="C38">
        <v>1.53</v>
      </c>
      <c r="D38">
        <v>4.3</v>
      </c>
      <c r="E38">
        <v>3.59</v>
      </c>
      <c r="F38">
        <v>11.47</v>
      </c>
      <c r="H38" t="s">
        <v>47</v>
      </c>
      <c r="I38">
        <f>VLOOKUP(H38,$A$1:F$161,I$2,0)</f>
        <v>147.81</v>
      </c>
      <c r="J38">
        <f>VLOOKUP(H38,$A$1:F$161,J$2,0)</f>
        <v>148.78</v>
      </c>
      <c r="K38">
        <f>VLOOKUP(H38,$A$1:F$161,K$2,0)</f>
        <v>148.78</v>
      </c>
      <c r="L38">
        <f>VLOOKUP(H38,$A$1:F$161,L$2,0)</f>
        <v>153.80000000000001</v>
      </c>
      <c r="M38">
        <f>VLOOKUP(H38,$A$1:F$161,M$2,0)</f>
        <v>158.94999999999999</v>
      </c>
    </row>
    <row r="39" spans="1:13" x14ac:dyDescent="0.25">
      <c r="A39" t="s">
        <v>42</v>
      </c>
      <c r="B39">
        <v>24.48</v>
      </c>
      <c r="C39">
        <v>48.18</v>
      </c>
      <c r="D39">
        <v>30.66</v>
      </c>
      <c r="E39">
        <v>31.89</v>
      </c>
      <c r="F39">
        <v>44.04</v>
      </c>
      <c r="H39" t="s">
        <v>62</v>
      </c>
      <c r="I39">
        <f>VLOOKUP(H39,$A$1:F$161,I$2,0)</f>
        <v>0.11</v>
      </c>
      <c r="J39">
        <f>VLOOKUP(H39,$A$1:F$161,J$2,0)</f>
        <v>0.1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43</v>
      </c>
      <c r="B40">
        <v>44.38</v>
      </c>
      <c r="C40">
        <v>171.6</v>
      </c>
      <c r="D40">
        <v>149.52000000000001</v>
      </c>
      <c r="E40">
        <v>270.63</v>
      </c>
      <c r="F40">
        <v>693.96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44</v>
      </c>
      <c r="B41">
        <v>215.35</v>
      </c>
      <c r="C41">
        <v>355.69</v>
      </c>
      <c r="D41">
        <v>345.39</v>
      </c>
      <c r="E41">
        <v>520.94000000000005</v>
      </c>
      <c r="F41">
        <v>1065.07</v>
      </c>
      <c r="H41" t="s">
        <v>64</v>
      </c>
      <c r="I41">
        <f>VLOOKUP(H41,$A$1:F$161,I$2,0)</f>
        <v>0.11</v>
      </c>
      <c r="J41">
        <f>VLOOKUP(H41,$A$1:F$161,J$2,0)</f>
        <v>0</v>
      </c>
      <c r="K41">
        <f>VLOOKUP(H41,$A$1:F$161,K$2,0)</f>
        <v>0</v>
      </c>
      <c r="L41">
        <f>VLOOKUP(H41,$A$1:F$161,L$2,0)</f>
        <v>0</v>
      </c>
      <c r="M41">
        <f>VLOOKUP(H41,$A$1:F$161,M$2,0)</f>
        <v>0</v>
      </c>
    </row>
    <row r="42" spans="1:13" ht="24" customHeight="1" x14ac:dyDescent="0.25">
      <c r="A42" t="s">
        <v>45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ht="36" customHeight="1" x14ac:dyDescent="0.25">
      <c r="A43" t="s">
        <v>46</v>
      </c>
      <c r="H43" t="s">
        <v>68</v>
      </c>
      <c r="I43">
        <f>VLOOKUP(H43,$A$1:F$161,I$2,0)</f>
        <v>95.78</v>
      </c>
      <c r="J43">
        <f>VLOOKUP(H43,$A$1:F$161,J$2,0)</f>
        <v>263.32</v>
      </c>
      <c r="K43">
        <f>VLOOKUP(H43,$A$1:F$161,K$2,0)</f>
        <v>214.97</v>
      </c>
      <c r="L43">
        <f>VLOOKUP(H43,$A$1:F$161,L$2,0)</f>
        <v>595.57000000000005</v>
      </c>
      <c r="M43">
        <f>VLOOKUP(H43,$A$1:F$161,M$2,0)</f>
        <v>1018.41</v>
      </c>
    </row>
    <row r="44" spans="1:13" x14ac:dyDescent="0.25">
      <c r="A44" t="s">
        <v>47</v>
      </c>
      <c r="B44">
        <v>147.81</v>
      </c>
      <c r="C44">
        <v>148.78</v>
      </c>
      <c r="D44">
        <v>148.78</v>
      </c>
      <c r="E44">
        <v>153.80000000000001</v>
      </c>
      <c r="F44">
        <v>158.94999999999999</v>
      </c>
      <c r="H44" t="s">
        <v>70</v>
      </c>
      <c r="I44">
        <f>VLOOKUP(H44,$A$1:F$161,I$2,0)</f>
        <v>95.78</v>
      </c>
      <c r="J44">
        <f>VLOOKUP(H44,$A$1:F$161,J$2,0)</f>
        <v>263.32</v>
      </c>
      <c r="K44">
        <f>VLOOKUP(H44,$A$1:F$161,K$2,0)</f>
        <v>214.97</v>
      </c>
      <c r="L44">
        <f>VLOOKUP(H44,$A$1:F$161,L$2,0)</f>
        <v>595.57000000000005</v>
      </c>
      <c r="M44">
        <f>VLOOKUP(H44,$A$1:F$161,M$2,0)</f>
        <v>1018.41</v>
      </c>
    </row>
    <row r="45" spans="1:13" ht="15" customHeight="1" x14ac:dyDescent="0.25">
      <c r="A45" t="s">
        <v>57</v>
      </c>
      <c r="H45" t="s">
        <v>71</v>
      </c>
      <c r="I45">
        <f>VLOOKUP(H45,$A$1:F$161,I$2,0)</f>
        <v>2.79</v>
      </c>
      <c r="J45">
        <f>VLOOKUP(H45,$A$1:F$161,J$2,0)</f>
        <v>2.37</v>
      </c>
      <c r="K45">
        <f>VLOOKUP(H45,$A$1:F$161,K$2,0)</f>
        <v>0.28999999999999998</v>
      </c>
      <c r="L45">
        <f>VLOOKUP(H45,$A$1:F$161,L$2,0)</f>
        <v>5.27</v>
      </c>
      <c r="M45">
        <f>VLOOKUP(H45,$A$1:F$161,M$2,0)</f>
        <v>0.79</v>
      </c>
    </row>
    <row r="46" spans="1:13" x14ac:dyDescent="0.25">
      <c r="A46" t="s">
        <v>58</v>
      </c>
      <c r="B46">
        <v>6.91</v>
      </c>
      <c r="C46">
        <v>6.91</v>
      </c>
      <c r="D46">
        <v>6.91</v>
      </c>
      <c r="E46">
        <v>6.91</v>
      </c>
      <c r="F46">
        <v>6.91</v>
      </c>
      <c r="H46" t="s">
        <v>72</v>
      </c>
      <c r="I46">
        <f>VLOOKUP(H46,$A$1:F$161,I$2,0)</f>
        <v>98.57</v>
      </c>
      <c r="J46">
        <f>VLOOKUP(H46,$A$1:F$161,J$2,0)</f>
        <v>265.69</v>
      </c>
      <c r="K46">
        <f>VLOOKUP(H46,$A$1:F$161,K$2,0)</f>
        <v>215.26</v>
      </c>
      <c r="L46">
        <f>VLOOKUP(H46,$A$1:F$161,L$2,0)</f>
        <v>600.84</v>
      </c>
      <c r="M46">
        <f>VLOOKUP(H46,$A$1:F$161,M$2,0)</f>
        <v>1019.2</v>
      </c>
    </row>
    <row r="47" spans="1:13" ht="24" customHeight="1" x14ac:dyDescent="0.25">
      <c r="A47" t="s">
        <v>59</v>
      </c>
      <c r="H47" t="s">
        <v>73</v>
      </c>
      <c r="I47">
        <f>VLOOKUP(H47,$A$1:F$161,I$2,0)</f>
        <v>4.92</v>
      </c>
      <c r="J47">
        <f>VLOOKUP(H47,$A$1:F$161,J$2,0)</f>
        <v>4.1900000000000004</v>
      </c>
      <c r="K47">
        <f>VLOOKUP(H47,$A$1:F$161,K$2,0)</f>
        <v>0.51</v>
      </c>
      <c r="L47">
        <f>VLOOKUP(H47,$A$1:F$161,L$2,0)</f>
        <v>1.74</v>
      </c>
      <c r="M47">
        <f>VLOOKUP(H47,$A$1:F$161,M$2,0)</f>
        <v>3.29</v>
      </c>
    </row>
    <row r="48" spans="1:13" ht="24" customHeight="1" x14ac:dyDescent="0.25">
      <c r="A48" t="s">
        <v>62</v>
      </c>
      <c r="H48" t="s">
        <v>74</v>
      </c>
      <c r="I48">
        <f>VLOOKUP(H48,$A$1:F$161,I$2,0)</f>
        <v>103.48</v>
      </c>
      <c r="J48">
        <f>VLOOKUP(H48,$A$1:F$161,J$2,0)</f>
        <v>269.88</v>
      </c>
      <c r="K48">
        <f>VLOOKUP(H48,$A$1:F$161,K$2,0)</f>
        <v>215.76</v>
      </c>
      <c r="L48">
        <f>VLOOKUP(H48,$A$1:F$161,L$2,0)</f>
        <v>602.57000000000005</v>
      </c>
      <c r="M48">
        <f>VLOOKUP(H48,$A$1:F$161,M$2,0)</f>
        <v>1022.49</v>
      </c>
    </row>
    <row r="49" spans="1:13" x14ac:dyDescent="0.25">
      <c r="A49" t="s">
        <v>64</v>
      </c>
      <c r="B49">
        <v>0.11</v>
      </c>
      <c r="C49">
        <v>0</v>
      </c>
      <c r="D49">
        <v>0</v>
      </c>
      <c r="E49">
        <v>0</v>
      </c>
      <c r="F49">
        <v>0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H50" t="s">
        <v>76</v>
      </c>
      <c r="I50">
        <f>VLOOKUP(H50,$A$1:F$161,I$2,0)</f>
        <v>56.42</v>
      </c>
      <c r="J50">
        <f>VLOOKUP(H50,$A$1:F$161,J$2,0)</f>
        <v>179.55</v>
      </c>
      <c r="K50">
        <f>VLOOKUP(H50,$A$1:F$161,K$2,0)</f>
        <v>144.47</v>
      </c>
      <c r="L50">
        <f>VLOOKUP(H50,$A$1:F$161,L$2,0)</f>
        <v>653.83000000000004</v>
      </c>
      <c r="M50">
        <f>VLOOKUP(H50,$A$1:F$161,M$2,0)</f>
        <v>712.76</v>
      </c>
    </row>
    <row r="51" spans="1:13" x14ac:dyDescent="0.25">
      <c r="H51" t="s">
        <v>77</v>
      </c>
      <c r="I51">
        <f>VLOOKUP(H51,$A$1:F$161,I$2,0)</f>
        <v>8</v>
      </c>
      <c r="J51">
        <f>VLOOKUP(H51,$A$1:F$161,J$2,0)</f>
        <v>7.05</v>
      </c>
      <c r="K51">
        <f>VLOOKUP(H51,$A$1:F$161,K$2,0)</f>
        <v>0</v>
      </c>
      <c r="L51">
        <f>VLOOKUP(H51,$A$1:F$161,L$2,0)</f>
        <v>0.79</v>
      </c>
      <c r="M51">
        <f>VLOOKUP(H51,$A$1:F$161,M$2,0)</f>
        <v>67.61</v>
      </c>
    </row>
    <row r="52" spans="1:13" x14ac:dyDescent="0.25">
      <c r="H52" t="s">
        <v>78</v>
      </c>
      <c r="I52">
        <f>VLOOKUP(H52,$A$1:F$161,I$2,0)</f>
        <v>0.69</v>
      </c>
      <c r="J52">
        <f>VLOOKUP(H52,$A$1:F$161,J$2,0)</f>
        <v>7.0000000000000007E-2</v>
      </c>
      <c r="K52">
        <f>VLOOKUP(H52,$A$1:F$161,K$2,0)</f>
        <v>-0.76</v>
      </c>
      <c r="L52">
        <f>VLOOKUP(H52,$A$1:F$161,L$2,0)</f>
        <v>7.0000000000000007E-2</v>
      </c>
      <c r="M52">
        <f>VLOOKUP(H52,$A$1:F$161,M$2,0)</f>
        <v>37.72</v>
      </c>
    </row>
    <row r="53" spans="1:13" ht="15" customHeight="1" x14ac:dyDescent="0.25">
      <c r="A53" t="s">
        <v>65</v>
      </c>
      <c r="H53" t="s">
        <v>79</v>
      </c>
      <c r="I53">
        <f>VLOOKUP(H53,$A$1:F$161,I$2,0)</f>
        <v>5.94</v>
      </c>
      <c r="J53">
        <f>VLOOKUP(H53,$A$1:F$161,J$2,0)</f>
        <v>17.79</v>
      </c>
      <c r="K53">
        <f>VLOOKUP(H53,$A$1:F$161,K$2,0)</f>
        <v>19.350000000000001</v>
      </c>
      <c r="L53">
        <f>VLOOKUP(H53,$A$1:F$161,L$2,0)</f>
        <v>25.44</v>
      </c>
      <c r="M53">
        <f>VLOOKUP(H53,$A$1:F$161,M$2,0)</f>
        <v>36.630000000000003</v>
      </c>
    </row>
    <row r="54" spans="1:13" x14ac:dyDescent="0.25">
      <c r="H54" t="s">
        <v>80</v>
      </c>
      <c r="I54">
        <f>VLOOKUP(H54,$A$1:F$161,I$2,0)</f>
        <v>0.68</v>
      </c>
      <c r="J54">
        <f>VLOOKUP(H54,$A$1:F$161,J$2,0)</f>
        <v>4.7699999999999996</v>
      </c>
      <c r="K54">
        <f>VLOOKUP(H54,$A$1:F$161,K$2,0)</f>
        <v>6.78</v>
      </c>
      <c r="L54">
        <f>VLOOKUP(H54,$A$1:F$161,L$2,0)</f>
        <v>26.64</v>
      </c>
      <c r="M54">
        <f>VLOOKUP(H54,$A$1:F$161,M$2,0)</f>
        <v>87.79</v>
      </c>
    </row>
    <row r="55" spans="1:13" x14ac:dyDescent="0.25">
      <c r="H55" t="s">
        <v>81</v>
      </c>
      <c r="I55">
        <f>VLOOKUP(H55,$A$1:F$161,I$2,0)</f>
        <v>1.85</v>
      </c>
      <c r="J55">
        <f>VLOOKUP(H55,$A$1:F$161,J$2,0)</f>
        <v>0</v>
      </c>
      <c r="K55">
        <f>VLOOKUP(H55,$A$1:F$161,K$2,0)</f>
        <v>0</v>
      </c>
      <c r="L55">
        <f>VLOOKUP(H55,$A$1:F$161,L$2,0)</f>
        <v>0</v>
      </c>
      <c r="M55">
        <f>VLOOKUP(H55,$A$1:F$161,M$2,0)</f>
        <v>0</v>
      </c>
    </row>
    <row r="56" spans="1:13" x14ac:dyDescent="0.25">
      <c r="H56" t="s">
        <v>82</v>
      </c>
      <c r="I56">
        <f>VLOOKUP(H56,$A$1:F$161,I$2,0)</f>
        <v>7.73</v>
      </c>
      <c r="J56">
        <f>VLOOKUP(H56,$A$1:F$161,J$2,0)</f>
        <v>10.119999999999999</v>
      </c>
      <c r="K56">
        <f>VLOOKUP(H56,$A$1:F$161,K$2,0)</f>
        <v>12.12</v>
      </c>
      <c r="L56">
        <f>VLOOKUP(H56,$A$1:F$161,L$2,0)</f>
        <v>14.64</v>
      </c>
      <c r="M56">
        <f>VLOOKUP(H56,$A$1:F$161,M$2,0)</f>
        <v>17.09</v>
      </c>
    </row>
    <row r="57" spans="1:13" x14ac:dyDescent="0.25">
      <c r="H57" t="s">
        <v>83</v>
      </c>
      <c r="I57">
        <f>VLOOKUP(H57,$A$1:F$161,I$2,0)</f>
        <v>14.03</v>
      </c>
      <c r="J57">
        <f>VLOOKUP(H57,$A$1:F$161,J$2,0)</f>
        <v>21.08</v>
      </c>
      <c r="K57">
        <f>VLOOKUP(H57,$A$1:F$161,K$2,0)</f>
        <v>25.28</v>
      </c>
      <c r="L57">
        <f>VLOOKUP(H57,$A$1:F$161,L$2,0)</f>
        <v>160.19</v>
      </c>
      <c r="M57">
        <f>VLOOKUP(H57,$A$1:F$161,M$2,0)</f>
        <v>88</v>
      </c>
    </row>
    <row r="58" spans="1:13" x14ac:dyDescent="0.25">
      <c r="H58" t="s">
        <v>84</v>
      </c>
      <c r="I58">
        <f>VLOOKUP(H58,$A$1:F$161,I$2,0)</f>
        <v>108.78</v>
      </c>
      <c r="J58">
        <f>VLOOKUP(H58,$A$1:F$161,J$2,0)</f>
        <v>253.94</v>
      </c>
      <c r="K58">
        <f>VLOOKUP(H58,$A$1:F$161,K$2,0)</f>
        <v>234.65</v>
      </c>
      <c r="L58">
        <f>VLOOKUP(H58,$A$1:F$161,L$2,0)</f>
        <v>914.59</v>
      </c>
      <c r="M58">
        <f>VLOOKUP(H58,$A$1:F$161,M$2,0)</f>
        <v>1102.23</v>
      </c>
    </row>
    <row r="59" spans="1:13" x14ac:dyDescent="0.25">
      <c r="H59" t="s">
        <v>85</v>
      </c>
      <c r="I59">
        <f>VLOOKUP(H59,$A$1:F$161,I$2,0)</f>
        <v>-5.3</v>
      </c>
      <c r="J59">
        <f>VLOOKUP(H59,$A$1:F$161,J$2,0)</f>
        <v>15.94</v>
      </c>
      <c r="K59">
        <f>VLOOKUP(H59,$A$1:F$161,K$2,0)</f>
        <v>-18.89</v>
      </c>
      <c r="L59">
        <f>VLOOKUP(H59,$A$1:F$161,L$2,0)</f>
        <v>-312.01</v>
      </c>
      <c r="M59">
        <f>VLOOKUP(H59,$A$1:F$161,M$2,0)</f>
        <v>-79.739999999999995</v>
      </c>
    </row>
    <row r="60" spans="1:13" x14ac:dyDescent="0.25">
      <c r="H60" t="s">
        <v>87</v>
      </c>
      <c r="I60">
        <f>VLOOKUP(H60,$A$1:F$161,I$2,0)</f>
        <v>-5.52</v>
      </c>
      <c r="J60">
        <f>VLOOKUP(H60,$A$1:F$161,J$2,0)</f>
        <v>24.71</v>
      </c>
      <c r="K60">
        <f>VLOOKUP(H60,$A$1:F$161,K$2,0)</f>
        <v>-176.79</v>
      </c>
      <c r="L60">
        <f>VLOOKUP(H60,$A$1:F$161,L$2,0)</f>
        <v>-312.01</v>
      </c>
      <c r="M60">
        <f>VLOOKUP(H60,$A$1:F$161,M$2,0)</f>
        <v>-79.739999999999995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0</v>
      </c>
      <c r="J62">
        <f>VLOOKUP(H62,$A$1:F$161,J$2,0)</f>
        <v>0</v>
      </c>
      <c r="K62">
        <f>VLOOKUP(H62,$A$1:F$161,K$2,0)</f>
        <v>0</v>
      </c>
      <c r="L62">
        <f>VLOOKUP(H62,$A$1:F$161,L$2,0)</f>
        <v>-0.93</v>
      </c>
      <c r="M62">
        <f>VLOOKUP(H62,$A$1:F$161,M$2,0)</f>
        <v>0.01</v>
      </c>
    </row>
    <row r="63" spans="1:13" x14ac:dyDescent="0.25">
      <c r="H63" t="s">
        <v>90</v>
      </c>
      <c r="I63">
        <f>VLOOKUP(H63,$A$1:F$161,I$2,0)</f>
        <v>0.8</v>
      </c>
      <c r="J63">
        <f>VLOOKUP(H63,$A$1:F$161,J$2,0)</f>
        <v>0</v>
      </c>
      <c r="K63">
        <f>VLOOKUP(H63,$A$1:F$161,K$2,0)</f>
        <v>-1.44</v>
      </c>
      <c r="L63">
        <f>VLOOKUP(H63,$A$1:F$161,L$2,0)</f>
        <v>106.32</v>
      </c>
      <c r="M63">
        <f>VLOOKUP(H63,$A$1:F$161,M$2,0)</f>
        <v>-0.83</v>
      </c>
    </row>
    <row r="64" spans="1:13" x14ac:dyDescent="0.25">
      <c r="H64" t="s">
        <v>112</v>
      </c>
      <c r="I64">
        <f>VLOOKUP(H64,$A$1:F$161,I$2,0)</f>
        <v>0</v>
      </c>
      <c r="J64">
        <f>VLOOKUP(H64,$A$1:F$161,J$2,0)</f>
        <v>0.48</v>
      </c>
      <c r="K64">
        <f>VLOOKUP(H64,$A$1:F$161,K$2,0)</f>
        <v>8.35</v>
      </c>
      <c r="L64">
        <f>VLOOKUP(H64,$A$1:F$161,L$2,0)</f>
        <v>0</v>
      </c>
      <c r="M64">
        <f>VLOOKUP(H64,$A$1:F$161,M$2,0)</f>
        <v>1.45</v>
      </c>
    </row>
    <row r="65" spans="8:13" x14ac:dyDescent="0.25">
      <c r="H65" t="s">
        <v>91</v>
      </c>
      <c r="I65">
        <f>VLOOKUP(H65,$A$1:F$161,I$2,0)</f>
        <v>0.8</v>
      </c>
      <c r="J65">
        <f>VLOOKUP(H65,$A$1:F$161,J$2,0)</f>
        <v>0.48</v>
      </c>
      <c r="K65">
        <f>VLOOKUP(H65,$A$1:F$161,K$2,0)</f>
        <v>6.92</v>
      </c>
      <c r="L65">
        <f>VLOOKUP(H65,$A$1:F$161,L$2,0)</f>
        <v>105.39</v>
      </c>
      <c r="M65">
        <f>VLOOKUP(H65,$A$1:F$161,M$2,0)</f>
        <v>0.62</v>
      </c>
    </row>
    <row r="66" spans="8:13" x14ac:dyDescent="0.25">
      <c r="H66" t="s">
        <v>92</v>
      </c>
      <c r="I66">
        <f>VLOOKUP(H66,$A$1:F$161,I$2,0)</f>
        <v>-6.32</v>
      </c>
      <c r="J66">
        <f>VLOOKUP(H66,$A$1:F$161,J$2,0)</f>
        <v>24.23</v>
      </c>
      <c r="K66">
        <f>VLOOKUP(H66,$A$1:F$161,K$2,0)</f>
        <v>-183.71</v>
      </c>
      <c r="L66">
        <f>VLOOKUP(H66,$A$1:F$161,L$2,0)</f>
        <v>-417.4</v>
      </c>
      <c r="M66">
        <f>VLOOKUP(H66,$A$1:F$161,M$2,0)</f>
        <v>-80.36</v>
      </c>
    </row>
    <row r="67" spans="8:13" x14ac:dyDescent="0.25">
      <c r="H67" t="s">
        <v>93</v>
      </c>
      <c r="I67">
        <f>VLOOKUP(H67,$A$1:F$161,I$2,0)</f>
        <v>-6.32</v>
      </c>
      <c r="J67">
        <f>VLOOKUP(H67,$A$1:F$161,J$2,0)</f>
        <v>24.23</v>
      </c>
      <c r="K67">
        <f>VLOOKUP(H67,$A$1:F$161,K$2,0)</f>
        <v>-183.71</v>
      </c>
      <c r="L67">
        <f>VLOOKUP(H67,$A$1:F$161,L$2,0)</f>
        <v>-417.4</v>
      </c>
      <c r="M67">
        <f>VLOOKUP(H67,$A$1:F$161,M$2,0)</f>
        <v>-80.36</v>
      </c>
    </row>
    <row r="68" spans="8:13" x14ac:dyDescent="0.25">
      <c r="H68" t="s">
        <v>94</v>
      </c>
      <c r="I68">
        <f>VLOOKUP(H68,$A$1:F$161,I$2,0)</f>
        <v>-6.32</v>
      </c>
      <c r="J68">
        <f>VLOOKUP(H68,$A$1:F$161,J$2,0)</f>
        <v>24.23</v>
      </c>
      <c r="K68">
        <f>VLOOKUP(H68,$A$1:F$161,K$2,0)</f>
        <v>-183.71</v>
      </c>
      <c r="L68">
        <f>VLOOKUP(H68,$A$1:F$161,L$2,0)</f>
        <v>-417.4</v>
      </c>
      <c r="M68">
        <f>VLOOKUP(H68,$A$1:F$161,M$2,0)</f>
        <v>-80.36</v>
      </c>
    </row>
    <row r="69" spans="8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8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108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95.78</v>
      </c>
      <c r="C97">
        <v>263.32</v>
      </c>
      <c r="D97">
        <v>214.97</v>
      </c>
      <c r="E97">
        <v>595.57000000000005</v>
      </c>
      <c r="F97">
        <v>1018.41</v>
      </c>
    </row>
    <row r="98" spans="1:6" x14ac:dyDescent="0.25">
      <c r="A98" t="s">
        <v>70</v>
      </c>
      <c r="B98">
        <v>95.78</v>
      </c>
      <c r="C98">
        <v>263.32</v>
      </c>
      <c r="D98">
        <v>214.97</v>
      </c>
      <c r="E98">
        <v>595.57000000000005</v>
      </c>
      <c r="F98">
        <v>1018.41</v>
      </c>
    </row>
    <row r="99" spans="1:6" x14ac:dyDescent="0.25">
      <c r="A99" t="s">
        <v>71</v>
      </c>
      <c r="B99">
        <v>2.79</v>
      </c>
      <c r="C99">
        <v>2.37</v>
      </c>
      <c r="D99">
        <v>0.28999999999999998</v>
      </c>
      <c r="E99">
        <v>5.27</v>
      </c>
      <c r="F99">
        <v>0.79</v>
      </c>
    </row>
    <row r="100" spans="1:6" x14ac:dyDescent="0.25">
      <c r="A100" t="s">
        <v>72</v>
      </c>
      <c r="B100">
        <v>98.57</v>
      </c>
      <c r="C100">
        <v>265.69</v>
      </c>
      <c r="D100">
        <v>215.26</v>
      </c>
      <c r="E100">
        <v>600.84</v>
      </c>
      <c r="F100">
        <v>1019.2</v>
      </c>
    </row>
    <row r="101" spans="1:6" x14ac:dyDescent="0.25">
      <c r="A101" t="s">
        <v>73</v>
      </c>
      <c r="B101">
        <v>4.92</v>
      </c>
      <c r="C101">
        <v>4.1900000000000004</v>
      </c>
      <c r="D101">
        <v>0.51</v>
      </c>
      <c r="E101">
        <v>1.74</v>
      </c>
      <c r="F101">
        <v>3.29</v>
      </c>
    </row>
    <row r="102" spans="1:6" x14ac:dyDescent="0.25">
      <c r="A102" t="s">
        <v>74</v>
      </c>
      <c r="B102">
        <v>103.48</v>
      </c>
      <c r="C102">
        <v>269.88</v>
      </c>
      <c r="D102">
        <v>215.76</v>
      </c>
      <c r="E102">
        <v>602.57000000000005</v>
      </c>
      <c r="F102">
        <v>1022.49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56.42</v>
      </c>
      <c r="C104">
        <v>179.55</v>
      </c>
      <c r="D104">
        <v>144.47</v>
      </c>
      <c r="E104">
        <v>653.83000000000004</v>
      </c>
      <c r="F104">
        <v>712.76</v>
      </c>
    </row>
    <row r="105" spans="1:6" x14ac:dyDescent="0.25">
      <c r="A105" t="s">
        <v>77</v>
      </c>
      <c r="B105">
        <v>8</v>
      </c>
      <c r="C105">
        <v>7.05</v>
      </c>
      <c r="D105">
        <v>0</v>
      </c>
      <c r="E105">
        <v>0.79</v>
      </c>
      <c r="F105">
        <v>67.61</v>
      </c>
    </row>
    <row r="106" spans="1:6" x14ac:dyDescent="0.25">
      <c r="A106" t="s">
        <v>111</v>
      </c>
      <c r="B106">
        <v>13.45</v>
      </c>
      <c r="C106">
        <v>13.51</v>
      </c>
      <c r="D106">
        <v>27.41</v>
      </c>
      <c r="E106">
        <v>32.99</v>
      </c>
      <c r="F106">
        <v>54.62</v>
      </c>
    </row>
    <row r="107" spans="1:6" x14ac:dyDescent="0.25">
      <c r="A107" t="s">
        <v>78</v>
      </c>
      <c r="B107">
        <v>0.69</v>
      </c>
      <c r="C107">
        <v>7.0000000000000007E-2</v>
      </c>
      <c r="D107">
        <v>-0.76</v>
      </c>
      <c r="E107">
        <v>7.0000000000000007E-2</v>
      </c>
      <c r="F107">
        <v>37.72</v>
      </c>
    </row>
    <row r="108" spans="1:6" x14ac:dyDescent="0.25">
      <c r="A108" t="s">
        <v>79</v>
      </c>
      <c r="B108">
        <v>5.94</v>
      </c>
      <c r="C108">
        <v>17.79</v>
      </c>
      <c r="D108">
        <v>19.350000000000001</v>
      </c>
      <c r="E108">
        <v>25.44</v>
      </c>
      <c r="F108">
        <v>36.630000000000003</v>
      </c>
    </row>
    <row r="109" spans="1:6" x14ac:dyDescent="0.25">
      <c r="A109" t="s">
        <v>80</v>
      </c>
      <c r="B109">
        <v>0.68</v>
      </c>
      <c r="C109">
        <v>4.7699999999999996</v>
      </c>
      <c r="D109">
        <v>6.78</v>
      </c>
      <c r="E109">
        <v>26.64</v>
      </c>
      <c r="F109">
        <v>87.79</v>
      </c>
    </row>
    <row r="110" spans="1:6" x14ac:dyDescent="0.25">
      <c r="A110" t="s">
        <v>81</v>
      </c>
      <c r="B110">
        <v>1.85</v>
      </c>
      <c r="C110">
        <v>0</v>
      </c>
      <c r="D110">
        <v>0</v>
      </c>
      <c r="E110">
        <v>0</v>
      </c>
      <c r="F110">
        <v>0</v>
      </c>
    </row>
    <row r="111" spans="1:6" x14ac:dyDescent="0.25">
      <c r="A111" t="s">
        <v>82</v>
      </c>
      <c r="B111">
        <v>7.73</v>
      </c>
      <c r="C111">
        <v>10.119999999999999</v>
      </c>
      <c r="D111">
        <v>12.12</v>
      </c>
      <c r="E111">
        <v>14.64</v>
      </c>
      <c r="F111">
        <v>17.09</v>
      </c>
    </row>
    <row r="112" spans="1:6" x14ac:dyDescent="0.25">
      <c r="A112" t="s">
        <v>83</v>
      </c>
      <c r="B112">
        <v>14.03</v>
      </c>
      <c r="C112">
        <v>21.08</v>
      </c>
      <c r="D112">
        <v>25.28</v>
      </c>
      <c r="E112">
        <v>160.19</v>
      </c>
      <c r="F112">
        <v>88</v>
      </c>
    </row>
    <row r="113" spans="1:6" x14ac:dyDescent="0.25">
      <c r="A113" t="s">
        <v>84</v>
      </c>
      <c r="B113">
        <v>108.78</v>
      </c>
      <c r="C113">
        <v>253.94</v>
      </c>
      <c r="D113">
        <v>234.65</v>
      </c>
      <c r="E113">
        <v>914.59</v>
      </c>
      <c r="F113">
        <v>1102.23</v>
      </c>
    </row>
    <row r="114" spans="1:6" x14ac:dyDescent="0.25">
      <c r="A114" t="s">
        <v>85</v>
      </c>
      <c r="B114">
        <v>-5.3</v>
      </c>
      <c r="C114">
        <v>15.94</v>
      </c>
      <c r="D114">
        <v>-18.89</v>
      </c>
      <c r="E114">
        <v>-312.01</v>
      </c>
      <c r="F114">
        <v>-79.739999999999995</v>
      </c>
    </row>
    <row r="115" spans="1:6" x14ac:dyDescent="0.25">
      <c r="A115" t="s">
        <v>86</v>
      </c>
      <c r="B115">
        <v>-0.22</v>
      </c>
      <c r="C115">
        <v>8.77</v>
      </c>
      <c r="D115">
        <v>-157.9</v>
      </c>
      <c r="E115">
        <v>0</v>
      </c>
      <c r="F115">
        <v>0</v>
      </c>
    </row>
    <row r="116" spans="1:6" x14ac:dyDescent="0.25">
      <c r="A116" t="s">
        <v>87</v>
      </c>
      <c r="B116">
        <v>-5.52</v>
      </c>
      <c r="C116">
        <v>24.71</v>
      </c>
      <c r="D116">
        <v>-176.79</v>
      </c>
      <c r="E116">
        <v>-312.01</v>
      </c>
      <c r="F116">
        <v>-79.739999999999995</v>
      </c>
    </row>
    <row r="117" spans="1:6" ht="24" customHeight="1" x14ac:dyDescent="0.25">
      <c r="A117" t="s">
        <v>88</v>
      </c>
    </row>
    <row r="118" spans="1:6" x14ac:dyDescent="0.25">
      <c r="A118" t="s">
        <v>89</v>
      </c>
      <c r="B118">
        <v>0</v>
      </c>
      <c r="C118">
        <v>0</v>
      </c>
      <c r="D118">
        <v>0</v>
      </c>
      <c r="E118">
        <v>-0.93</v>
      </c>
      <c r="F118">
        <v>0.01</v>
      </c>
    </row>
    <row r="119" spans="1:6" x14ac:dyDescent="0.25">
      <c r="A119" t="s">
        <v>90</v>
      </c>
      <c r="B119">
        <v>0.8</v>
      </c>
      <c r="C119">
        <v>0</v>
      </c>
      <c r="D119">
        <v>-1.44</v>
      </c>
      <c r="E119">
        <v>106.32</v>
      </c>
      <c r="F119">
        <v>-0.83</v>
      </c>
    </row>
    <row r="120" spans="1:6" x14ac:dyDescent="0.25">
      <c r="A120" t="s">
        <v>112</v>
      </c>
      <c r="B120">
        <v>0</v>
      </c>
      <c r="C120">
        <v>0.48</v>
      </c>
      <c r="D120">
        <v>8.35</v>
      </c>
      <c r="E120">
        <v>0</v>
      </c>
      <c r="F120">
        <v>1.45</v>
      </c>
    </row>
    <row r="121" spans="1:6" x14ac:dyDescent="0.25">
      <c r="A121" t="s">
        <v>91</v>
      </c>
      <c r="B121">
        <v>0.8</v>
      </c>
      <c r="C121">
        <v>0.48</v>
      </c>
      <c r="D121">
        <v>6.92</v>
      </c>
      <c r="E121">
        <v>105.39</v>
      </c>
      <c r="F121">
        <v>0.62</v>
      </c>
    </row>
    <row r="122" spans="1:6" x14ac:dyDescent="0.25">
      <c r="A122" t="s">
        <v>92</v>
      </c>
      <c r="B122">
        <v>-6.32</v>
      </c>
      <c r="C122">
        <v>24.23</v>
      </c>
      <c r="D122">
        <v>-183.71</v>
      </c>
      <c r="E122">
        <v>-417.4</v>
      </c>
      <c r="F122">
        <v>-80.36</v>
      </c>
    </row>
    <row r="123" spans="1:6" x14ac:dyDescent="0.25">
      <c r="A123" t="s">
        <v>93</v>
      </c>
      <c r="B123">
        <v>-6.32</v>
      </c>
      <c r="C123">
        <v>24.23</v>
      </c>
      <c r="D123">
        <v>-183.71</v>
      </c>
      <c r="E123">
        <v>-417.4</v>
      </c>
      <c r="F123">
        <v>-80.36</v>
      </c>
    </row>
    <row r="124" spans="1:6" x14ac:dyDescent="0.25">
      <c r="A124" t="s">
        <v>94</v>
      </c>
      <c r="B124">
        <v>-6.32</v>
      </c>
      <c r="C124">
        <v>24.23</v>
      </c>
      <c r="D124">
        <v>-183.71</v>
      </c>
      <c r="E124">
        <v>-417.4</v>
      </c>
      <c r="F124">
        <v>-80.36</v>
      </c>
    </row>
    <row r="125" spans="1:6" x14ac:dyDescent="0.25">
      <c r="A125" t="s">
        <v>113</v>
      </c>
      <c r="B125">
        <v>-6.32</v>
      </c>
      <c r="C125">
        <v>24.23</v>
      </c>
      <c r="D125">
        <v>-183.71</v>
      </c>
      <c r="E125">
        <v>-417.4</v>
      </c>
      <c r="F125">
        <v>-80.36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-2</v>
      </c>
      <c r="C128">
        <v>7</v>
      </c>
      <c r="D128">
        <v>-50</v>
      </c>
      <c r="E128">
        <v>-113</v>
      </c>
      <c r="F128">
        <v>-21</v>
      </c>
    </row>
    <row r="129" spans="1:6" x14ac:dyDescent="0.25">
      <c r="A129" t="s">
        <v>97</v>
      </c>
      <c r="B129">
        <v>-2</v>
      </c>
      <c r="C129">
        <v>7</v>
      </c>
      <c r="D129">
        <v>-50</v>
      </c>
      <c r="E129">
        <v>-113</v>
      </c>
      <c r="F129">
        <v>-21</v>
      </c>
    </row>
    <row r="130" spans="1:6" ht="36" customHeight="1" x14ac:dyDescent="0.25">
      <c r="A130" t="s">
        <v>100</v>
      </c>
    </row>
    <row r="134" spans="1:6" ht="15" customHeight="1" x14ac:dyDescent="0.25">
      <c r="A134" t="s">
        <v>65</v>
      </c>
    </row>
  </sheetData>
  <hyperlinks>
    <hyperlink ref="B1" r:id="rId1" display="javascript:void(0);" xr:uid="{86819CEE-FA0E-442F-B1F0-70AD35FFFECE}"/>
    <hyperlink ref="B90" r:id="rId2" display="javascript:void(0);" xr:uid="{8A29D8D6-BDAC-4C41-A04C-9C02B306A8C5}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64500-070B-4E5F-B439-53CADEB8E76A}">
  <sheetPr codeName="Sheet4"/>
  <dimension ref="A1:M133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114</v>
      </c>
      <c r="B1" t="s">
        <v>1</v>
      </c>
      <c r="H1" t="str">
        <f>A1</f>
        <v>GRM Overseas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12</v>
      </c>
      <c r="J4">
        <f>VLOOKUP(H4,$A$1:F$161,J$2,0)</f>
        <v>3.94</v>
      </c>
      <c r="K4">
        <f>VLOOKUP(H4,$A$1:F$161,K$2,0)</f>
        <v>3.69</v>
      </c>
      <c r="L4">
        <f>VLOOKUP(H4,$A$1:F$161,L$2,0)</f>
        <v>3.69</v>
      </c>
      <c r="M4">
        <f>VLOOKUP(H4,$A$1:F$161,M$2,0)</f>
        <v>3.69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12</v>
      </c>
      <c r="J5">
        <f>VLOOKUP(H5,$A$1:F$161,J$2,0)</f>
        <v>3.94</v>
      </c>
      <c r="K5">
        <f>VLOOKUP(H5,$A$1:F$161,K$2,0)</f>
        <v>3.69</v>
      </c>
      <c r="L5">
        <f>VLOOKUP(H5,$A$1:F$161,L$2,0)</f>
        <v>3.69</v>
      </c>
      <c r="M5">
        <f>VLOOKUP(H5,$A$1:F$161,M$2,0)</f>
        <v>3.69</v>
      </c>
    </row>
    <row r="6" spans="1:13" x14ac:dyDescent="0.25">
      <c r="H6" t="s">
        <v>10</v>
      </c>
      <c r="I6">
        <f>VLOOKUP(H6,$A$1:F$161,I$2,0)</f>
        <v>191.71</v>
      </c>
      <c r="J6">
        <f>VLOOKUP(H6,$A$1:F$161,J$2,0)</f>
        <v>128.51</v>
      </c>
      <c r="K6">
        <f>VLOOKUP(H6,$A$1:F$161,K$2,0)</f>
        <v>84.28</v>
      </c>
      <c r="L6">
        <f>VLOOKUP(H6,$A$1:F$161,L$2,0)</f>
        <v>55.13</v>
      </c>
      <c r="M6">
        <f>VLOOKUP(H6,$A$1:F$161,M$2,0)</f>
        <v>48.29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193.66</v>
      </c>
      <c r="J7">
        <f>VLOOKUP(H7,$A$1:F$161,J$2,0)</f>
        <v>130.46</v>
      </c>
      <c r="K7">
        <f>VLOOKUP(H7,$A$1:F$161,K$2,0)</f>
        <v>86.23</v>
      </c>
      <c r="L7">
        <f>VLOOKUP(H7,$A$1:F$161,L$2,0)</f>
        <v>57.07</v>
      </c>
      <c r="M7">
        <f>VLOOKUP(H7,$A$1:F$161,M$2,0)</f>
        <v>50.24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205.66</v>
      </c>
      <c r="J8">
        <f>VLOOKUP(H8,$A$1:F$161,J$2,0)</f>
        <v>135.01</v>
      </c>
      <c r="K8">
        <f>VLOOKUP(H8,$A$1:F$161,K$2,0)</f>
        <v>89.92</v>
      </c>
      <c r="L8">
        <f>VLOOKUP(H8,$A$1:F$161,L$2,0)</f>
        <v>60.76</v>
      </c>
      <c r="M8">
        <f>VLOOKUP(H8,$A$1:F$161,M$2,0)</f>
        <v>53.93</v>
      </c>
    </row>
    <row r="9" spans="1:13" x14ac:dyDescent="0.25">
      <c r="A9" t="s">
        <v>8</v>
      </c>
      <c r="B9">
        <v>12</v>
      </c>
      <c r="C9">
        <v>3.94</v>
      </c>
      <c r="D9">
        <v>3.69</v>
      </c>
      <c r="E9">
        <v>3.69</v>
      </c>
      <c r="F9">
        <v>3.69</v>
      </c>
      <c r="H9" t="s">
        <v>14</v>
      </c>
      <c r="I9">
        <f>VLOOKUP(H9,$A$1:F$161,I$2,0)</f>
        <v>0.44</v>
      </c>
      <c r="J9">
        <f>VLOOKUP(H9,$A$1:F$161,J$2,0)</f>
        <v>0.01</v>
      </c>
      <c r="K9">
        <f>VLOOKUP(H9,$A$1:F$161,K$2,0)</f>
        <v>0.12</v>
      </c>
      <c r="L9">
        <f>VLOOKUP(H9,$A$1:F$161,L$2,0)</f>
        <v>0.47</v>
      </c>
      <c r="M9">
        <f>VLOOKUP(H9,$A$1:F$161,M$2,0)</f>
        <v>0.64</v>
      </c>
    </row>
    <row r="10" spans="1:13" x14ac:dyDescent="0.25">
      <c r="A10" t="s">
        <v>9</v>
      </c>
      <c r="B10">
        <v>12</v>
      </c>
      <c r="C10">
        <v>3.94</v>
      </c>
      <c r="D10">
        <v>3.69</v>
      </c>
      <c r="E10">
        <v>3.69</v>
      </c>
      <c r="F10">
        <v>3.69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109</v>
      </c>
      <c r="B11">
        <v>1.95</v>
      </c>
      <c r="C11">
        <v>1.95</v>
      </c>
      <c r="D11">
        <v>1.95</v>
      </c>
      <c r="E11">
        <v>1.95</v>
      </c>
      <c r="F11">
        <v>1.95</v>
      </c>
      <c r="H11" t="s">
        <v>17</v>
      </c>
      <c r="I11">
        <f>VLOOKUP(H11,$A$1:F$161,I$2,0)</f>
        <v>0.28000000000000003</v>
      </c>
      <c r="J11">
        <f>VLOOKUP(H11,$A$1:F$161,J$2,0)</f>
        <v>0.23</v>
      </c>
      <c r="K11">
        <f>VLOOKUP(H11,$A$1:F$161,K$2,0)</f>
        <v>0.26</v>
      </c>
      <c r="L11">
        <f>VLOOKUP(H11,$A$1:F$161,L$2,0)</f>
        <v>0.22</v>
      </c>
      <c r="M11">
        <f>VLOOKUP(H11,$A$1:F$161,M$2,0)</f>
        <v>0</v>
      </c>
    </row>
    <row r="12" spans="1:13" x14ac:dyDescent="0.25">
      <c r="A12" t="s">
        <v>10</v>
      </c>
      <c r="B12">
        <v>191.71</v>
      </c>
      <c r="C12">
        <v>128.51</v>
      </c>
      <c r="D12">
        <v>84.28</v>
      </c>
      <c r="E12">
        <v>55.13</v>
      </c>
      <c r="F12">
        <v>48.29</v>
      </c>
      <c r="H12" t="s">
        <v>18</v>
      </c>
      <c r="I12">
        <f>VLOOKUP(H12,$A$1:F$161,I$2,0)</f>
        <v>2.41</v>
      </c>
      <c r="J12">
        <f>VLOOKUP(H12,$A$1:F$161,J$2,0)</f>
        <v>1.97</v>
      </c>
      <c r="K12">
        <f>VLOOKUP(H12,$A$1:F$161,K$2,0)</f>
        <v>2.0699999999999998</v>
      </c>
      <c r="L12">
        <f>VLOOKUP(H12,$A$1:F$161,L$2,0)</f>
        <v>2.94</v>
      </c>
      <c r="M12">
        <f>VLOOKUP(H12,$A$1:F$161,M$2,0)</f>
        <v>2.96</v>
      </c>
    </row>
    <row r="13" spans="1:13" x14ac:dyDescent="0.25">
      <c r="A13" t="s">
        <v>11</v>
      </c>
      <c r="B13">
        <v>193.66</v>
      </c>
      <c r="C13">
        <v>130.46</v>
      </c>
      <c r="D13">
        <v>86.23</v>
      </c>
      <c r="E13">
        <v>57.07</v>
      </c>
      <c r="F13">
        <v>50.24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115</v>
      </c>
      <c r="B14">
        <v>0</v>
      </c>
      <c r="C14">
        <v>0.61</v>
      </c>
      <c r="D14">
        <v>0</v>
      </c>
      <c r="E14">
        <v>0</v>
      </c>
      <c r="F14">
        <v>0</v>
      </c>
      <c r="H14" t="s">
        <v>21</v>
      </c>
      <c r="I14">
        <f>VLOOKUP(H14,$A$1:F$161,I$2,0)</f>
        <v>79.36</v>
      </c>
      <c r="J14">
        <f>VLOOKUP(H14,$A$1:F$161,J$2,0)</f>
        <v>40.19</v>
      </c>
      <c r="K14">
        <f>VLOOKUP(H14,$A$1:F$161,K$2,0)</f>
        <v>33.369999999999997</v>
      </c>
      <c r="L14">
        <f>VLOOKUP(H14,$A$1:F$161,L$2,0)</f>
        <v>61.29</v>
      </c>
      <c r="M14">
        <f>VLOOKUP(H14,$A$1:F$161,M$2,0)</f>
        <v>85.72</v>
      </c>
    </row>
    <row r="15" spans="1:13" x14ac:dyDescent="0.25">
      <c r="A15" t="s">
        <v>12</v>
      </c>
      <c r="B15">
        <v>205.66</v>
      </c>
      <c r="C15">
        <v>135.01</v>
      </c>
      <c r="D15">
        <v>89.92</v>
      </c>
      <c r="E15">
        <v>60.76</v>
      </c>
      <c r="F15">
        <v>53.93</v>
      </c>
      <c r="H15" t="s">
        <v>22</v>
      </c>
      <c r="I15">
        <f>VLOOKUP(H15,$A$1:F$161,I$2,0)</f>
        <v>40.630000000000003</v>
      </c>
      <c r="J15">
        <f>VLOOKUP(H15,$A$1:F$161,J$2,0)</f>
        <v>50.05</v>
      </c>
      <c r="K15">
        <f>VLOOKUP(H15,$A$1:F$161,K$2,0)</f>
        <v>24.35</v>
      </c>
      <c r="L15">
        <f>VLOOKUP(H15,$A$1:F$161,L$2,0)</f>
        <v>20.170000000000002</v>
      </c>
      <c r="M15">
        <f>VLOOKUP(H15,$A$1:F$161,M$2,0)</f>
        <v>12.5</v>
      </c>
    </row>
    <row r="16" spans="1:13" x14ac:dyDescent="0.25">
      <c r="A16" t="s">
        <v>116</v>
      </c>
      <c r="B16">
        <v>0.89</v>
      </c>
      <c r="C16">
        <v>0.2</v>
      </c>
      <c r="D16">
        <v>0</v>
      </c>
      <c r="E16">
        <v>0</v>
      </c>
      <c r="F16">
        <v>0</v>
      </c>
      <c r="H16" t="s">
        <v>23</v>
      </c>
      <c r="I16">
        <f>VLOOKUP(H16,$A$1:F$161,I$2,0)</f>
        <v>0.12</v>
      </c>
      <c r="J16">
        <f>VLOOKUP(H16,$A$1:F$161,J$2,0)</f>
        <v>0.11</v>
      </c>
      <c r="K16">
        <f>VLOOKUP(H16,$A$1:F$161,K$2,0)</f>
        <v>0.03</v>
      </c>
      <c r="L16">
        <f>VLOOKUP(H16,$A$1:F$161,L$2,0)</f>
        <v>0.01</v>
      </c>
      <c r="M16">
        <f>VLOOKUP(H16,$A$1:F$161,M$2,0)</f>
        <v>0</v>
      </c>
    </row>
    <row r="17" spans="1:13" ht="24" customHeight="1" x14ac:dyDescent="0.25">
      <c r="A17" t="s">
        <v>13</v>
      </c>
      <c r="H17" t="s">
        <v>24</v>
      </c>
      <c r="I17">
        <f>VLOOKUP(H17,$A$1:F$161,I$2,0)</f>
        <v>458.02</v>
      </c>
      <c r="J17">
        <f>VLOOKUP(H17,$A$1:F$161,J$2,0)</f>
        <v>277.72000000000003</v>
      </c>
      <c r="K17">
        <f>VLOOKUP(H17,$A$1:F$161,K$2,0)</f>
        <v>267.42</v>
      </c>
      <c r="L17">
        <f>VLOOKUP(H17,$A$1:F$161,L$2,0)</f>
        <v>428.65</v>
      </c>
      <c r="M17">
        <f>VLOOKUP(H17,$A$1:F$161,M$2,0)</f>
        <v>388.76</v>
      </c>
    </row>
    <row r="18" spans="1:13" x14ac:dyDescent="0.25">
      <c r="A18" t="s">
        <v>14</v>
      </c>
      <c r="B18">
        <v>0.44</v>
      </c>
      <c r="C18">
        <v>0.01</v>
      </c>
      <c r="D18">
        <v>0.12</v>
      </c>
      <c r="E18">
        <v>0.47</v>
      </c>
      <c r="F18">
        <v>0.64</v>
      </c>
      <c r="H18" t="s">
        <v>25</v>
      </c>
      <c r="I18">
        <f>VLOOKUP(H18,$A$1:F$161,I$2,0)</f>
        <v>666.99</v>
      </c>
      <c r="J18">
        <f>VLOOKUP(H18,$A$1:F$161,J$2,0)</f>
        <v>414.9</v>
      </c>
      <c r="K18">
        <f>VLOOKUP(H18,$A$1:F$161,K$2,0)</f>
        <v>359.4</v>
      </c>
      <c r="L18">
        <f>VLOOKUP(H18,$A$1:F$161,L$2,0)</f>
        <v>492.35</v>
      </c>
      <c r="M18">
        <f>VLOOKUP(H18,$A$1:F$161,M$2,0)</f>
        <v>445.64</v>
      </c>
    </row>
    <row r="19" spans="1:13" x14ac:dyDescent="0.25">
      <c r="A19" t="s">
        <v>15</v>
      </c>
      <c r="B19">
        <v>1.69</v>
      </c>
      <c r="C19">
        <v>1.73</v>
      </c>
      <c r="D19">
        <v>1.69</v>
      </c>
      <c r="E19">
        <v>2.25</v>
      </c>
      <c r="F19">
        <v>2.3199999999999998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0.28000000000000003</v>
      </c>
      <c r="C20">
        <v>0.23</v>
      </c>
      <c r="D20">
        <v>0.26</v>
      </c>
      <c r="E20">
        <v>0.22</v>
      </c>
      <c r="F20">
        <v>0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2.41</v>
      </c>
      <c r="C21">
        <v>1.97</v>
      </c>
      <c r="D21">
        <v>2.0699999999999998</v>
      </c>
      <c r="E21">
        <v>2.94</v>
      </c>
      <c r="F21">
        <v>2.96</v>
      </c>
      <c r="H21" t="s">
        <v>28</v>
      </c>
      <c r="I21">
        <f>VLOOKUP(H21,$A$1:F$161,I$2,0)</f>
        <v>36.69</v>
      </c>
      <c r="J21">
        <f>VLOOKUP(H21,$A$1:F$161,J$2,0)</f>
        <v>35.42</v>
      </c>
      <c r="K21">
        <f>VLOOKUP(H21,$A$1:F$161,K$2,0)</f>
        <v>37.340000000000003</v>
      </c>
      <c r="L21">
        <f>VLOOKUP(H21,$A$1:F$161,L$2,0)</f>
        <v>30.73</v>
      </c>
      <c r="M21">
        <f>VLOOKUP(H21,$A$1:F$161,M$2,0)</f>
        <v>20.78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0</v>
      </c>
      <c r="J22">
        <f>VLOOKUP(H22,$A$1:F$161,J$2,0)</f>
        <v>0</v>
      </c>
      <c r="K22">
        <f>VLOOKUP(H22,$A$1:F$161,K$2,0)</f>
        <v>0</v>
      </c>
      <c r="L22">
        <f>VLOOKUP(H22,$A$1:F$161,L$2,0)</f>
        <v>3.09</v>
      </c>
      <c r="M22">
        <f>VLOOKUP(H22,$A$1:F$161,M$2,0)</f>
        <v>0</v>
      </c>
    </row>
    <row r="23" spans="1:13" x14ac:dyDescent="0.25">
      <c r="A23" t="s">
        <v>20</v>
      </c>
      <c r="B23">
        <v>337.91</v>
      </c>
      <c r="C23">
        <v>187.37</v>
      </c>
      <c r="D23">
        <v>209.67</v>
      </c>
      <c r="E23">
        <v>347.18</v>
      </c>
      <c r="F23">
        <v>290.54000000000002</v>
      </c>
      <c r="H23" t="s">
        <v>30</v>
      </c>
      <c r="I23">
        <f>VLOOKUP(H23,$A$1:F$161,I$2,0)</f>
        <v>37.19</v>
      </c>
      <c r="J23">
        <f>VLOOKUP(H23,$A$1:F$161,J$2,0)</f>
        <v>36.01</v>
      </c>
      <c r="K23">
        <f>VLOOKUP(H23,$A$1:F$161,K$2,0)</f>
        <v>38</v>
      </c>
      <c r="L23">
        <f>VLOOKUP(H23,$A$1:F$161,L$2,0)</f>
        <v>33.82</v>
      </c>
      <c r="M23">
        <f>VLOOKUP(H23,$A$1:F$161,M$2,0)</f>
        <v>20.78</v>
      </c>
    </row>
    <row r="24" spans="1:13" x14ac:dyDescent="0.25">
      <c r="A24" t="s">
        <v>21</v>
      </c>
      <c r="B24">
        <v>79.36</v>
      </c>
      <c r="C24">
        <v>40.19</v>
      </c>
      <c r="D24">
        <v>33.369999999999997</v>
      </c>
      <c r="E24">
        <v>61.29</v>
      </c>
      <c r="F24">
        <v>85.72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22</v>
      </c>
      <c r="B25">
        <v>40.630000000000003</v>
      </c>
      <c r="C25">
        <v>50.05</v>
      </c>
      <c r="D25">
        <v>24.35</v>
      </c>
      <c r="E25">
        <v>20.170000000000002</v>
      </c>
      <c r="F25">
        <v>12.5</v>
      </c>
      <c r="H25" t="s">
        <v>33</v>
      </c>
      <c r="I25" t="e">
        <f>VLOOKUP(H25,$A$1:F$161,I$2,0)</f>
        <v>#N/A</v>
      </c>
      <c r="J25" t="e">
        <f>VLOOKUP(H25,$A$1:F$161,J$2,0)</f>
        <v>#N/A</v>
      </c>
      <c r="K25" t="e">
        <f>VLOOKUP(H25,$A$1:F$161,K$2,0)</f>
        <v>#N/A</v>
      </c>
      <c r="L25" t="e">
        <f>VLOOKUP(H25,$A$1:F$161,L$2,0)</f>
        <v>#N/A</v>
      </c>
      <c r="M25" t="e">
        <f>VLOOKUP(H25,$A$1:F$161,M$2,0)</f>
        <v>#N/A</v>
      </c>
    </row>
    <row r="26" spans="1:13" x14ac:dyDescent="0.25">
      <c r="A26" t="s">
        <v>23</v>
      </c>
      <c r="B26">
        <v>0.12</v>
      </c>
      <c r="C26">
        <v>0.11</v>
      </c>
      <c r="D26">
        <v>0.03</v>
      </c>
      <c r="E26">
        <v>0.01</v>
      </c>
      <c r="F26">
        <v>0</v>
      </c>
      <c r="H26" t="s">
        <v>34</v>
      </c>
      <c r="I26">
        <f>VLOOKUP(H26,$A$1:F$161,I$2,0)</f>
        <v>0.88</v>
      </c>
      <c r="J26">
        <f>VLOOKUP(H26,$A$1:F$161,J$2,0)</f>
        <v>1.73</v>
      </c>
      <c r="K26">
        <f>VLOOKUP(H26,$A$1:F$161,K$2,0)</f>
        <v>0.75</v>
      </c>
      <c r="L26">
        <f>VLOOKUP(H26,$A$1:F$161,L$2,0)</f>
        <v>3.38</v>
      </c>
      <c r="M26">
        <f>VLOOKUP(H26,$A$1:F$161,M$2,0)</f>
        <v>0.77</v>
      </c>
    </row>
    <row r="27" spans="1:13" x14ac:dyDescent="0.25">
      <c r="A27" t="s">
        <v>24</v>
      </c>
      <c r="B27">
        <v>458.02</v>
      </c>
      <c r="C27">
        <v>277.72000000000003</v>
      </c>
      <c r="D27">
        <v>267.42</v>
      </c>
      <c r="E27">
        <v>428.65</v>
      </c>
      <c r="F27">
        <v>388.76</v>
      </c>
      <c r="H27" t="s">
        <v>35</v>
      </c>
      <c r="I27">
        <f>VLOOKUP(H27,$A$1:F$161,I$2,0)</f>
        <v>39.630000000000003</v>
      </c>
      <c r="J27">
        <f>VLOOKUP(H27,$A$1:F$161,J$2,0)</f>
        <v>37.729999999999997</v>
      </c>
      <c r="K27">
        <f>VLOOKUP(H27,$A$1:F$161,K$2,0)</f>
        <v>38.75</v>
      </c>
      <c r="L27">
        <f>VLOOKUP(H27,$A$1:F$161,L$2,0)</f>
        <v>37.200000000000003</v>
      </c>
      <c r="M27">
        <f>VLOOKUP(H27,$A$1:F$161,M$2,0)</f>
        <v>21.55</v>
      </c>
    </row>
    <row r="28" spans="1:13" x14ac:dyDescent="0.25">
      <c r="A28" t="s">
        <v>25</v>
      </c>
      <c r="B28">
        <v>666.99</v>
      </c>
      <c r="C28">
        <v>414.9</v>
      </c>
      <c r="D28">
        <v>359.4</v>
      </c>
      <c r="E28">
        <v>492.35</v>
      </c>
      <c r="F28">
        <v>445.64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195.35</v>
      </c>
      <c r="J29">
        <f>VLOOKUP(H29,$A$1:F$161,J$2,0)</f>
        <v>109.25</v>
      </c>
      <c r="K29">
        <f>VLOOKUP(H29,$A$1:F$161,K$2,0)</f>
        <v>55.93</v>
      </c>
      <c r="L29">
        <f>VLOOKUP(H29,$A$1:F$161,L$2,0)</f>
        <v>167.38</v>
      </c>
      <c r="M29">
        <f>VLOOKUP(H29,$A$1:F$161,M$2,0)</f>
        <v>226.75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404.09</v>
      </c>
      <c r="J30">
        <f>VLOOKUP(H30,$A$1:F$161,J$2,0)</f>
        <v>252.56</v>
      </c>
      <c r="K30">
        <f>VLOOKUP(H30,$A$1:F$161,K$2,0)</f>
        <v>257.04000000000002</v>
      </c>
      <c r="L30">
        <f>VLOOKUP(H30,$A$1:F$161,L$2,0)</f>
        <v>278.68</v>
      </c>
      <c r="M30">
        <f>VLOOKUP(H30,$A$1:F$161,M$2,0)</f>
        <v>190.98</v>
      </c>
    </row>
    <row r="31" spans="1:13" x14ac:dyDescent="0.25">
      <c r="A31" t="s">
        <v>28</v>
      </c>
      <c r="B31">
        <v>36.69</v>
      </c>
      <c r="C31">
        <v>35.42</v>
      </c>
      <c r="D31">
        <v>37.340000000000003</v>
      </c>
      <c r="E31">
        <v>30.73</v>
      </c>
      <c r="F31">
        <v>20.78</v>
      </c>
      <c r="H31" t="s">
        <v>40</v>
      </c>
      <c r="I31">
        <f>VLOOKUP(H31,$A$1:F$161,I$2,0)</f>
        <v>7.76</v>
      </c>
      <c r="J31">
        <f>VLOOKUP(H31,$A$1:F$161,J$2,0)</f>
        <v>5.24</v>
      </c>
      <c r="K31">
        <f>VLOOKUP(H31,$A$1:F$161,K$2,0)</f>
        <v>3.62</v>
      </c>
      <c r="L31">
        <f>VLOOKUP(H31,$A$1:F$161,L$2,0)</f>
        <v>3.17</v>
      </c>
      <c r="M31">
        <f>VLOOKUP(H31,$A$1:F$161,M$2,0)</f>
        <v>1.06</v>
      </c>
    </row>
    <row r="32" spans="1:13" x14ac:dyDescent="0.25">
      <c r="A32" t="s">
        <v>106</v>
      </c>
      <c r="B32">
        <v>0.5</v>
      </c>
      <c r="C32">
        <v>0.57999999999999996</v>
      </c>
      <c r="D32">
        <v>0.66</v>
      </c>
      <c r="E32">
        <v>0</v>
      </c>
      <c r="F32">
        <v>0</v>
      </c>
      <c r="H32" t="s">
        <v>41</v>
      </c>
      <c r="I32" t="e">
        <f>VLOOKUP(H32,$A$1:F$161,I$2,0)</f>
        <v>#N/A</v>
      </c>
      <c r="J32" t="e">
        <f>VLOOKUP(H32,$A$1:F$161,J$2,0)</f>
        <v>#N/A</v>
      </c>
      <c r="K32" t="e">
        <f>VLOOKUP(H32,$A$1:F$161,K$2,0)</f>
        <v>#N/A</v>
      </c>
      <c r="L32" t="e">
        <f>VLOOKUP(H32,$A$1:F$161,L$2,0)</f>
        <v>#N/A</v>
      </c>
      <c r="M32" t="e">
        <f>VLOOKUP(H32,$A$1:F$161,M$2,0)</f>
        <v>#N/A</v>
      </c>
    </row>
    <row r="33" spans="1:13" x14ac:dyDescent="0.25">
      <c r="A33" t="s">
        <v>29</v>
      </c>
      <c r="B33">
        <v>0</v>
      </c>
      <c r="C33">
        <v>0</v>
      </c>
      <c r="D33">
        <v>0</v>
      </c>
      <c r="E33">
        <v>3.09</v>
      </c>
      <c r="F33">
        <v>0</v>
      </c>
      <c r="H33" t="s">
        <v>42</v>
      </c>
      <c r="I33">
        <f>VLOOKUP(H33,$A$1:F$161,I$2,0)</f>
        <v>20.04</v>
      </c>
      <c r="J33">
        <f>VLOOKUP(H33,$A$1:F$161,J$2,0)</f>
        <v>10</v>
      </c>
      <c r="K33">
        <f>VLOOKUP(H33,$A$1:F$161,K$2,0)</f>
        <v>4.05</v>
      </c>
      <c r="L33">
        <f>VLOOKUP(H33,$A$1:F$161,L$2,0)</f>
        <v>5.92</v>
      </c>
      <c r="M33">
        <f>VLOOKUP(H33,$A$1:F$161,M$2,0)</f>
        <v>5.3</v>
      </c>
    </row>
    <row r="34" spans="1:13" x14ac:dyDescent="0.25">
      <c r="A34" t="s">
        <v>30</v>
      </c>
      <c r="B34">
        <v>37.19</v>
      </c>
      <c r="C34">
        <v>36.01</v>
      </c>
      <c r="D34">
        <v>38</v>
      </c>
      <c r="E34">
        <v>33.82</v>
      </c>
      <c r="F34">
        <v>20.78</v>
      </c>
      <c r="H34" t="s">
        <v>43</v>
      </c>
      <c r="I34">
        <f>VLOOKUP(H34,$A$1:F$161,I$2,0)</f>
        <v>627.36</v>
      </c>
      <c r="J34">
        <f>VLOOKUP(H34,$A$1:F$161,J$2,0)</f>
        <v>377.17</v>
      </c>
      <c r="K34">
        <f>VLOOKUP(H34,$A$1:F$161,K$2,0)</f>
        <v>320.64999999999998</v>
      </c>
      <c r="L34">
        <f>VLOOKUP(H34,$A$1:F$161,L$2,0)</f>
        <v>455.15</v>
      </c>
      <c r="M34">
        <f>VLOOKUP(H34,$A$1:F$161,M$2,0)</f>
        <v>424.09</v>
      </c>
    </row>
    <row r="35" spans="1:13" x14ac:dyDescent="0.25">
      <c r="A35" t="s">
        <v>31</v>
      </c>
      <c r="B35">
        <v>1.56</v>
      </c>
      <c r="C35">
        <v>0</v>
      </c>
      <c r="D35">
        <v>0</v>
      </c>
      <c r="E35">
        <v>0</v>
      </c>
      <c r="F35">
        <v>0</v>
      </c>
      <c r="H35" t="s">
        <v>44</v>
      </c>
      <c r="I35">
        <f>VLOOKUP(H35,$A$1:F$161,I$2,0)</f>
        <v>666.99</v>
      </c>
      <c r="J35">
        <f>VLOOKUP(H35,$A$1:F$161,J$2,0)</f>
        <v>414.9</v>
      </c>
      <c r="K35">
        <f>VLOOKUP(H35,$A$1:F$161,K$2,0)</f>
        <v>359.4</v>
      </c>
      <c r="L35">
        <f>VLOOKUP(H35,$A$1:F$161,L$2,0)</f>
        <v>492.35</v>
      </c>
      <c r="M35">
        <f>VLOOKUP(H35,$A$1:F$161,M$2,0)</f>
        <v>445.64</v>
      </c>
    </row>
    <row r="36" spans="1:13" x14ac:dyDescent="0.25">
      <c r="A36" t="s">
        <v>34</v>
      </c>
      <c r="B36">
        <v>0.88</v>
      </c>
      <c r="C36">
        <v>1.73</v>
      </c>
      <c r="D36">
        <v>0.75</v>
      </c>
      <c r="E36">
        <v>3.38</v>
      </c>
      <c r="F36">
        <v>0.77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39.630000000000003</v>
      </c>
      <c r="C37">
        <v>37.729999999999997</v>
      </c>
      <c r="D37">
        <v>38.75</v>
      </c>
      <c r="E37">
        <v>37.200000000000003</v>
      </c>
      <c r="F37">
        <v>21.55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7.5</v>
      </c>
      <c r="J38">
        <f>VLOOKUP(H38,$A$1:F$161,J$2,0)</f>
        <v>0</v>
      </c>
      <c r="K38">
        <f>VLOOKUP(H38,$A$1:F$161,K$2,0)</f>
        <v>0</v>
      </c>
      <c r="L38">
        <f>VLOOKUP(H38,$A$1:F$161,L$2,0)</f>
        <v>0</v>
      </c>
      <c r="M38">
        <f>VLOOKUP(H38,$A$1:F$161,M$2,0)</f>
        <v>0</v>
      </c>
    </row>
    <row r="39" spans="1:13" x14ac:dyDescent="0.25">
      <c r="A39" t="s">
        <v>37</v>
      </c>
      <c r="B39">
        <v>0.12</v>
      </c>
      <c r="C39">
        <v>0.11</v>
      </c>
      <c r="D39">
        <v>0</v>
      </c>
      <c r="E39">
        <v>0</v>
      </c>
      <c r="F39">
        <v>0</v>
      </c>
      <c r="H39" t="s">
        <v>62</v>
      </c>
      <c r="I39">
        <f>VLOOKUP(H39,$A$1:F$161,I$2,0)</f>
        <v>0.12</v>
      </c>
      <c r="J39">
        <f>VLOOKUP(H39,$A$1:F$161,J$2,0)</f>
        <v>0.11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38</v>
      </c>
      <c r="B40">
        <v>195.35</v>
      </c>
      <c r="C40">
        <v>109.25</v>
      </c>
      <c r="D40">
        <v>55.93</v>
      </c>
      <c r="E40">
        <v>167.38</v>
      </c>
      <c r="F40">
        <v>226.75</v>
      </c>
      <c r="H40" t="s">
        <v>63</v>
      </c>
      <c r="I40">
        <f>VLOOKUP(H40,$A$1:F$161,I$2,0)</f>
        <v>0</v>
      </c>
      <c r="J40">
        <f>VLOOKUP(H40,$A$1:F$161,J$2,0)</f>
        <v>0.11</v>
      </c>
      <c r="K40">
        <f>VLOOKUP(H40,$A$1:F$161,K$2,0)</f>
        <v>0</v>
      </c>
      <c r="L40">
        <f>VLOOKUP(H40,$A$1:F$161,L$2,0)</f>
        <v>0</v>
      </c>
      <c r="M40">
        <f>VLOOKUP(H40,$A$1:F$161,M$2,0)</f>
        <v>0</v>
      </c>
    </row>
    <row r="41" spans="1:13" x14ac:dyDescent="0.25">
      <c r="A41" t="s">
        <v>39</v>
      </c>
      <c r="B41">
        <v>404.09</v>
      </c>
      <c r="C41">
        <v>252.56</v>
      </c>
      <c r="D41">
        <v>257.04000000000002</v>
      </c>
      <c r="E41">
        <v>278.68</v>
      </c>
      <c r="F41">
        <v>190.98</v>
      </c>
      <c r="H41" t="s">
        <v>64</v>
      </c>
      <c r="I41" t="e">
        <f>VLOOKUP(H41,$A$1:F$161,I$2,0)</f>
        <v>#N/A</v>
      </c>
      <c r="J41" t="e">
        <f>VLOOKUP(H41,$A$1:F$161,J$2,0)</f>
        <v>#N/A</v>
      </c>
      <c r="K41" t="e">
        <f>VLOOKUP(H41,$A$1:F$161,K$2,0)</f>
        <v>#N/A</v>
      </c>
      <c r="L41" t="e">
        <f>VLOOKUP(H41,$A$1:F$161,L$2,0)</f>
        <v>#N/A</v>
      </c>
      <c r="M41" t="e">
        <f>VLOOKUP(H41,$A$1:F$161,M$2,0)</f>
        <v>#N/A</v>
      </c>
    </row>
    <row r="42" spans="1:13" x14ac:dyDescent="0.25">
      <c r="A42" t="s">
        <v>40</v>
      </c>
      <c r="B42">
        <v>7.76</v>
      </c>
      <c r="C42">
        <v>5.24</v>
      </c>
      <c r="D42">
        <v>3.62</v>
      </c>
      <c r="E42">
        <v>3.17</v>
      </c>
      <c r="F42">
        <v>1.06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42</v>
      </c>
      <c r="B43">
        <v>20.04</v>
      </c>
      <c r="C43">
        <v>10</v>
      </c>
      <c r="D43">
        <v>4.05</v>
      </c>
      <c r="E43">
        <v>5.92</v>
      </c>
      <c r="F43">
        <v>5.3</v>
      </c>
      <c r="H43" t="s">
        <v>68</v>
      </c>
      <c r="I43">
        <f>VLOOKUP(H43,$A$1:F$161,I$2,0)</f>
        <v>1110.26</v>
      </c>
      <c r="J43">
        <f>VLOOKUP(H43,$A$1:F$161,J$2,0)</f>
        <v>799.37</v>
      </c>
      <c r="K43">
        <f>VLOOKUP(H43,$A$1:F$161,K$2,0)</f>
        <v>777.15</v>
      </c>
      <c r="L43">
        <f>VLOOKUP(H43,$A$1:F$161,L$2,0)</f>
        <v>1109.05</v>
      </c>
      <c r="M43">
        <f>VLOOKUP(H43,$A$1:F$161,M$2,0)</f>
        <v>944.15</v>
      </c>
    </row>
    <row r="44" spans="1:13" x14ac:dyDescent="0.25">
      <c r="A44" t="s">
        <v>43</v>
      </c>
      <c r="B44">
        <v>627.36</v>
      </c>
      <c r="C44">
        <v>377.17</v>
      </c>
      <c r="D44">
        <v>320.64999999999998</v>
      </c>
      <c r="E44">
        <v>455.15</v>
      </c>
      <c r="F44">
        <v>424.09</v>
      </c>
      <c r="H44" t="s">
        <v>70</v>
      </c>
      <c r="I44">
        <f>VLOOKUP(H44,$A$1:F$161,I$2,0)</f>
        <v>1110.26</v>
      </c>
      <c r="J44">
        <f>VLOOKUP(H44,$A$1:F$161,J$2,0)</f>
        <v>799.37</v>
      </c>
      <c r="K44">
        <f>VLOOKUP(H44,$A$1:F$161,K$2,0)</f>
        <v>777.15</v>
      </c>
      <c r="L44">
        <f>VLOOKUP(H44,$A$1:F$161,L$2,0)</f>
        <v>1109.05</v>
      </c>
      <c r="M44">
        <f>VLOOKUP(H44,$A$1:F$161,M$2,0)</f>
        <v>944.15</v>
      </c>
    </row>
    <row r="45" spans="1:13" x14ac:dyDescent="0.25">
      <c r="A45" t="s">
        <v>44</v>
      </c>
      <c r="B45">
        <v>666.99</v>
      </c>
      <c r="C45">
        <v>414.9</v>
      </c>
      <c r="D45">
        <v>359.4</v>
      </c>
      <c r="E45">
        <v>492.35</v>
      </c>
      <c r="F45">
        <v>445.64</v>
      </c>
      <c r="H45" t="s">
        <v>71</v>
      </c>
      <c r="I45">
        <f>VLOOKUP(H45,$A$1:F$161,I$2,0)</f>
        <v>24.01</v>
      </c>
      <c r="J45">
        <f>VLOOKUP(H45,$A$1:F$161,J$2,0)</f>
        <v>0</v>
      </c>
      <c r="K45">
        <f>VLOOKUP(H45,$A$1:F$161,K$2,0)</f>
        <v>0</v>
      </c>
      <c r="L45">
        <f>VLOOKUP(H45,$A$1:F$161,L$2,0)</f>
        <v>0</v>
      </c>
      <c r="M45">
        <f>VLOOKUP(H45,$A$1:F$161,M$2,0)</f>
        <v>0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1134.27</v>
      </c>
      <c r="J46">
        <f>VLOOKUP(H46,$A$1:F$161,J$2,0)</f>
        <v>799.37</v>
      </c>
      <c r="K46">
        <f>VLOOKUP(H46,$A$1:F$161,K$2,0)</f>
        <v>777.15</v>
      </c>
      <c r="L46">
        <f>VLOOKUP(H46,$A$1:F$161,L$2,0)</f>
        <v>1109.05</v>
      </c>
      <c r="M46">
        <f>VLOOKUP(H46,$A$1:F$161,M$2,0)</f>
        <v>944.15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37.090000000000003</v>
      </c>
      <c r="J47">
        <f>VLOOKUP(H47,$A$1:F$161,J$2,0)</f>
        <v>6.45</v>
      </c>
      <c r="K47">
        <f>VLOOKUP(H47,$A$1:F$161,K$2,0)</f>
        <v>12.82</v>
      </c>
      <c r="L47">
        <f>VLOOKUP(H47,$A$1:F$161,L$2,0)</f>
        <v>1.45</v>
      </c>
      <c r="M47">
        <f>VLOOKUP(H47,$A$1:F$161,M$2,0)</f>
        <v>7.0000000000000007E-2</v>
      </c>
    </row>
    <row r="48" spans="1:13" x14ac:dyDescent="0.25">
      <c r="A48" t="s">
        <v>47</v>
      </c>
      <c r="B48">
        <v>7.5</v>
      </c>
      <c r="C48">
        <v>0</v>
      </c>
      <c r="D48">
        <v>0</v>
      </c>
      <c r="E48">
        <v>0</v>
      </c>
      <c r="F48">
        <v>0</v>
      </c>
      <c r="H48" t="s">
        <v>74</v>
      </c>
      <c r="I48">
        <f>VLOOKUP(H48,$A$1:F$161,I$2,0)</f>
        <v>1171.3599999999999</v>
      </c>
      <c r="J48">
        <f>VLOOKUP(H48,$A$1:F$161,J$2,0)</f>
        <v>805.82</v>
      </c>
      <c r="K48">
        <f>VLOOKUP(H48,$A$1:F$161,K$2,0)</f>
        <v>789.97</v>
      </c>
      <c r="L48">
        <f>VLOOKUP(H48,$A$1:F$161,L$2,0)</f>
        <v>1110.5</v>
      </c>
      <c r="M48">
        <f>VLOOKUP(H48,$A$1:F$161,M$2,0)</f>
        <v>944.22</v>
      </c>
    </row>
    <row r="49" spans="1:13" ht="15" customHeight="1" x14ac:dyDescent="0.25">
      <c r="A49" t="s">
        <v>57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58</v>
      </c>
      <c r="B50">
        <v>8</v>
      </c>
      <c r="C50">
        <v>0</v>
      </c>
      <c r="D50">
        <v>0</v>
      </c>
      <c r="E50">
        <v>0</v>
      </c>
      <c r="F50">
        <v>0</v>
      </c>
      <c r="H50" t="s">
        <v>76</v>
      </c>
      <c r="I50">
        <f>VLOOKUP(H50,$A$1:F$161,I$2,0)</f>
        <v>953.9</v>
      </c>
      <c r="J50">
        <f>VLOOKUP(H50,$A$1:F$161,J$2,0)</f>
        <v>629.15</v>
      </c>
      <c r="K50">
        <f>VLOOKUP(H50,$A$1:F$161,K$2,0)</f>
        <v>524.99</v>
      </c>
      <c r="L50">
        <f>VLOOKUP(H50,$A$1:F$161,L$2,0)</f>
        <v>936.17</v>
      </c>
      <c r="M50">
        <f>VLOOKUP(H50,$A$1:F$161,M$2,0)</f>
        <v>850.11</v>
      </c>
    </row>
    <row r="51" spans="1:13" ht="24" customHeight="1" x14ac:dyDescent="0.25">
      <c r="A51" t="s">
        <v>59</v>
      </c>
      <c r="H51" t="s">
        <v>77</v>
      </c>
      <c r="I51" t="e">
        <f>VLOOKUP(H51,$A$1:F$161,I$2,0)</f>
        <v>#N/A</v>
      </c>
      <c r="J51" t="e">
        <f>VLOOKUP(H51,$A$1:F$161,J$2,0)</f>
        <v>#N/A</v>
      </c>
      <c r="K51" t="e">
        <f>VLOOKUP(H51,$A$1:F$161,K$2,0)</f>
        <v>#N/A</v>
      </c>
      <c r="L51" t="e">
        <f>VLOOKUP(H51,$A$1:F$161,L$2,0)</f>
        <v>#N/A</v>
      </c>
      <c r="M51" t="e">
        <f>VLOOKUP(H51,$A$1:F$161,M$2,0)</f>
        <v>#N/A</v>
      </c>
    </row>
    <row r="52" spans="1:13" x14ac:dyDescent="0.25">
      <c r="A52" t="s">
        <v>61</v>
      </c>
      <c r="B52">
        <v>1.56</v>
      </c>
      <c r="C52">
        <v>0</v>
      </c>
      <c r="D52">
        <v>0</v>
      </c>
      <c r="E52">
        <v>0</v>
      </c>
      <c r="F52">
        <v>0</v>
      </c>
      <c r="H52" t="s">
        <v>78</v>
      </c>
      <c r="I52">
        <f>VLOOKUP(H52,$A$1:F$161,I$2,0)</f>
        <v>-59.2</v>
      </c>
      <c r="J52">
        <f>VLOOKUP(H52,$A$1:F$161,J$2,0)</f>
        <v>-32.33</v>
      </c>
      <c r="K52">
        <f>VLOOKUP(H52,$A$1:F$161,K$2,0)</f>
        <v>85.93</v>
      </c>
      <c r="L52">
        <f>VLOOKUP(H52,$A$1:F$161,L$2,0)</f>
        <v>25.57</v>
      </c>
      <c r="M52">
        <f>VLOOKUP(H52,$A$1:F$161,M$2,0)</f>
        <v>-47.1</v>
      </c>
    </row>
    <row r="53" spans="1:13" ht="24" customHeight="1" x14ac:dyDescent="0.25">
      <c r="A53" t="s">
        <v>62</v>
      </c>
      <c r="H53" t="s">
        <v>79</v>
      </c>
      <c r="I53">
        <f>VLOOKUP(H53,$A$1:F$161,I$2,0)</f>
        <v>7.01</v>
      </c>
      <c r="J53">
        <f>VLOOKUP(H53,$A$1:F$161,J$2,0)</f>
        <v>5.61</v>
      </c>
      <c r="K53">
        <f>VLOOKUP(H53,$A$1:F$161,K$2,0)</f>
        <v>3.82</v>
      </c>
      <c r="L53">
        <f>VLOOKUP(H53,$A$1:F$161,L$2,0)</f>
        <v>3.64</v>
      </c>
      <c r="M53">
        <f>VLOOKUP(H53,$A$1:F$161,M$2,0)</f>
        <v>3.04</v>
      </c>
    </row>
    <row r="54" spans="1:13" x14ac:dyDescent="0.25">
      <c r="A54" t="s">
        <v>63</v>
      </c>
      <c r="B54">
        <v>0</v>
      </c>
      <c r="C54">
        <v>0.11</v>
      </c>
      <c r="D54">
        <v>0</v>
      </c>
      <c r="E54">
        <v>0</v>
      </c>
      <c r="F54">
        <v>0</v>
      </c>
      <c r="H54" t="s">
        <v>80</v>
      </c>
      <c r="I54">
        <f>VLOOKUP(H54,$A$1:F$161,I$2,0)</f>
        <v>13</v>
      </c>
      <c r="J54">
        <f>VLOOKUP(H54,$A$1:F$161,J$2,0)</f>
        <v>11.71</v>
      </c>
      <c r="K54">
        <f>VLOOKUP(H54,$A$1:F$161,K$2,0)</f>
        <v>14.49</v>
      </c>
      <c r="L54">
        <f>VLOOKUP(H54,$A$1:F$161,L$2,0)</f>
        <v>15.99</v>
      </c>
      <c r="M54">
        <f>VLOOKUP(H54,$A$1:F$161,M$2,0)</f>
        <v>14.76</v>
      </c>
    </row>
    <row r="55" spans="1:13" x14ac:dyDescent="0.25"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H56" t="s">
        <v>82</v>
      </c>
      <c r="I56">
        <f>VLOOKUP(H56,$A$1:F$161,I$2,0)</f>
        <v>3.13</v>
      </c>
      <c r="J56">
        <f>VLOOKUP(H56,$A$1:F$161,J$2,0)</f>
        <v>2.83</v>
      </c>
      <c r="K56">
        <f>VLOOKUP(H56,$A$1:F$161,K$2,0)</f>
        <v>2.92</v>
      </c>
      <c r="L56">
        <f>VLOOKUP(H56,$A$1:F$161,L$2,0)</f>
        <v>2.16</v>
      </c>
      <c r="M56">
        <f>VLOOKUP(H56,$A$1:F$161,M$2,0)</f>
        <v>2.0299999999999998</v>
      </c>
    </row>
    <row r="57" spans="1:13" x14ac:dyDescent="0.25">
      <c r="H57" t="s">
        <v>83</v>
      </c>
      <c r="I57">
        <f>VLOOKUP(H57,$A$1:F$161,I$2,0)</f>
        <v>139.88999999999999</v>
      </c>
      <c r="J57">
        <f>VLOOKUP(H57,$A$1:F$161,J$2,0)</f>
        <v>130.02000000000001</v>
      </c>
      <c r="K57">
        <f>VLOOKUP(H57,$A$1:F$161,K$2,0)</f>
        <v>114.78</v>
      </c>
      <c r="L57">
        <f>VLOOKUP(H57,$A$1:F$161,L$2,0)</f>
        <v>109.04</v>
      </c>
      <c r="M57">
        <f>VLOOKUP(H57,$A$1:F$161,M$2,0)</f>
        <v>103.09</v>
      </c>
    </row>
    <row r="58" spans="1:13" ht="15" customHeight="1" x14ac:dyDescent="0.25">
      <c r="A58" t="s">
        <v>65</v>
      </c>
      <c r="H58" t="s">
        <v>84</v>
      </c>
      <c r="I58">
        <f>VLOOKUP(H58,$A$1:F$161,I$2,0)</f>
        <v>1057.72</v>
      </c>
      <c r="J58">
        <f>VLOOKUP(H58,$A$1:F$161,J$2,0)</f>
        <v>746.97</v>
      </c>
      <c r="K58">
        <f>VLOOKUP(H58,$A$1:F$161,K$2,0)</f>
        <v>746.93</v>
      </c>
      <c r="L58">
        <f>VLOOKUP(H58,$A$1:F$161,L$2,0)</f>
        <v>1092.57</v>
      </c>
      <c r="M58">
        <f>VLOOKUP(H58,$A$1:F$161,M$2,0)</f>
        <v>925.94</v>
      </c>
    </row>
    <row r="59" spans="1:13" x14ac:dyDescent="0.25">
      <c r="H59" t="s">
        <v>85</v>
      </c>
      <c r="I59">
        <f>VLOOKUP(H59,$A$1:F$161,I$2,0)</f>
        <v>113.64</v>
      </c>
      <c r="J59">
        <f>VLOOKUP(H59,$A$1:F$161,J$2,0)</f>
        <v>58.85</v>
      </c>
      <c r="K59">
        <f>VLOOKUP(H59,$A$1:F$161,K$2,0)</f>
        <v>43.05</v>
      </c>
      <c r="L59">
        <f>VLOOKUP(H59,$A$1:F$161,L$2,0)</f>
        <v>17.93</v>
      </c>
      <c r="M59">
        <f>VLOOKUP(H59,$A$1:F$161,M$2,0)</f>
        <v>18.29</v>
      </c>
    </row>
    <row r="60" spans="1:13" x14ac:dyDescent="0.25">
      <c r="H60" t="s">
        <v>87</v>
      </c>
      <c r="I60">
        <f>VLOOKUP(H60,$A$1:F$161,I$2,0)</f>
        <v>113.64</v>
      </c>
      <c r="J60">
        <f>VLOOKUP(H60,$A$1:F$161,J$2,0)</f>
        <v>58.85</v>
      </c>
      <c r="K60">
        <f>VLOOKUP(H60,$A$1:F$161,K$2,0)</f>
        <v>43.05</v>
      </c>
      <c r="L60">
        <f>VLOOKUP(H60,$A$1:F$161,L$2,0)</f>
        <v>17.93</v>
      </c>
      <c r="M60">
        <f>VLOOKUP(H60,$A$1:F$161,M$2,0)</f>
        <v>18.29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29.09</v>
      </c>
      <c r="J62">
        <f>VLOOKUP(H62,$A$1:F$161,J$2,0)</f>
        <v>13.4</v>
      </c>
      <c r="K62">
        <f>VLOOKUP(H62,$A$1:F$161,K$2,0)</f>
        <v>11.98</v>
      </c>
      <c r="L62">
        <f>VLOOKUP(H62,$A$1:F$161,L$2,0)</f>
        <v>8.93</v>
      </c>
      <c r="M62">
        <f>VLOOKUP(H62,$A$1:F$161,M$2,0)</f>
        <v>6.36</v>
      </c>
    </row>
    <row r="63" spans="1:13" x14ac:dyDescent="0.25">
      <c r="H63" t="s">
        <v>90</v>
      </c>
      <c r="I63">
        <f>VLOOKUP(H63,$A$1:F$161,I$2,0)</f>
        <v>-0.05</v>
      </c>
      <c r="J63">
        <f>VLOOKUP(H63,$A$1:F$161,J$2,0)</f>
        <v>0.04</v>
      </c>
      <c r="K63">
        <f>VLOOKUP(H63,$A$1:F$161,K$2,0)</f>
        <v>-0.56000000000000005</v>
      </c>
      <c r="L63">
        <f>VLOOKUP(H63,$A$1:F$161,L$2,0)</f>
        <v>-7.0000000000000007E-2</v>
      </c>
      <c r="M63">
        <f>VLOOKUP(H63,$A$1:F$161,M$2,0)</f>
        <v>7.0000000000000007E-2</v>
      </c>
    </row>
    <row r="64" spans="1:13" x14ac:dyDescent="0.25">
      <c r="H64" t="s">
        <v>112</v>
      </c>
      <c r="I64">
        <f>VLOOKUP(H64,$A$1:F$161,I$2,0)</f>
        <v>0.08</v>
      </c>
      <c r="J64">
        <f>VLOOKUP(H64,$A$1:F$161,J$2,0)</f>
        <v>-0.01</v>
      </c>
      <c r="K64">
        <f>VLOOKUP(H64,$A$1:F$161,K$2,0)</f>
        <v>-7.0000000000000007E-2</v>
      </c>
      <c r="L64">
        <f>VLOOKUP(H64,$A$1:F$161,L$2,0)</f>
        <v>0</v>
      </c>
      <c r="M64">
        <f>VLOOKUP(H64,$A$1:F$161,M$2,0)</f>
        <v>0</v>
      </c>
    </row>
    <row r="65" spans="8:13" x14ac:dyDescent="0.25">
      <c r="H65" t="s">
        <v>91</v>
      </c>
      <c r="I65">
        <f>VLOOKUP(H65,$A$1:F$161,I$2,0)</f>
        <v>29.11</v>
      </c>
      <c r="J65">
        <f>VLOOKUP(H65,$A$1:F$161,J$2,0)</f>
        <v>13.43</v>
      </c>
      <c r="K65">
        <f>VLOOKUP(H65,$A$1:F$161,K$2,0)</f>
        <v>11.35</v>
      </c>
      <c r="L65">
        <f>VLOOKUP(H65,$A$1:F$161,L$2,0)</f>
        <v>8.86</v>
      </c>
      <c r="M65">
        <f>VLOOKUP(H65,$A$1:F$161,M$2,0)</f>
        <v>6.43</v>
      </c>
    </row>
    <row r="66" spans="8:13" x14ac:dyDescent="0.25">
      <c r="H66" t="s">
        <v>92</v>
      </c>
      <c r="I66">
        <f>VLOOKUP(H66,$A$1:F$161,I$2,0)</f>
        <v>84.52</v>
      </c>
      <c r="J66">
        <f>VLOOKUP(H66,$A$1:F$161,J$2,0)</f>
        <v>45.42</v>
      </c>
      <c r="K66">
        <f>VLOOKUP(H66,$A$1:F$161,K$2,0)</f>
        <v>31.7</v>
      </c>
      <c r="L66">
        <f>VLOOKUP(H66,$A$1:F$161,L$2,0)</f>
        <v>9.07</v>
      </c>
      <c r="M66">
        <f>VLOOKUP(H66,$A$1:F$161,M$2,0)</f>
        <v>11.85</v>
      </c>
    </row>
    <row r="67" spans="8:13" x14ac:dyDescent="0.25">
      <c r="H67" t="s">
        <v>93</v>
      </c>
      <c r="I67">
        <f>VLOOKUP(H67,$A$1:F$161,I$2,0)</f>
        <v>84.52</v>
      </c>
      <c r="J67">
        <f>VLOOKUP(H67,$A$1:F$161,J$2,0)</f>
        <v>45.42</v>
      </c>
      <c r="K67">
        <f>VLOOKUP(H67,$A$1:F$161,K$2,0)</f>
        <v>31.7</v>
      </c>
      <c r="L67">
        <f>VLOOKUP(H67,$A$1:F$161,L$2,0)</f>
        <v>9.07</v>
      </c>
      <c r="M67">
        <f>VLOOKUP(H67,$A$1:F$161,M$2,0)</f>
        <v>11.85</v>
      </c>
    </row>
    <row r="68" spans="8:13" x14ac:dyDescent="0.25">
      <c r="H68" t="s">
        <v>94</v>
      </c>
      <c r="I68">
        <f>VLOOKUP(H68,$A$1:F$161,I$2,0)</f>
        <v>84.52</v>
      </c>
      <c r="J68">
        <f>VLOOKUP(H68,$A$1:F$161,J$2,0)</f>
        <v>45.42</v>
      </c>
      <c r="K68">
        <f>VLOOKUP(H68,$A$1:F$161,K$2,0)</f>
        <v>31.7</v>
      </c>
      <c r="L68">
        <f>VLOOKUP(H68,$A$1:F$161,L$2,0)</f>
        <v>9.07</v>
      </c>
      <c r="M68">
        <f>VLOOKUP(H68,$A$1:F$161,M$2,0)</f>
        <v>11.85</v>
      </c>
    </row>
    <row r="69" spans="8:13" x14ac:dyDescent="0.25">
      <c r="H69" t="s">
        <v>101</v>
      </c>
      <c r="I69">
        <f>VLOOKUP(H69,$A$1:F$161,I$2,0)</f>
        <v>15.9</v>
      </c>
      <c r="J69">
        <f>VLOOKUP(H69,$A$1:F$161,J$2,0)</f>
        <v>9.7200000000000006</v>
      </c>
      <c r="K69">
        <f>VLOOKUP(H69,$A$1:F$161,K$2,0)</f>
        <v>1.84</v>
      </c>
      <c r="L69">
        <f>VLOOKUP(H69,$A$1:F$161,L$2,0)</f>
        <v>1.84</v>
      </c>
      <c r="M69">
        <f>VLOOKUP(H69,$A$1:F$161,M$2,0)</f>
        <v>0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0.38</v>
      </c>
      <c r="L70">
        <f>VLOOKUP(H70,$A$1:F$161,L$2,0)</f>
        <v>0.38</v>
      </c>
      <c r="M70">
        <f>VLOOKUP(H70,$A$1:F$161,M$2,0)</f>
        <v>0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114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1110.26</v>
      </c>
      <c r="C97">
        <v>799.37</v>
      </c>
      <c r="D97">
        <v>777.15</v>
      </c>
      <c r="E97">
        <v>1109.05</v>
      </c>
      <c r="F97">
        <v>944.15</v>
      </c>
    </row>
    <row r="98" spans="1:6" x14ac:dyDescent="0.25">
      <c r="A98" t="s">
        <v>70</v>
      </c>
      <c r="B98">
        <v>1110.26</v>
      </c>
      <c r="C98">
        <v>799.37</v>
      </c>
      <c r="D98">
        <v>777.15</v>
      </c>
      <c r="E98">
        <v>1109.05</v>
      </c>
      <c r="F98">
        <v>944.15</v>
      </c>
    </row>
    <row r="99" spans="1:6" x14ac:dyDescent="0.25">
      <c r="A99" t="s">
        <v>71</v>
      </c>
      <c r="B99">
        <v>24.01</v>
      </c>
      <c r="C99">
        <v>0</v>
      </c>
      <c r="D99">
        <v>0</v>
      </c>
      <c r="E99">
        <v>0</v>
      </c>
      <c r="F99">
        <v>0</v>
      </c>
    </row>
    <row r="100" spans="1:6" x14ac:dyDescent="0.25">
      <c r="A100" t="s">
        <v>72</v>
      </c>
      <c r="B100">
        <v>1134.27</v>
      </c>
      <c r="C100">
        <v>799.37</v>
      </c>
      <c r="D100">
        <v>777.15</v>
      </c>
      <c r="E100">
        <v>1109.05</v>
      </c>
      <c r="F100">
        <v>944.15</v>
      </c>
    </row>
    <row r="101" spans="1:6" x14ac:dyDescent="0.25">
      <c r="A101" t="s">
        <v>73</v>
      </c>
      <c r="B101">
        <v>37.090000000000003</v>
      </c>
      <c r="C101">
        <v>6.45</v>
      </c>
      <c r="D101">
        <v>12.82</v>
      </c>
      <c r="E101">
        <v>1.45</v>
      </c>
      <c r="F101">
        <v>7.0000000000000007E-2</v>
      </c>
    </row>
    <row r="102" spans="1:6" x14ac:dyDescent="0.25">
      <c r="A102" t="s">
        <v>74</v>
      </c>
      <c r="B102">
        <v>1171.3599999999999</v>
      </c>
      <c r="C102">
        <v>805.82</v>
      </c>
      <c r="D102">
        <v>789.97</v>
      </c>
      <c r="E102">
        <v>1110.5</v>
      </c>
      <c r="F102">
        <v>944.22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953.9</v>
      </c>
      <c r="C104">
        <v>629.15</v>
      </c>
      <c r="D104">
        <v>524.99</v>
      </c>
      <c r="E104">
        <v>936.17</v>
      </c>
      <c r="F104">
        <v>850.11</v>
      </c>
    </row>
    <row r="105" spans="1:6" x14ac:dyDescent="0.25">
      <c r="A105" t="s">
        <v>78</v>
      </c>
      <c r="B105">
        <v>-59.2</v>
      </c>
      <c r="C105">
        <v>-32.33</v>
      </c>
      <c r="D105">
        <v>85.93</v>
      </c>
      <c r="E105">
        <v>25.57</v>
      </c>
      <c r="F105">
        <v>-47.1</v>
      </c>
    </row>
    <row r="106" spans="1:6" x14ac:dyDescent="0.25">
      <c r="A106" t="s">
        <v>79</v>
      </c>
      <c r="B106">
        <v>7.01</v>
      </c>
      <c r="C106">
        <v>5.61</v>
      </c>
      <c r="D106">
        <v>3.82</v>
      </c>
      <c r="E106">
        <v>3.64</v>
      </c>
      <c r="F106">
        <v>3.04</v>
      </c>
    </row>
    <row r="107" spans="1:6" x14ac:dyDescent="0.25">
      <c r="A107" t="s">
        <v>80</v>
      </c>
      <c r="B107">
        <v>13</v>
      </c>
      <c r="C107">
        <v>11.71</v>
      </c>
      <c r="D107">
        <v>14.49</v>
      </c>
      <c r="E107">
        <v>15.99</v>
      </c>
      <c r="F107">
        <v>14.76</v>
      </c>
    </row>
    <row r="108" spans="1:6" x14ac:dyDescent="0.25">
      <c r="A108" t="s">
        <v>82</v>
      </c>
      <c r="B108">
        <v>3.13</v>
      </c>
      <c r="C108">
        <v>2.83</v>
      </c>
      <c r="D108">
        <v>2.92</v>
      </c>
      <c r="E108">
        <v>2.16</v>
      </c>
      <c r="F108">
        <v>2.0299999999999998</v>
      </c>
    </row>
    <row r="109" spans="1:6" x14ac:dyDescent="0.25">
      <c r="A109" t="s">
        <v>83</v>
      </c>
      <c r="B109">
        <v>139.88999999999999</v>
      </c>
      <c r="C109">
        <v>130.02000000000001</v>
      </c>
      <c r="D109">
        <v>114.78</v>
      </c>
      <c r="E109">
        <v>109.04</v>
      </c>
      <c r="F109">
        <v>103.09</v>
      </c>
    </row>
    <row r="110" spans="1:6" x14ac:dyDescent="0.25">
      <c r="A110" t="s">
        <v>84</v>
      </c>
      <c r="B110">
        <v>1057.72</v>
      </c>
      <c r="C110">
        <v>746.97</v>
      </c>
      <c r="D110">
        <v>746.93</v>
      </c>
      <c r="E110">
        <v>1092.57</v>
      </c>
      <c r="F110">
        <v>925.94</v>
      </c>
    </row>
    <row r="111" spans="1:6" x14ac:dyDescent="0.25">
      <c r="A111" t="s">
        <v>85</v>
      </c>
      <c r="B111">
        <v>113.64</v>
      </c>
      <c r="C111">
        <v>58.85</v>
      </c>
      <c r="D111">
        <v>43.05</v>
      </c>
      <c r="E111">
        <v>17.93</v>
      </c>
      <c r="F111">
        <v>18.29</v>
      </c>
    </row>
    <row r="112" spans="1:6" x14ac:dyDescent="0.25">
      <c r="A112" t="s">
        <v>87</v>
      </c>
      <c r="B112">
        <v>113.64</v>
      </c>
      <c r="C112">
        <v>58.85</v>
      </c>
      <c r="D112">
        <v>43.05</v>
      </c>
      <c r="E112">
        <v>17.93</v>
      </c>
      <c r="F112">
        <v>18.29</v>
      </c>
    </row>
    <row r="113" spans="1:6" ht="24" customHeight="1" x14ac:dyDescent="0.25">
      <c r="A113" t="s">
        <v>88</v>
      </c>
    </row>
    <row r="114" spans="1:6" x14ac:dyDescent="0.25">
      <c r="A114" t="s">
        <v>89</v>
      </c>
      <c r="B114">
        <v>29.09</v>
      </c>
      <c r="C114">
        <v>13.4</v>
      </c>
      <c r="D114">
        <v>11.98</v>
      </c>
      <c r="E114">
        <v>8.93</v>
      </c>
      <c r="F114">
        <v>6.36</v>
      </c>
    </row>
    <row r="115" spans="1:6" x14ac:dyDescent="0.25">
      <c r="A115" t="s">
        <v>90</v>
      </c>
      <c r="B115">
        <v>-0.05</v>
      </c>
      <c r="C115">
        <v>0.04</v>
      </c>
      <c r="D115">
        <v>-0.56000000000000005</v>
      </c>
      <c r="E115">
        <v>-7.0000000000000007E-2</v>
      </c>
      <c r="F115">
        <v>7.0000000000000007E-2</v>
      </c>
    </row>
    <row r="116" spans="1:6" x14ac:dyDescent="0.25">
      <c r="A116" t="s">
        <v>112</v>
      </c>
      <c r="B116">
        <v>0.08</v>
      </c>
      <c r="C116">
        <v>-0.01</v>
      </c>
      <c r="D116">
        <v>-7.0000000000000007E-2</v>
      </c>
      <c r="E116">
        <v>0</v>
      </c>
      <c r="F116">
        <v>0</v>
      </c>
    </row>
    <row r="117" spans="1:6" x14ac:dyDescent="0.25">
      <c r="A117" t="s">
        <v>91</v>
      </c>
      <c r="B117">
        <v>29.11</v>
      </c>
      <c r="C117">
        <v>13.43</v>
      </c>
      <c r="D117">
        <v>11.35</v>
      </c>
      <c r="E117">
        <v>8.86</v>
      </c>
      <c r="F117">
        <v>6.43</v>
      </c>
    </row>
    <row r="118" spans="1:6" x14ac:dyDescent="0.25">
      <c r="A118" t="s">
        <v>92</v>
      </c>
      <c r="B118">
        <v>84.52</v>
      </c>
      <c r="C118">
        <v>45.42</v>
      </c>
      <c r="D118">
        <v>31.7</v>
      </c>
      <c r="E118">
        <v>9.07</v>
      </c>
      <c r="F118">
        <v>11.85</v>
      </c>
    </row>
    <row r="119" spans="1:6" x14ac:dyDescent="0.25">
      <c r="A119" t="s">
        <v>93</v>
      </c>
      <c r="B119">
        <v>84.52</v>
      </c>
      <c r="C119">
        <v>45.42</v>
      </c>
      <c r="D119">
        <v>31.7</v>
      </c>
      <c r="E119">
        <v>9.07</v>
      </c>
      <c r="F119">
        <v>11.85</v>
      </c>
    </row>
    <row r="120" spans="1:6" x14ac:dyDescent="0.25">
      <c r="A120" t="s">
        <v>94</v>
      </c>
      <c r="B120">
        <v>84.52</v>
      </c>
      <c r="C120">
        <v>45.42</v>
      </c>
      <c r="D120">
        <v>31.7</v>
      </c>
      <c r="E120">
        <v>9.07</v>
      </c>
      <c r="F120">
        <v>11.85</v>
      </c>
    </row>
    <row r="121" spans="1:6" x14ac:dyDescent="0.25">
      <c r="A121" t="s">
        <v>116</v>
      </c>
      <c r="B121">
        <v>-0.68</v>
      </c>
      <c r="C121">
        <v>-0.19</v>
      </c>
      <c r="D121">
        <v>0</v>
      </c>
      <c r="E121">
        <v>0</v>
      </c>
      <c r="F121">
        <v>0</v>
      </c>
    </row>
    <row r="122" spans="1:6" x14ac:dyDescent="0.25">
      <c r="A122" t="s">
        <v>113</v>
      </c>
      <c r="B122">
        <v>83.84</v>
      </c>
      <c r="C122">
        <v>45.22</v>
      </c>
      <c r="D122">
        <v>31.7</v>
      </c>
      <c r="E122">
        <v>9.07</v>
      </c>
      <c r="F122">
        <v>11.85</v>
      </c>
    </row>
    <row r="123" spans="1:6" ht="24" customHeight="1" x14ac:dyDescent="0.25">
      <c r="A123" t="s">
        <v>45</v>
      </c>
    </row>
    <row r="124" spans="1:6" ht="24" customHeight="1" x14ac:dyDescent="0.25">
      <c r="A124" t="s">
        <v>95</v>
      </c>
    </row>
    <row r="125" spans="1:6" x14ac:dyDescent="0.25">
      <c r="A125" t="s">
        <v>96</v>
      </c>
      <c r="B125">
        <v>14</v>
      </c>
      <c r="C125">
        <v>122</v>
      </c>
      <c r="D125">
        <v>86</v>
      </c>
      <c r="E125">
        <v>25</v>
      </c>
      <c r="F125">
        <v>32</v>
      </c>
    </row>
    <row r="126" spans="1:6" x14ac:dyDescent="0.25">
      <c r="A126" t="s">
        <v>97</v>
      </c>
      <c r="B126">
        <v>14</v>
      </c>
      <c r="C126">
        <v>122</v>
      </c>
      <c r="D126">
        <v>86</v>
      </c>
      <c r="E126">
        <v>25</v>
      </c>
      <c r="F126">
        <v>32</v>
      </c>
    </row>
    <row r="127" spans="1:6" ht="36" customHeight="1" x14ac:dyDescent="0.25">
      <c r="A127" t="s">
        <v>100</v>
      </c>
    </row>
    <row r="128" spans="1:6" x14ac:dyDescent="0.25">
      <c r="A128" t="s">
        <v>101</v>
      </c>
      <c r="B128">
        <v>15.9</v>
      </c>
      <c r="C128">
        <v>9.7200000000000006</v>
      </c>
      <c r="D128">
        <v>1.84</v>
      </c>
      <c r="E128">
        <v>1.84</v>
      </c>
      <c r="F128">
        <v>0</v>
      </c>
    </row>
    <row r="129" spans="1:6" x14ac:dyDescent="0.25">
      <c r="A129" t="s">
        <v>102</v>
      </c>
      <c r="B129">
        <v>0</v>
      </c>
      <c r="C129">
        <v>0</v>
      </c>
      <c r="D129">
        <v>0.38</v>
      </c>
      <c r="E129">
        <v>0.38</v>
      </c>
      <c r="F129">
        <v>0</v>
      </c>
    </row>
    <row r="133" spans="1:6" ht="15" customHeight="1" x14ac:dyDescent="0.25">
      <c r="A133" t="s">
        <v>65</v>
      </c>
    </row>
  </sheetData>
  <hyperlinks>
    <hyperlink ref="B1" r:id="rId1" display="javascript:void(0);" xr:uid="{6A3AA602-C9E8-49CC-A1E1-07BD6E811022}"/>
    <hyperlink ref="B90" r:id="rId2" display="javascript:void(0);" xr:uid="{BFFA7209-A685-4734-B21D-9A19E687BFDF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5E66-76A0-45C9-945D-38FD1CD04904}">
  <sheetPr codeName="Sheet5"/>
  <dimension ref="A1:M144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122</v>
      </c>
      <c r="B1" t="s">
        <v>1</v>
      </c>
      <c r="H1" t="str">
        <f>A1</f>
        <v>Relaxo Footwears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24.89</v>
      </c>
      <c r="J4">
        <f>VLOOKUP(H4,$A$1:F$161,J$2,0)</f>
        <v>24.84</v>
      </c>
      <c r="K4">
        <f>VLOOKUP(H4,$A$1:F$161,K$2,0)</f>
        <v>24.82</v>
      </c>
      <c r="L4">
        <f>VLOOKUP(H4,$A$1:F$161,L$2,0)</f>
        <v>12.4</v>
      </c>
      <c r="M4">
        <f>VLOOKUP(H4,$A$1:F$161,M$2,0)</f>
        <v>12.03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24.89</v>
      </c>
      <c r="J5">
        <f>VLOOKUP(H5,$A$1:F$161,J$2,0)</f>
        <v>24.84</v>
      </c>
      <c r="K5">
        <f>VLOOKUP(H5,$A$1:F$161,K$2,0)</f>
        <v>24.82</v>
      </c>
      <c r="L5">
        <f>VLOOKUP(H5,$A$1:F$161,L$2,0)</f>
        <v>12.4</v>
      </c>
      <c r="M5">
        <f>VLOOKUP(H5,$A$1:F$161,M$2,0)</f>
        <v>12.03</v>
      </c>
    </row>
    <row r="6" spans="1:13" x14ac:dyDescent="0.25">
      <c r="H6" t="s">
        <v>10</v>
      </c>
      <c r="I6">
        <f>VLOOKUP(H6,$A$1:F$161,I$2,0)</f>
        <v>1732.86</v>
      </c>
      <c r="J6">
        <f>VLOOKUP(H6,$A$1:F$161,J$2,0)</f>
        <v>1540.23</v>
      </c>
      <c r="K6">
        <f>VLOOKUP(H6,$A$1:F$161,K$2,0)</f>
        <v>1247.58</v>
      </c>
      <c r="L6">
        <f>VLOOKUP(H6,$A$1:F$161,L$2,0)</f>
        <v>1092.67</v>
      </c>
      <c r="M6">
        <f>VLOOKUP(H6,$A$1:F$161,M$2,0)</f>
        <v>749.18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1732.86</v>
      </c>
      <c r="J7">
        <f>VLOOKUP(H7,$A$1:F$161,J$2,0)</f>
        <v>1540.23</v>
      </c>
      <c r="K7">
        <f>VLOOKUP(H7,$A$1:F$161,K$2,0)</f>
        <v>1247.58</v>
      </c>
      <c r="L7">
        <f>VLOOKUP(H7,$A$1:F$161,L$2,0)</f>
        <v>1092.67</v>
      </c>
      <c r="M7">
        <f>VLOOKUP(H7,$A$1:F$161,M$2,0)</f>
        <v>749.18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1760.12</v>
      </c>
      <c r="J8">
        <f>VLOOKUP(H8,$A$1:F$161,J$2,0)</f>
        <v>1572.41</v>
      </c>
      <c r="K8">
        <f>VLOOKUP(H8,$A$1:F$161,K$2,0)</f>
        <v>1272.4000000000001</v>
      </c>
      <c r="L8">
        <f>VLOOKUP(H8,$A$1:F$161,L$2,0)</f>
        <v>1105.07</v>
      </c>
      <c r="M8">
        <f>VLOOKUP(H8,$A$1:F$161,M$2,0)</f>
        <v>761.21</v>
      </c>
    </row>
    <row r="9" spans="1:13" x14ac:dyDescent="0.25">
      <c r="A9" t="s">
        <v>8</v>
      </c>
      <c r="B9">
        <v>24.89</v>
      </c>
      <c r="C9">
        <v>24.84</v>
      </c>
      <c r="D9">
        <v>24.82</v>
      </c>
      <c r="E9">
        <v>12.4</v>
      </c>
      <c r="F9">
        <v>12.03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0</v>
      </c>
      <c r="M9">
        <f>VLOOKUP(H9,$A$1:F$161,M$2,0)</f>
        <v>39.26</v>
      </c>
    </row>
    <row r="10" spans="1:13" x14ac:dyDescent="0.25">
      <c r="A10" t="s">
        <v>9</v>
      </c>
      <c r="B10">
        <v>24.89</v>
      </c>
      <c r="C10">
        <v>24.84</v>
      </c>
      <c r="D10">
        <v>24.82</v>
      </c>
      <c r="E10">
        <v>12.4</v>
      </c>
      <c r="F10">
        <v>12.03</v>
      </c>
      <c r="H10" t="s">
        <v>16</v>
      </c>
      <c r="I10">
        <f>VLOOKUP(H10,$A$1:F$161,I$2,0)</f>
        <v>122.93</v>
      </c>
      <c r="J10">
        <f>VLOOKUP(H10,$A$1:F$161,J$2,0)</f>
        <v>115.4</v>
      </c>
      <c r="K10">
        <f>VLOOKUP(H10,$A$1:F$161,K$2,0)</f>
        <v>119.79</v>
      </c>
      <c r="L10">
        <f>VLOOKUP(H10,$A$1:F$161,L$2,0)</f>
        <v>0.01</v>
      </c>
      <c r="M10">
        <f>VLOOKUP(H10,$A$1:F$161,M$2,0)</f>
        <v>0.71</v>
      </c>
    </row>
    <row r="11" spans="1:13" x14ac:dyDescent="0.25">
      <c r="A11" t="s">
        <v>10</v>
      </c>
      <c r="B11">
        <v>1732.86</v>
      </c>
      <c r="C11">
        <v>1540.23</v>
      </c>
      <c r="D11">
        <v>1247.58</v>
      </c>
      <c r="E11">
        <v>1092.67</v>
      </c>
      <c r="F11">
        <v>749.18</v>
      </c>
      <c r="H11" t="s">
        <v>17</v>
      </c>
      <c r="I11">
        <f>VLOOKUP(H11,$A$1:F$161,I$2,0)</f>
        <v>18.670000000000002</v>
      </c>
      <c r="J11">
        <f>VLOOKUP(H11,$A$1:F$161,J$2,0)</f>
        <v>16.100000000000001</v>
      </c>
      <c r="K11">
        <f>VLOOKUP(H11,$A$1:F$161,K$2,0)</f>
        <v>10.84</v>
      </c>
      <c r="L11">
        <f>VLOOKUP(H11,$A$1:F$161,L$2,0)</f>
        <v>9</v>
      </c>
      <c r="M11">
        <f>VLOOKUP(H11,$A$1:F$161,M$2,0)</f>
        <v>7.48</v>
      </c>
    </row>
    <row r="12" spans="1:13" x14ac:dyDescent="0.25">
      <c r="A12" t="s">
        <v>11</v>
      </c>
      <c r="B12">
        <v>1732.86</v>
      </c>
      <c r="C12">
        <v>1540.23</v>
      </c>
      <c r="D12">
        <v>1247.58</v>
      </c>
      <c r="E12">
        <v>1092.67</v>
      </c>
      <c r="F12">
        <v>749.18</v>
      </c>
      <c r="H12" t="s">
        <v>18</v>
      </c>
      <c r="I12">
        <f>VLOOKUP(H12,$A$1:F$161,I$2,0)</f>
        <v>161.44999999999999</v>
      </c>
      <c r="J12">
        <f>VLOOKUP(H12,$A$1:F$161,J$2,0)</f>
        <v>154.30000000000001</v>
      </c>
      <c r="K12">
        <f>VLOOKUP(H12,$A$1:F$161,K$2,0)</f>
        <v>155.38</v>
      </c>
      <c r="L12">
        <f>VLOOKUP(H12,$A$1:F$161,L$2,0)</f>
        <v>43.45</v>
      </c>
      <c r="M12">
        <f>VLOOKUP(H12,$A$1:F$161,M$2,0)</f>
        <v>73.760000000000005</v>
      </c>
    </row>
    <row r="13" spans="1:13" x14ac:dyDescent="0.25">
      <c r="A13" t="s">
        <v>118</v>
      </c>
      <c r="B13">
        <v>2.37</v>
      </c>
      <c r="C13">
        <v>7.34</v>
      </c>
      <c r="D13">
        <v>0</v>
      </c>
      <c r="E13">
        <v>0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1760.12</v>
      </c>
      <c r="C14">
        <v>1572.41</v>
      </c>
      <c r="D14">
        <v>1272.4000000000001</v>
      </c>
      <c r="E14">
        <v>1105.07</v>
      </c>
      <c r="F14">
        <v>761.21</v>
      </c>
      <c r="H14" t="s">
        <v>21</v>
      </c>
      <c r="I14">
        <f>VLOOKUP(H14,$A$1:F$161,I$2,0)</f>
        <v>221.74</v>
      </c>
      <c r="J14">
        <f>VLOOKUP(H14,$A$1:F$161,J$2,0)</f>
        <v>222.8</v>
      </c>
      <c r="K14">
        <f>VLOOKUP(H14,$A$1:F$161,K$2,0)</f>
        <v>183.79</v>
      </c>
      <c r="L14">
        <f>VLOOKUP(H14,$A$1:F$161,L$2,0)</f>
        <v>171.82</v>
      </c>
      <c r="M14">
        <f>VLOOKUP(H14,$A$1:F$161,M$2,0)</f>
        <v>174.9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190.12</v>
      </c>
      <c r="J15">
        <f>VLOOKUP(H15,$A$1:F$161,J$2,0)</f>
        <v>199.11</v>
      </c>
      <c r="K15">
        <f>VLOOKUP(H15,$A$1:F$161,K$2,0)</f>
        <v>159.69999999999999</v>
      </c>
      <c r="L15">
        <f>VLOOKUP(H15,$A$1:F$161,L$2,0)</f>
        <v>174.5</v>
      </c>
      <c r="M15">
        <f>VLOOKUP(H15,$A$1:F$161,M$2,0)</f>
        <v>151.22999999999999</v>
      </c>
    </row>
    <row r="16" spans="1:13" x14ac:dyDescent="0.25">
      <c r="A16" t="s">
        <v>14</v>
      </c>
      <c r="B16">
        <v>0</v>
      </c>
      <c r="C16">
        <v>0</v>
      </c>
      <c r="D16">
        <v>0</v>
      </c>
      <c r="E16">
        <v>0</v>
      </c>
      <c r="F16">
        <v>39.26</v>
      </c>
      <c r="H16" t="s">
        <v>23</v>
      </c>
      <c r="I16">
        <f>VLOOKUP(H16,$A$1:F$161,I$2,0)</f>
        <v>29.16</v>
      </c>
      <c r="J16">
        <f>VLOOKUP(H16,$A$1:F$161,J$2,0)</f>
        <v>27.18</v>
      </c>
      <c r="K16">
        <f>VLOOKUP(H16,$A$1:F$161,K$2,0)</f>
        <v>50.65</v>
      </c>
      <c r="L16">
        <f>VLOOKUP(H16,$A$1:F$161,L$2,0)</f>
        <v>29.67</v>
      </c>
      <c r="M16">
        <f>VLOOKUP(H16,$A$1:F$161,M$2,0)</f>
        <v>2.64</v>
      </c>
    </row>
    <row r="17" spans="1:13" x14ac:dyDescent="0.25">
      <c r="A17" t="s">
        <v>15</v>
      </c>
      <c r="B17">
        <v>19.850000000000001</v>
      </c>
      <c r="C17">
        <v>22.8</v>
      </c>
      <c r="D17">
        <v>24.75</v>
      </c>
      <c r="E17">
        <v>34.44</v>
      </c>
      <c r="F17">
        <v>26.31</v>
      </c>
      <c r="H17" t="s">
        <v>24</v>
      </c>
      <c r="I17">
        <f>VLOOKUP(H17,$A$1:F$161,I$2,0)</f>
        <v>461.02</v>
      </c>
      <c r="J17">
        <f>VLOOKUP(H17,$A$1:F$161,J$2,0)</f>
        <v>449.09</v>
      </c>
      <c r="K17">
        <f>VLOOKUP(H17,$A$1:F$161,K$2,0)</f>
        <v>413.3</v>
      </c>
      <c r="L17">
        <f>VLOOKUP(H17,$A$1:F$161,L$2,0)</f>
        <v>462.91</v>
      </c>
      <c r="M17">
        <f>VLOOKUP(H17,$A$1:F$161,M$2,0)</f>
        <v>414.86</v>
      </c>
    </row>
    <row r="18" spans="1:13" x14ac:dyDescent="0.25">
      <c r="A18" t="s">
        <v>16</v>
      </c>
      <c r="B18">
        <v>122.93</v>
      </c>
      <c r="C18">
        <v>115.4</v>
      </c>
      <c r="D18">
        <v>119.79</v>
      </c>
      <c r="E18">
        <v>0.01</v>
      </c>
      <c r="F18">
        <v>0.71</v>
      </c>
      <c r="H18" t="s">
        <v>25</v>
      </c>
      <c r="I18">
        <f>VLOOKUP(H18,$A$1:F$161,I$2,0)</f>
        <v>2382.59</v>
      </c>
      <c r="J18">
        <f>VLOOKUP(H18,$A$1:F$161,J$2,0)</f>
        <v>2175.8000000000002</v>
      </c>
      <c r="K18">
        <f>VLOOKUP(H18,$A$1:F$161,K$2,0)</f>
        <v>1841.08</v>
      </c>
      <c r="L18">
        <f>VLOOKUP(H18,$A$1:F$161,L$2,0)</f>
        <v>1611.43</v>
      </c>
      <c r="M18">
        <f>VLOOKUP(H18,$A$1:F$161,M$2,0)</f>
        <v>1249.83</v>
      </c>
    </row>
    <row r="19" spans="1:13" x14ac:dyDescent="0.25">
      <c r="A19" t="s">
        <v>17</v>
      </c>
      <c r="B19">
        <v>18.670000000000002</v>
      </c>
      <c r="C19">
        <v>16.100000000000001</v>
      </c>
      <c r="D19">
        <v>10.84</v>
      </c>
      <c r="E19">
        <v>9</v>
      </c>
      <c r="F19">
        <v>7.48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18</v>
      </c>
      <c r="B20">
        <v>161.44999999999999</v>
      </c>
      <c r="C20">
        <v>154.30000000000001</v>
      </c>
      <c r="D20">
        <v>155.38</v>
      </c>
      <c r="E20">
        <v>43.45</v>
      </c>
      <c r="F20">
        <v>73.760000000000005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ht="15" customHeight="1" x14ac:dyDescent="0.25">
      <c r="A21" t="s">
        <v>19</v>
      </c>
      <c r="H21" t="s">
        <v>28</v>
      </c>
      <c r="I21">
        <f>VLOOKUP(H21,$A$1:F$161,I$2,0)</f>
        <v>958.66</v>
      </c>
      <c r="J21">
        <f>VLOOKUP(H21,$A$1:F$161,J$2,0)</f>
        <v>904.73</v>
      </c>
      <c r="K21">
        <f>VLOOKUP(H21,$A$1:F$161,K$2,0)</f>
        <v>940.03</v>
      </c>
      <c r="L21">
        <f>VLOOKUP(H21,$A$1:F$161,L$2,0)</f>
        <v>800.45</v>
      </c>
      <c r="M21">
        <f>VLOOKUP(H21,$A$1:F$161,M$2,0)</f>
        <v>469.81</v>
      </c>
    </row>
    <row r="22" spans="1:13" x14ac:dyDescent="0.25">
      <c r="A22" t="s">
        <v>20</v>
      </c>
      <c r="B22">
        <v>20</v>
      </c>
      <c r="C22">
        <v>0</v>
      </c>
      <c r="D22">
        <v>19.16</v>
      </c>
      <c r="E22">
        <v>86.92</v>
      </c>
      <c r="F22">
        <v>86.09</v>
      </c>
      <c r="H22" t="s">
        <v>29</v>
      </c>
      <c r="I22">
        <f>VLOOKUP(H22,$A$1:F$161,I$2,0)</f>
        <v>145.18</v>
      </c>
      <c r="J22">
        <f>VLOOKUP(H22,$A$1:F$161,J$2,0)</f>
        <v>112.23</v>
      </c>
      <c r="K22">
        <f>VLOOKUP(H22,$A$1:F$161,K$2,0)</f>
        <v>43.81</v>
      </c>
      <c r="L22">
        <f>VLOOKUP(H22,$A$1:F$161,L$2,0)</f>
        <v>10.17</v>
      </c>
      <c r="M22">
        <f>VLOOKUP(H22,$A$1:F$161,M$2,0)</f>
        <v>136.44</v>
      </c>
    </row>
    <row r="23" spans="1:13" x14ac:dyDescent="0.25">
      <c r="A23" t="s">
        <v>21</v>
      </c>
      <c r="B23">
        <v>221.74</v>
      </c>
      <c r="C23">
        <v>222.8</v>
      </c>
      <c r="D23">
        <v>183.79</v>
      </c>
      <c r="E23">
        <v>171.82</v>
      </c>
      <c r="F23">
        <v>174.9</v>
      </c>
      <c r="H23" t="s">
        <v>30</v>
      </c>
      <c r="I23">
        <f>VLOOKUP(H23,$A$1:F$161,I$2,0)</f>
        <v>1136.22</v>
      </c>
      <c r="J23">
        <f>VLOOKUP(H23,$A$1:F$161,J$2,0)</f>
        <v>1056.0899999999999</v>
      </c>
      <c r="K23">
        <f>VLOOKUP(H23,$A$1:F$161,K$2,0)</f>
        <v>1026.6099999999999</v>
      </c>
      <c r="L23">
        <f>VLOOKUP(H23,$A$1:F$161,L$2,0)</f>
        <v>859.54</v>
      </c>
      <c r="M23">
        <f>VLOOKUP(H23,$A$1:F$161,M$2,0)</f>
        <v>662.44</v>
      </c>
    </row>
    <row r="24" spans="1:13" x14ac:dyDescent="0.25">
      <c r="A24" t="s">
        <v>22</v>
      </c>
      <c r="B24">
        <v>190.12</v>
      </c>
      <c r="C24">
        <v>199.11</v>
      </c>
      <c r="D24">
        <v>159.69999999999999</v>
      </c>
      <c r="E24">
        <v>174.5</v>
      </c>
      <c r="F24">
        <v>151.22999999999999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23</v>
      </c>
      <c r="B25">
        <v>29.16</v>
      </c>
      <c r="C25">
        <v>27.18</v>
      </c>
      <c r="D25">
        <v>50.65</v>
      </c>
      <c r="E25">
        <v>29.67</v>
      </c>
      <c r="F25">
        <v>2.64</v>
      </c>
      <c r="H25" t="s">
        <v>33</v>
      </c>
      <c r="I25">
        <f>VLOOKUP(H25,$A$1:F$161,I$2,0)</f>
        <v>0.08</v>
      </c>
      <c r="J25">
        <f>VLOOKUP(H25,$A$1:F$161,J$2,0)</f>
        <v>15.43</v>
      </c>
      <c r="K25">
        <f>VLOOKUP(H25,$A$1:F$161,K$2,0)</f>
        <v>18.489999999999998</v>
      </c>
      <c r="L25">
        <f>VLOOKUP(H25,$A$1:F$161,L$2,0)</f>
        <v>17.09</v>
      </c>
      <c r="M25">
        <f>VLOOKUP(H25,$A$1:F$161,M$2,0)</f>
        <v>16.2</v>
      </c>
    </row>
    <row r="26" spans="1:13" x14ac:dyDescent="0.25">
      <c r="A26" t="s">
        <v>24</v>
      </c>
      <c r="B26">
        <v>461.02</v>
      </c>
      <c r="C26">
        <v>449.09</v>
      </c>
      <c r="D26">
        <v>413.3</v>
      </c>
      <c r="E26">
        <v>462.91</v>
      </c>
      <c r="F26">
        <v>414.86</v>
      </c>
      <c r="H26" t="s">
        <v>34</v>
      </c>
      <c r="I26">
        <f>VLOOKUP(H26,$A$1:F$161,I$2,0)</f>
        <v>34.35</v>
      </c>
      <c r="J26">
        <f>VLOOKUP(H26,$A$1:F$161,J$2,0)</f>
        <v>24.19</v>
      </c>
      <c r="K26">
        <f>VLOOKUP(H26,$A$1:F$161,K$2,0)</f>
        <v>4.58</v>
      </c>
      <c r="L26">
        <f>VLOOKUP(H26,$A$1:F$161,L$2,0)</f>
        <v>7.62</v>
      </c>
      <c r="M26">
        <f>VLOOKUP(H26,$A$1:F$161,M$2,0)</f>
        <v>9.25</v>
      </c>
    </row>
    <row r="27" spans="1:13" x14ac:dyDescent="0.25">
      <c r="A27" t="s">
        <v>25</v>
      </c>
      <c r="B27">
        <v>2382.59</v>
      </c>
      <c r="C27">
        <v>2175.8000000000002</v>
      </c>
      <c r="D27">
        <v>1841.08</v>
      </c>
      <c r="E27">
        <v>1611.43</v>
      </c>
      <c r="F27">
        <v>1249.83</v>
      </c>
      <c r="H27" t="s">
        <v>35</v>
      </c>
      <c r="I27">
        <f>VLOOKUP(H27,$A$1:F$161,I$2,0)</f>
        <v>1195.6300000000001</v>
      </c>
      <c r="J27">
        <f>VLOOKUP(H27,$A$1:F$161,J$2,0)</f>
        <v>1095.9100000000001</v>
      </c>
      <c r="K27">
        <f>VLOOKUP(H27,$A$1:F$161,K$2,0)</f>
        <v>1049.8800000000001</v>
      </c>
      <c r="L27">
        <f>VLOOKUP(H27,$A$1:F$161,L$2,0)</f>
        <v>884.45</v>
      </c>
      <c r="M27">
        <f>VLOOKUP(H27,$A$1:F$161,M$2,0)</f>
        <v>688.09</v>
      </c>
    </row>
    <row r="28" spans="1:13" x14ac:dyDescent="0.25">
      <c r="A28" t="s">
        <v>26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ht="24" customHeight="1" x14ac:dyDescent="0.25">
      <c r="A29" t="s">
        <v>27</v>
      </c>
      <c r="H29" t="s">
        <v>38</v>
      </c>
      <c r="I29">
        <f>VLOOKUP(H29,$A$1:F$161,I$2,0)</f>
        <v>673.25</v>
      </c>
      <c r="J29">
        <f>VLOOKUP(H29,$A$1:F$161,J$2,0)</f>
        <v>422.14</v>
      </c>
      <c r="K29">
        <f>VLOOKUP(H29,$A$1:F$161,K$2,0)</f>
        <v>447.74</v>
      </c>
      <c r="L29">
        <f>VLOOKUP(H29,$A$1:F$161,L$2,0)</f>
        <v>382.43</v>
      </c>
      <c r="M29">
        <f>VLOOKUP(H29,$A$1:F$161,M$2,0)</f>
        <v>313.93</v>
      </c>
    </row>
    <row r="30" spans="1:13" ht="24" customHeight="1" x14ac:dyDescent="0.25">
      <c r="A30" t="s">
        <v>28</v>
      </c>
      <c r="B30">
        <v>958.66</v>
      </c>
      <c r="C30">
        <v>904.73</v>
      </c>
      <c r="D30">
        <v>940.03</v>
      </c>
      <c r="E30">
        <v>800.45</v>
      </c>
      <c r="F30">
        <v>469.81</v>
      </c>
      <c r="H30" t="s">
        <v>39</v>
      </c>
      <c r="I30">
        <f>VLOOKUP(H30,$A$1:F$161,I$2,0)</f>
        <v>250.79</v>
      </c>
      <c r="J30">
        <f>VLOOKUP(H30,$A$1:F$161,J$2,0)</f>
        <v>181.46</v>
      </c>
      <c r="K30">
        <f>VLOOKUP(H30,$A$1:F$161,K$2,0)</f>
        <v>172.08</v>
      </c>
      <c r="L30">
        <f>VLOOKUP(H30,$A$1:F$161,L$2,0)</f>
        <v>222.57</v>
      </c>
      <c r="M30">
        <f>VLOOKUP(H30,$A$1:F$161,M$2,0)</f>
        <v>173.45</v>
      </c>
    </row>
    <row r="31" spans="1:13" x14ac:dyDescent="0.25">
      <c r="A31" t="s">
        <v>106</v>
      </c>
      <c r="B31">
        <v>28.6</v>
      </c>
      <c r="C31">
        <v>33.33</v>
      </c>
      <c r="D31">
        <v>40.98</v>
      </c>
      <c r="E31">
        <v>47.69</v>
      </c>
      <c r="F31">
        <v>55.05</v>
      </c>
      <c r="H31" t="s">
        <v>40</v>
      </c>
      <c r="I31">
        <f>VLOOKUP(H31,$A$1:F$161,I$2,0)</f>
        <v>12.5</v>
      </c>
      <c r="J31">
        <f>VLOOKUP(H31,$A$1:F$161,J$2,0)</f>
        <v>7.69</v>
      </c>
      <c r="K31">
        <f>VLOOKUP(H31,$A$1:F$161,K$2,0)</f>
        <v>4.09</v>
      </c>
      <c r="L31">
        <f>VLOOKUP(H31,$A$1:F$161,L$2,0)</f>
        <v>2.2200000000000002</v>
      </c>
      <c r="M31">
        <f>VLOOKUP(H31,$A$1:F$161,M$2,0)</f>
        <v>4</v>
      </c>
    </row>
    <row r="32" spans="1:13" x14ac:dyDescent="0.25">
      <c r="A32" t="s">
        <v>29</v>
      </c>
      <c r="B32">
        <v>145.18</v>
      </c>
      <c r="C32">
        <v>112.23</v>
      </c>
      <c r="D32">
        <v>43.81</v>
      </c>
      <c r="E32">
        <v>10.17</v>
      </c>
      <c r="F32">
        <v>136.44</v>
      </c>
      <c r="H32" t="s">
        <v>41</v>
      </c>
      <c r="I32">
        <f>VLOOKUP(H32,$A$1:F$161,I$2,0)</f>
        <v>0.43</v>
      </c>
      <c r="J32">
        <f>VLOOKUP(H32,$A$1:F$161,J$2,0)</f>
        <v>0.41</v>
      </c>
      <c r="K32">
        <f>VLOOKUP(H32,$A$1:F$161,K$2,0)</f>
        <v>0.28000000000000003</v>
      </c>
      <c r="L32">
        <f>VLOOKUP(H32,$A$1:F$161,L$2,0)</f>
        <v>0.39</v>
      </c>
      <c r="M32">
        <f>VLOOKUP(H32,$A$1:F$161,M$2,0)</f>
        <v>0.39</v>
      </c>
    </row>
    <row r="33" spans="1:13" x14ac:dyDescent="0.25">
      <c r="A33" t="s">
        <v>120</v>
      </c>
      <c r="B33">
        <v>3.78</v>
      </c>
      <c r="C33">
        <v>5.8</v>
      </c>
      <c r="D33">
        <v>1.79</v>
      </c>
      <c r="E33">
        <v>1.23</v>
      </c>
      <c r="F33">
        <v>1.1399999999999999</v>
      </c>
      <c r="H33" t="s">
        <v>42</v>
      </c>
      <c r="I33">
        <f>VLOOKUP(H33,$A$1:F$161,I$2,0)</f>
        <v>80.72</v>
      </c>
      <c r="J33">
        <f>VLOOKUP(H33,$A$1:F$161,J$2,0)</f>
        <v>130.21</v>
      </c>
      <c r="K33">
        <f>VLOOKUP(H33,$A$1:F$161,K$2,0)</f>
        <v>167.01</v>
      </c>
      <c r="L33">
        <f>VLOOKUP(H33,$A$1:F$161,L$2,0)</f>
        <v>119.37</v>
      </c>
      <c r="M33">
        <f>VLOOKUP(H33,$A$1:F$161,M$2,0)</f>
        <v>69.47</v>
      </c>
    </row>
    <row r="34" spans="1:13" x14ac:dyDescent="0.25">
      <c r="A34" t="s">
        <v>30</v>
      </c>
      <c r="B34">
        <v>1136.22</v>
      </c>
      <c r="C34">
        <v>1056.0899999999999</v>
      </c>
      <c r="D34">
        <v>1026.6099999999999</v>
      </c>
      <c r="E34">
        <v>859.54</v>
      </c>
      <c r="F34">
        <v>662.44</v>
      </c>
      <c r="H34" t="s">
        <v>43</v>
      </c>
      <c r="I34">
        <f>VLOOKUP(H34,$A$1:F$161,I$2,0)</f>
        <v>1186.96</v>
      </c>
      <c r="J34">
        <f>VLOOKUP(H34,$A$1:F$161,J$2,0)</f>
        <v>1079.8900000000001</v>
      </c>
      <c r="K34">
        <f>VLOOKUP(H34,$A$1:F$161,K$2,0)</f>
        <v>791.2</v>
      </c>
      <c r="L34">
        <f>VLOOKUP(H34,$A$1:F$161,L$2,0)</f>
        <v>726.98</v>
      </c>
      <c r="M34">
        <f>VLOOKUP(H34,$A$1:F$161,M$2,0)</f>
        <v>561.74</v>
      </c>
    </row>
    <row r="35" spans="1:13" x14ac:dyDescent="0.25">
      <c r="A35" t="s">
        <v>31</v>
      </c>
      <c r="B35">
        <v>24.98</v>
      </c>
      <c r="C35">
        <v>0.2</v>
      </c>
      <c r="D35">
        <v>0.2</v>
      </c>
      <c r="E35">
        <v>0.2</v>
      </c>
      <c r="F35">
        <v>0.2</v>
      </c>
      <c r="H35" t="s">
        <v>44</v>
      </c>
      <c r="I35">
        <f>VLOOKUP(H35,$A$1:F$161,I$2,0)</f>
        <v>2382.59</v>
      </c>
      <c r="J35">
        <f>VLOOKUP(H35,$A$1:F$161,J$2,0)</f>
        <v>2175.8000000000002</v>
      </c>
      <c r="K35">
        <f>VLOOKUP(H35,$A$1:F$161,K$2,0)</f>
        <v>1841.08</v>
      </c>
      <c r="L35">
        <f>VLOOKUP(H35,$A$1:F$161,L$2,0)</f>
        <v>1611.43</v>
      </c>
      <c r="M35">
        <f>VLOOKUP(H35,$A$1:F$161,M$2,0)</f>
        <v>1249.83</v>
      </c>
    </row>
    <row r="36" spans="1:13" x14ac:dyDescent="0.25">
      <c r="A36" t="s">
        <v>33</v>
      </c>
      <c r="B36">
        <v>0.08</v>
      </c>
      <c r="C36">
        <v>15.43</v>
      </c>
      <c r="D36">
        <v>18.489999999999998</v>
      </c>
      <c r="E36">
        <v>17.09</v>
      </c>
      <c r="F36">
        <v>16.2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34</v>
      </c>
      <c r="B37">
        <v>34.35</v>
      </c>
      <c r="C37">
        <v>24.19</v>
      </c>
      <c r="D37">
        <v>4.58</v>
      </c>
      <c r="E37">
        <v>7.62</v>
      </c>
      <c r="F37">
        <v>9.25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35</v>
      </c>
      <c r="B38">
        <v>1195.6300000000001</v>
      </c>
      <c r="C38">
        <v>1095.9100000000001</v>
      </c>
      <c r="D38">
        <v>1049.8800000000001</v>
      </c>
      <c r="E38">
        <v>884.45</v>
      </c>
      <c r="F38">
        <v>688.09</v>
      </c>
      <c r="H38" t="s">
        <v>47</v>
      </c>
      <c r="I38">
        <f>VLOOKUP(H38,$A$1:F$161,I$2,0)</f>
        <v>267.89</v>
      </c>
      <c r="J38">
        <f>VLOOKUP(H38,$A$1:F$161,J$2,0)</f>
        <v>241.94</v>
      </c>
      <c r="K38">
        <f>VLOOKUP(H38,$A$1:F$161,K$2,0)</f>
        <v>243.25</v>
      </c>
      <c r="L38">
        <f>VLOOKUP(H38,$A$1:F$161,L$2,0)</f>
        <v>169.49</v>
      </c>
      <c r="M38">
        <f>VLOOKUP(H38,$A$1:F$161,M$2,0)</f>
        <v>201.42</v>
      </c>
    </row>
    <row r="39" spans="1:13" ht="15" customHeight="1" x14ac:dyDescent="0.25">
      <c r="A39" t="s">
        <v>36</v>
      </c>
      <c r="H39" t="s">
        <v>62</v>
      </c>
      <c r="I39">
        <f>VLOOKUP(H39,$A$1:F$161,I$2,0)</f>
        <v>169.27</v>
      </c>
      <c r="J39">
        <f>VLOOKUP(H39,$A$1:F$161,J$2,0)</f>
        <v>337.98</v>
      </c>
      <c r="K39">
        <f>VLOOKUP(H39,$A$1:F$161,K$2,0)</f>
        <v>0</v>
      </c>
      <c r="L39">
        <f>VLOOKUP(H39,$A$1:F$161,L$2,0)</f>
        <v>0</v>
      </c>
      <c r="M39">
        <f>VLOOKUP(H39,$A$1:F$161,M$2,0)</f>
        <v>0.5</v>
      </c>
    </row>
    <row r="40" spans="1:13" x14ac:dyDescent="0.25">
      <c r="A40" t="s">
        <v>37</v>
      </c>
      <c r="B40">
        <v>169.27</v>
      </c>
      <c r="C40">
        <v>337.98</v>
      </c>
      <c r="D40">
        <v>0</v>
      </c>
      <c r="E40">
        <v>0</v>
      </c>
      <c r="F40">
        <v>0.5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38</v>
      </c>
      <c r="B41">
        <v>673.25</v>
      </c>
      <c r="C41">
        <v>422.14</v>
      </c>
      <c r="D41">
        <v>447.74</v>
      </c>
      <c r="E41">
        <v>382.43</v>
      </c>
      <c r="F41">
        <v>313.93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>
        <f>VLOOKUP(H41,$A$1:F$161,M$2,0)</f>
        <v>0.5</v>
      </c>
    </row>
    <row r="42" spans="1:13" x14ac:dyDescent="0.25">
      <c r="A42" t="s">
        <v>39</v>
      </c>
      <c r="B42">
        <v>250.79</v>
      </c>
      <c r="C42">
        <v>181.46</v>
      </c>
      <c r="D42">
        <v>172.08</v>
      </c>
      <c r="E42">
        <v>222.57</v>
      </c>
      <c r="F42">
        <v>173.45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40</v>
      </c>
      <c r="B43">
        <v>12.5</v>
      </c>
      <c r="C43">
        <v>7.69</v>
      </c>
      <c r="D43">
        <v>4.09</v>
      </c>
      <c r="E43">
        <v>2.2200000000000002</v>
      </c>
      <c r="F43">
        <v>4</v>
      </c>
      <c r="H43" t="s">
        <v>68</v>
      </c>
      <c r="I43">
        <f>VLOOKUP(H43,$A$1:F$161,I$2,0)</f>
        <v>2636.13</v>
      </c>
      <c r="J43">
        <f>VLOOKUP(H43,$A$1:F$161,J$2,0)</f>
        <v>2345.58</v>
      </c>
      <c r="K43">
        <f>VLOOKUP(H43,$A$1:F$161,K$2,0)</f>
        <v>2392.9299999999998</v>
      </c>
      <c r="L43">
        <f>VLOOKUP(H43,$A$1:F$161,L$2,0)</f>
        <v>2276.94</v>
      </c>
      <c r="M43">
        <f>VLOOKUP(H43,$A$1:F$161,M$2,0)</f>
        <v>1939.26</v>
      </c>
    </row>
    <row r="44" spans="1:13" x14ac:dyDescent="0.25">
      <c r="A44" t="s">
        <v>41</v>
      </c>
      <c r="B44">
        <v>0.43</v>
      </c>
      <c r="C44">
        <v>0.41</v>
      </c>
      <c r="D44">
        <v>0.28000000000000003</v>
      </c>
      <c r="E44">
        <v>0.39</v>
      </c>
      <c r="F44">
        <v>0.39</v>
      </c>
      <c r="H44" t="s">
        <v>70</v>
      </c>
      <c r="I44">
        <f>VLOOKUP(H44,$A$1:F$161,I$2,0)</f>
        <v>2636.13</v>
      </c>
      <c r="J44">
        <f>VLOOKUP(H44,$A$1:F$161,J$2,0)</f>
        <v>2345.58</v>
      </c>
      <c r="K44">
        <f>VLOOKUP(H44,$A$1:F$161,K$2,0)</f>
        <v>2392.9299999999998</v>
      </c>
      <c r="L44">
        <f>VLOOKUP(H44,$A$1:F$161,L$2,0)</f>
        <v>2276.94</v>
      </c>
      <c r="M44">
        <f>VLOOKUP(H44,$A$1:F$161,M$2,0)</f>
        <v>1931.74</v>
      </c>
    </row>
    <row r="45" spans="1:13" ht="24" customHeight="1" x14ac:dyDescent="0.25">
      <c r="A45" t="s">
        <v>42</v>
      </c>
      <c r="B45">
        <v>80.72</v>
      </c>
      <c r="C45">
        <v>130.21</v>
      </c>
      <c r="D45">
        <v>167.01</v>
      </c>
      <c r="E45">
        <v>119.37</v>
      </c>
      <c r="F45">
        <v>69.47</v>
      </c>
      <c r="H45" t="s">
        <v>71</v>
      </c>
      <c r="I45">
        <f>VLOOKUP(H45,$A$1:F$161,I$2,0)</f>
        <v>17.14</v>
      </c>
      <c r="J45">
        <f>VLOOKUP(H45,$A$1:F$161,J$2,0)</f>
        <v>13.57</v>
      </c>
      <c r="K45">
        <f>VLOOKUP(H45,$A$1:F$161,K$2,0)</f>
        <v>17.55</v>
      </c>
      <c r="L45">
        <f>VLOOKUP(H45,$A$1:F$161,L$2,0)</f>
        <v>15.14</v>
      </c>
      <c r="M45">
        <f>VLOOKUP(H45,$A$1:F$161,M$2,0)</f>
        <v>9.31</v>
      </c>
    </row>
    <row r="46" spans="1:13" x14ac:dyDescent="0.25">
      <c r="A46" t="s">
        <v>43</v>
      </c>
      <c r="B46">
        <v>1186.96</v>
      </c>
      <c r="C46">
        <v>1079.8900000000001</v>
      </c>
      <c r="D46">
        <v>791.2</v>
      </c>
      <c r="E46">
        <v>726.98</v>
      </c>
      <c r="F46">
        <v>561.74</v>
      </c>
      <c r="H46" t="s">
        <v>72</v>
      </c>
      <c r="I46">
        <f>VLOOKUP(H46,$A$1:F$161,I$2,0)</f>
        <v>2653.27</v>
      </c>
      <c r="J46">
        <f>VLOOKUP(H46,$A$1:F$161,J$2,0)</f>
        <v>2359.15</v>
      </c>
      <c r="K46">
        <f>VLOOKUP(H46,$A$1:F$161,K$2,0)</f>
        <v>2410.48</v>
      </c>
      <c r="L46">
        <f>VLOOKUP(H46,$A$1:F$161,L$2,0)</f>
        <v>2292.08</v>
      </c>
      <c r="M46">
        <f>VLOOKUP(H46,$A$1:F$161,M$2,0)</f>
        <v>1941.05</v>
      </c>
    </row>
    <row r="47" spans="1:13" x14ac:dyDescent="0.25">
      <c r="A47" t="s">
        <v>44</v>
      </c>
      <c r="B47">
        <v>2382.59</v>
      </c>
      <c r="C47">
        <v>2175.8000000000002</v>
      </c>
      <c r="D47">
        <v>1841.08</v>
      </c>
      <c r="E47">
        <v>1611.43</v>
      </c>
      <c r="F47">
        <v>1249.83</v>
      </c>
      <c r="H47" t="s">
        <v>73</v>
      </c>
      <c r="I47">
        <f>VLOOKUP(H47,$A$1:F$161,I$2,0)</f>
        <v>23.72</v>
      </c>
      <c r="J47">
        <f>VLOOKUP(H47,$A$1:F$161,J$2,0)</f>
        <v>22.77</v>
      </c>
      <c r="K47">
        <f>VLOOKUP(H47,$A$1:F$161,K$2,0)</f>
        <v>9.0500000000000007</v>
      </c>
      <c r="L47">
        <f>VLOOKUP(H47,$A$1:F$161,L$2,0)</f>
        <v>12.98</v>
      </c>
      <c r="M47">
        <f>VLOOKUP(H47,$A$1:F$161,M$2,0)</f>
        <v>4.46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2676.99</v>
      </c>
      <c r="J48">
        <f>VLOOKUP(H48,$A$1:F$161,J$2,0)</f>
        <v>2381.92</v>
      </c>
      <c r="K48">
        <f>VLOOKUP(H48,$A$1:F$161,K$2,0)</f>
        <v>2419.5300000000002</v>
      </c>
      <c r="L48">
        <f>VLOOKUP(H48,$A$1:F$161,L$2,0)</f>
        <v>2305.06</v>
      </c>
      <c r="M48">
        <f>VLOOKUP(H48,$A$1:F$161,M$2,0)</f>
        <v>1945.51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267.89</v>
      </c>
      <c r="C50">
        <v>241.94</v>
      </c>
      <c r="D50">
        <v>243.25</v>
      </c>
      <c r="E50">
        <v>169.49</v>
      </c>
      <c r="F50">
        <v>201.42</v>
      </c>
      <c r="H50" t="s">
        <v>76</v>
      </c>
      <c r="I50">
        <f>VLOOKUP(H50,$A$1:F$161,I$2,0)</f>
        <v>1307.8800000000001</v>
      </c>
      <c r="J50">
        <f>VLOOKUP(H50,$A$1:F$161,J$2,0)</f>
        <v>863.85</v>
      </c>
      <c r="K50">
        <f>VLOOKUP(H50,$A$1:F$161,K$2,0)</f>
        <v>930.78</v>
      </c>
      <c r="L50">
        <f>VLOOKUP(H50,$A$1:F$161,L$2,0)</f>
        <v>912.6</v>
      </c>
      <c r="M50">
        <f>VLOOKUP(H50,$A$1:F$161,M$2,0)</f>
        <v>705.69</v>
      </c>
    </row>
    <row r="51" spans="1:13" ht="24" customHeight="1" x14ac:dyDescent="0.25">
      <c r="A51" t="s">
        <v>48</v>
      </c>
      <c r="H51" t="s">
        <v>77</v>
      </c>
      <c r="I51">
        <f>VLOOKUP(H51,$A$1:F$161,I$2,0)</f>
        <v>81.13</v>
      </c>
      <c r="J51">
        <f>VLOOKUP(H51,$A$1:F$161,J$2,0)</f>
        <v>95.28</v>
      </c>
      <c r="K51">
        <f>VLOOKUP(H51,$A$1:F$161,K$2,0)</f>
        <v>162.08000000000001</v>
      </c>
      <c r="L51">
        <f>VLOOKUP(H51,$A$1:F$161,L$2,0)</f>
        <v>217.53</v>
      </c>
      <c r="M51">
        <f>VLOOKUP(H51,$A$1:F$161,M$2,0)</f>
        <v>190.94</v>
      </c>
    </row>
    <row r="52" spans="1:13" ht="24" customHeight="1" x14ac:dyDescent="0.25">
      <c r="A52" t="s">
        <v>49</v>
      </c>
      <c r="H52" t="s">
        <v>78</v>
      </c>
      <c r="I52">
        <f>VLOOKUP(H52,$A$1:F$161,I$2,0)</f>
        <v>-172.31</v>
      </c>
      <c r="J52">
        <f>VLOOKUP(H52,$A$1:F$161,J$2,0)</f>
        <v>44.15</v>
      </c>
      <c r="K52">
        <f>VLOOKUP(H52,$A$1:F$161,K$2,0)</f>
        <v>-53.54</v>
      </c>
      <c r="L52">
        <f>VLOOKUP(H52,$A$1:F$161,L$2,0)</f>
        <v>-57.81</v>
      </c>
      <c r="M52">
        <f>VLOOKUP(H52,$A$1:F$161,M$2,0)</f>
        <v>-13.62</v>
      </c>
    </row>
    <row r="53" spans="1:13" x14ac:dyDescent="0.25">
      <c r="A53" t="s">
        <v>50</v>
      </c>
      <c r="B53">
        <v>565.61</v>
      </c>
      <c r="C53">
        <v>299.94</v>
      </c>
      <c r="D53">
        <v>377.03</v>
      </c>
      <c r="E53">
        <v>446.6</v>
      </c>
      <c r="F53">
        <v>312.04000000000002</v>
      </c>
      <c r="H53" t="s">
        <v>79</v>
      </c>
      <c r="I53">
        <f>VLOOKUP(H53,$A$1:F$161,I$2,0)</f>
        <v>334.69</v>
      </c>
      <c r="J53">
        <f>VLOOKUP(H53,$A$1:F$161,J$2,0)</f>
        <v>301.39</v>
      </c>
      <c r="K53">
        <f>VLOOKUP(H53,$A$1:F$161,K$2,0)</f>
        <v>293.99</v>
      </c>
      <c r="L53">
        <f>VLOOKUP(H53,$A$1:F$161,L$2,0)</f>
        <v>258.66000000000003</v>
      </c>
      <c r="M53">
        <f>VLOOKUP(H53,$A$1:F$161,M$2,0)</f>
        <v>214.08</v>
      </c>
    </row>
    <row r="54" spans="1:13" ht="48" customHeight="1" x14ac:dyDescent="0.25">
      <c r="A54" t="s">
        <v>51</v>
      </c>
      <c r="H54" t="s">
        <v>80</v>
      </c>
      <c r="I54">
        <f>VLOOKUP(H54,$A$1:F$161,I$2,0)</f>
        <v>15.33</v>
      </c>
      <c r="J54">
        <f>VLOOKUP(H54,$A$1:F$161,J$2,0)</f>
        <v>17.079999999999998</v>
      </c>
      <c r="K54">
        <f>VLOOKUP(H54,$A$1:F$161,K$2,0)</f>
        <v>16.87</v>
      </c>
      <c r="L54">
        <f>VLOOKUP(H54,$A$1:F$161,L$2,0)</f>
        <v>6.9</v>
      </c>
      <c r="M54">
        <f>VLOOKUP(H54,$A$1:F$161,M$2,0)</f>
        <v>8.59</v>
      </c>
    </row>
    <row r="55" spans="1:13" x14ac:dyDescent="0.25">
      <c r="A55" t="s">
        <v>52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54</v>
      </c>
      <c r="H56" t="s">
        <v>82</v>
      </c>
      <c r="I56">
        <f>VLOOKUP(H56,$A$1:F$161,I$2,0)</f>
        <v>113.54</v>
      </c>
      <c r="J56">
        <f>VLOOKUP(H56,$A$1:F$161,J$2,0)</f>
        <v>110.02</v>
      </c>
      <c r="K56">
        <f>VLOOKUP(H56,$A$1:F$161,K$2,0)</f>
        <v>109.42</v>
      </c>
      <c r="L56">
        <f>VLOOKUP(H56,$A$1:F$161,L$2,0)</f>
        <v>62.41</v>
      </c>
      <c r="M56">
        <f>VLOOKUP(H56,$A$1:F$161,M$2,0)</f>
        <v>54.34</v>
      </c>
    </row>
    <row r="57" spans="1:13" x14ac:dyDescent="0.25">
      <c r="A57" t="s">
        <v>55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686.13</v>
      </c>
      <c r="J57">
        <f>VLOOKUP(H57,$A$1:F$161,J$2,0)</f>
        <v>558.99</v>
      </c>
      <c r="K57">
        <f>VLOOKUP(H57,$A$1:F$161,K$2,0)</f>
        <v>668.22</v>
      </c>
      <c r="L57">
        <f>VLOOKUP(H57,$A$1:F$161,L$2,0)</f>
        <v>636.79</v>
      </c>
      <c r="M57">
        <f>VLOOKUP(H57,$A$1:F$161,M$2,0)</f>
        <v>541.87</v>
      </c>
    </row>
    <row r="58" spans="1:13" x14ac:dyDescent="0.25">
      <c r="A58" t="s">
        <v>56</v>
      </c>
      <c r="B58">
        <v>105.14</v>
      </c>
      <c r="C58">
        <v>89.66</v>
      </c>
      <c r="D58">
        <v>91.37</v>
      </c>
      <c r="E58">
        <v>87.18</v>
      </c>
      <c r="F58">
        <v>45.64</v>
      </c>
      <c r="H58" t="s">
        <v>84</v>
      </c>
      <c r="I58">
        <f>VLOOKUP(H58,$A$1:F$161,I$2,0)</f>
        <v>2366.39</v>
      </c>
      <c r="J58">
        <f>VLOOKUP(H58,$A$1:F$161,J$2,0)</f>
        <v>1990.76</v>
      </c>
      <c r="K58">
        <f>VLOOKUP(H58,$A$1:F$161,K$2,0)</f>
        <v>2127.8200000000002</v>
      </c>
      <c r="L58">
        <f>VLOOKUP(H58,$A$1:F$161,L$2,0)</f>
        <v>2037.08</v>
      </c>
      <c r="M58">
        <f>VLOOKUP(H58,$A$1:F$161,M$2,0)</f>
        <v>1701.89</v>
      </c>
    </row>
    <row r="59" spans="1:13" ht="15" customHeight="1" x14ac:dyDescent="0.25">
      <c r="A59" t="s">
        <v>57</v>
      </c>
      <c r="H59" t="s">
        <v>85</v>
      </c>
      <c r="I59">
        <f>VLOOKUP(H59,$A$1:F$161,I$2,0)</f>
        <v>310.60000000000002</v>
      </c>
      <c r="J59">
        <f>VLOOKUP(H59,$A$1:F$161,J$2,0)</f>
        <v>391.16</v>
      </c>
      <c r="K59">
        <f>VLOOKUP(H59,$A$1:F$161,K$2,0)</f>
        <v>291.70999999999998</v>
      </c>
      <c r="L59">
        <f>VLOOKUP(H59,$A$1:F$161,L$2,0)</f>
        <v>267.98</v>
      </c>
      <c r="M59">
        <f>VLOOKUP(H59,$A$1:F$161,M$2,0)</f>
        <v>243.62</v>
      </c>
    </row>
    <row r="60" spans="1:13" x14ac:dyDescent="0.25">
      <c r="A60" t="s">
        <v>58</v>
      </c>
      <c r="B60">
        <v>23.53</v>
      </c>
      <c r="C60">
        <v>23.53</v>
      </c>
      <c r="D60">
        <v>23.51</v>
      </c>
      <c r="E60">
        <v>11.11</v>
      </c>
      <c r="F60">
        <v>11.11</v>
      </c>
      <c r="H60" t="s">
        <v>87</v>
      </c>
      <c r="I60">
        <f>VLOOKUP(H60,$A$1:F$161,I$2,0)</f>
        <v>310.60000000000002</v>
      </c>
      <c r="J60">
        <f>VLOOKUP(H60,$A$1:F$161,J$2,0)</f>
        <v>391.16</v>
      </c>
      <c r="K60">
        <f>VLOOKUP(H60,$A$1:F$161,K$2,0)</f>
        <v>291.70999999999998</v>
      </c>
      <c r="L60">
        <f>VLOOKUP(H60,$A$1:F$161,L$2,0)</f>
        <v>267.98</v>
      </c>
      <c r="M60">
        <f>VLOOKUP(H60,$A$1:F$161,M$2,0)</f>
        <v>243.62</v>
      </c>
    </row>
    <row r="61" spans="1:13" ht="24" customHeight="1" x14ac:dyDescent="0.25">
      <c r="A61" t="s">
        <v>59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60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80.84</v>
      </c>
      <c r="J62">
        <f>VLOOKUP(H62,$A$1:F$161,J$2,0)</f>
        <v>102.03</v>
      </c>
      <c r="K62">
        <f>VLOOKUP(H62,$A$1:F$161,K$2,0)</f>
        <v>74.92</v>
      </c>
      <c r="L62">
        <f>VLOOKUP(H62,$A$1:F$161,L$2,0)</f>
        <v>85.64</v>
      </c>
      <c r="M62">
        <f>VLOOKUP(H62,$A$1:F$161,M$2,0)</f>
        <v>81.53</v>
      </c>
    </row>
    <row r="63" spans="1:13" ht="15" customHeight="1" x14ac:dyDescent="0.25">
      <c r="A63" t="s">
        <v>61</v>
      </c>
      <c r="B63">
        <v>0.2</v>
      </c>
      <c r="C63">
        <v>0.2</v>
      </c>
      <c r="D63">
        <v>0.2</v>
      </c>
      <c r="E63">
        <v>0.2</v>
      </c>
      <c r="F63">
        <v>0.2</v>
      </c>
      <c r="H63" t="s">
        <v>90</v>
      </c>
      <c r="I63">
        <f>VLOOKUP(H63,$A$1:F$161,I$2,0)</f>
        <v>-3.06</v>
      </c>
      <c r="J63">
        <f>VLOOKUP(H63,$A$1:F$161,J$2,0)</f>
        <v>-2.4300000000000002</v>
      </c>
      <c r="K63">
        <f>VLOOKUP(H63,$A$1:F$161,K$2,0)</f>
        <v>-9.4600000000000009</v>
      </c>
      <c r="L63">
        <f>VLOOKUP(H63,$A$1:F$161,L$2,0)</f>
        <v>6.9</v>
      </c>
      <c r="M63">
        <f>VLOOKUP(H63,$A$1:F$161,M$2,0)</f>
        <v>1.02</v>
      </c>
    </row>
    <row r="64" spans="1:13" ht="24" customHeight="1" x14ac:dyDescent="0.25">
      <c r="A64" t="s">
        <v>62</v>
      </c>
      <c r="H64" t="s">
        <v>112</v>
      </c>
      <c r="I64">
        <f>VLOOKUP(H64,$A$1:F$161,I$2,0)</f>
        <v>0.14000000000000001</v>
      </c>
      <c r="J64">
        <f>VLOOKUP(H64,$A$1:F$161,J$2,0)</f>
        <v>0</v>
      </c>
      <c r="K64">
        <f>VLOOKUP(H64,$A$1:F$161,K$2,0)</f>
        <v>0</v>
      </c>
      <c r="L64">
        <f>VLOOKUP(H64,$A$1:F$161,L$2,0)</f>
        <v>0</v>
      </c>
      <c r="M64">
        <f>VLOOKUP(H64,$A$1:F$161,M$2,0)</f>
        <v>0</v>
      </c>
    </row>
    <row r="65" spans="1:13" x14ac:dyDescent="0.25">
      <c r="A65" t="s">
        <v>63</v>
      </c>
      <c r="B65" t="s">
        <v>53</v>
      </c>
      <c r="C65" t="s">
        <v>53</v>
      </c>
      <c r="D65" t="s">
        <v>53</v>
      </c>
      <c r="E65" t="s">
        <v>53</v>
      </c>
      <c r="F65" t="s">
        <v>53</v>
      </c>
      <c r="H65" t="s">
        <v>91</v>
      </c>
      <c r="I65">
        <f>VLOOKUP(H65,$A$1:F$161,I$2,0)</f>
        <v>77.92</v>
      </c>
      <c r="J65">
        <f>VLOOKUP(H65,$A$1:F$161,J$2,0)</f>
        <v>99.6</v>
      </c>
      <c r="K65">
        <f>VLOOKUP(H65,$A$1:F$161,K$2,0)</f>
        <v>65.459999999999994</v>
      </c>
      <c r="L65">
        <f>VLOOKUP(H65,$A$1:F$161,L$2,0)</f>
        <v>92.54</v>
      </c>
      <c r="M65">
        <f>VLOOKUP(H65,$A$1:F$161,M$2,0)</f>
        <v>82.55</v>
      </c>
    </row>
    <row r="66" spans="1:13" x14ac:dyDescent="0.25">
      <c r="A66" t="s">
        <v>64</v>
      </c>
      <c r="B66" t="s">
        <v>53</v>
      </c>
      <c r="C66" t="s">
        <v>53</v>
      </c>
      <c r="D66" t="s">
        <v>53</v>
      </c>
      <c r="E66" t="s">
        <v>53</v>
      </c>
      <c r="F66">
        <v>0.5</v>
      </c>
      <c r="H66" t="s">
        <v>92</v>
      </c>
      <c r="I66">
        <f>VLOOKUP(H66,$A$1:F$161,I$2,0)</f>
        <v>232.68</v>
      </c>
      <c r="J66">
        <f>VLOOKUP(H66,$A$1:F$161,J$2,0)</f>
        <v>291.56</v>
      </c>
      <c r="K66">
        <f>VLOOKUP(H66,$A$1:F$161,K$2,0)</f>
        <v>226.25</v>
      </c>
      <c r="L66">
        <f>VLOOKUP(H66,$A$1:F$161,L$2,0)</f>
        <v>175.44</v>
      </c>
      <c r="M66">
        <f>VLOOKUP(H66,$A$1:F$161,M$2,0)</f>
        <v>161.07</v>
      </c>
    </row>
    <row r="67" spans="1:13" x14ac:dyDescent="0.25">
      <c r="H67" t="s">
        <v>93</v>
      </c>
      <c r="I67">
        <f>VLOOKUP(H67,$A$1:F$161,I$2,0)</f>
        <v>232.68</v>
      </c>
      <c r="J67">
        <f>VLOOKUP(H67,$A$1:F$161,J$2,0)</f>
        <v>291.56</v>
      </c>
      <c r="K67">
        <f>VLOOKUP(H67,$A$1:F$161,K$2,0)</f>
        <v>226.25</v>
      </c>
      <c r="L67">
        <f>VLOOKUP(H67,$A$1:F$161,L$2,0)</f>
        <v>175.44</v>
      </c>
      <c r="M67">
        <f>VLOOKUP(H67,$A$1:F$161,M$2,0)</f>
        <v>161.07</v>
      </c>
    </row>
    <row r="68" spans="1:13" x14ac:dyDescent="0.25">
      <c r="H68" t="s">
        <v>94</v>
      </c>
      <c r="I68">
        <f>VLOOKUP(H68,$A$1:F$161,I$2,0)</f>
        <v>232.68</v>
      </c>
      <c r="J68">
        <f>VLOOKUP(H68,$A$1:F$161,J$2,0)</f>
        <v>291.56</v>
      </c>
      <c r="K68">
        <f>VLOOKUP(H68,$A$1:F$161,K$2,0)</f>
        <v>226.25</v>
      </c>
      <c r="L68">
        <f>VLOOKUP(H68,$A$1:F$161,L$2,0)</f>
        <v>175.44</v>
      </c>
      <c r="M68">
        <f>VLOOKUP(H68,$A$1:F$161,M$2,0)</f>
        <v>161.07</v>
      </c>
    </row>
    <row r="69" spans="1:13" x14ac:dyDescent="0.25">
      <c r="H69" t="s">
        <v>101</v>
      </c>
      <c r="I69">
        <f>VLOOKUP(H69,$A$1:F$161,I$2,0)</f>
        <v>62.11</v>
      </c>
      <c r="J69">
        <f>VLOOKUP(H69,$A$1:F$161,J$2,0)</f>
        <v>0</v>
      </c>
      <c r="K69">
        <f>VLOOKUP(H69,$A$1:F$161,K$2,0)</f>
        <v>53.36</v>
      </c>
      <c r="L69">
        <f>VLOOKUP(H69,$A$1:F$161,L$2,0)</f>
        <v>18.05</v>
      </c>
      <c r="M69">
        <f>VLOOKUP(H69,$A$1:F$161,M$2,0)</f>
        <v>12.01</v>
      </c>
    </row>
    <row r="70" spans="1:13" ht="15" customHeight="1" x14ac:dyDescent="0.25">
      <c r="A70" t="s">
        <v>65</v>
      </c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10.96</v>
      </c>
      <c r="L70">
        <f>VLOOKUP(H70,$A$1:F$161,L$2,0)</f>
        <v>3.71</v>
      </c>
      <c r="M70">
        <f>VLOOKUP(H70,$A$1:F$161,M$2,0)</f>
        <v>2.4500000000000002</v>
      </c>
    </row>
    <row r="71" spans="1:13" x14ac:dyDescent="0.25">
      <c r="A71" t="s">
        <v>44</v>
      </c>
      <c r="B71">
        <v>2314.17</v>
      </c>
      <c r="H71" t="s">
        <v>103</v>
      </c>
      <c r="I71">
        <f>VLOOKUP(H71,$A$1:F$161,I$2,0)</f>
        <v>250</v>
      </c>
      <c r="J71">
        <f>VLOOKUP(H71,$A$1:F$161,J$2,0)</f>
        <v>250</v>
      </c>
      <c r="K71">
        <f>VLOOKUP(H71,$A$1:F$161,K$2,0)</f>
        <v>125</v>
      </c>
      <c r="L71">
        <f>VLOOKUP(H71,$A$1:F$161,L$2,0)</f>
        <v>90</v>
      </c>
      <c r="M71">
        <f>VLOOKUP(H71,$A$1:F$161,M$2,0)</f>
        <v>150</v>
      </c>
    </row>
    <row r="72" spans="1:13" ht="24" customHeight="1" x14ac:dyDescent="0.25">
      <c r="A72" t="s">
        <v>45</v>
      </c>
    </row>
    <row r="73" spans="1:13" ht="36" customHeight="1" x14ac:dyDescent="0.25">
      <c r="A73" t="s">
        <v>46</v>
      </c>
    </row>
    <row r="74" spans="1:13" x14ac:dyDescent="0.25">
      <c r="A74" t="s">
        <v>47</v>
      </c>
      <c r="B74">
        <v>5.07</v>
      </c>
    </row>
    <row r="75" spans="1:13" x14ac:dyDescent="0.25">
      <c r="A75" t="s">
        <v>56</v>
      </c>
      <c r="B75">
        <v>0</v>
      </c>
    </row>
    <row r="76" spans="1:13" ht="15" customHeight="1" x14ac:dyDescent="0.25">
      <c r="A76" t="s">
        <v>57</v>
      </c>
    </row>
    <row r="77" spans="1:13" x14ac:dyDescent="0.25">
      <c r="A77" t="s">
        <v>58</v>
      </c>
      <c r="B77">
        <v>14.06</v>
      </c>
    </row>
    <row r="78" spans="1:13" ht="24" customHeight="1" x14ac:dyDescent="0.25">
      <c r="A78" t="s">
        <v>59</v>
      </c>
    </row>
    <row r="79" spans="1:13" x14ac:dyDescent="0.25">
      <c r="A79" t="s">
        <v>60</v>
      </c>
      <c r="B79">
        <v>0</v>
      </c>
    </row>
    <row r="80" spans="1:13" x14ac:dyDescent="0.25">
      <c r="A80" t="s">
        <v>61</v>
      </c>
      <c r="B80">
        <v>0</v>
      </c>
    </row>
    <row r="81" spans="1:6" ht="24" customHeight="1" x14ac:dyDescent="0.25">
      <c r="A81" t="s">
        <v>62</v>
      </c>
    </row>
    <row r="82" spans="1:6" x14ac:dyDescent="0.25">
      <c r="A82" t="s">
        <v>63</v>
      </c>
      <c r="B82">
        <v>0</v>
      </c>
    </row>
    <row r="83" spans="1:6" x14ac:dyDescent="0.25">
      <c r="A83" t="s">
        <v>64</v>
      </c>
      <c r="B83">
        <v>0</v>
      </c>
    </row>
    <row r="87" spans="1:6" ht="15" customHeight="1" x14ac:dyDescent="0.25">
      <c r="A87" t="s">
        <v>65</v>
      </c>
    </row>
    <row r="90" spans="1:6" x14ac:dyDescent="0.25">
      <c r="A90" t="s">
        <v>122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2636.13</v>
      </c>
      <c r="C97">
        <v>2345.58</v>
      </c>
      <c r="D97">
        <v>2392.9299999999998</v>
      </c>
      <c r="E97">
        <v>2276.94</v>
      </c>
      <c r="F97">
        <v>1939.26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7.52</v>
      </c>
    </row>
    <row r="99" spans="1:6" x14ac:dyDescent="0.25">
      <c r="A99" t="s">
        <v>70</v>
      </c>
      <c r="B99">
        <v>2636.13</v>
      </c>
      <c r="C99">
        <v>2345.58</v>
      </c>
      <c r="D99">
        <v>2392.9299999999998</v>
      </c>
      <c r="E99">
        <v>2276.94</v>
      </c>
      <c r="F99">
        <v>1931.74</v>
      </c>
    </row>
    <row r="100" spans="1:6" x14ac:dyDescent="0.25">
      <c r="A100" t="s">
        <v>71</v>
      </c>
      <c r="B100">
        <v>17.14</v>
      </c>
      <c r="C100">
        <v>13.57</v>
      </c>
      <c r="D100">
        <v>17.55</v>
      </c>
      <c r="E100">
        <v>15.14</v>
      </c>
      <c r="F100">
        <v>9.31</v>
      </c>
    </row>
    <row r="101" spans="1:6" x14ac:dyDescent="0.25">
      <c r="A101" t="s">
        <v>72</v>
      </c>
      <c r="B101">
        <v>2653.27</v>
      </c>
      <c r="C101">
        <v>2359.15</v>
      </c>
      <c r="D101">
        <v>2410.48</v>
      </c>
      <c r="E101">
        <v>2292.08</v>
      </c>
      <c r="F101">
        <v>1941.05</v>
      </c>
    </row>
    <row r="102" spans="1:6" x14ac:dyDescent="0.25">
      <c r="A102" t="s">
        <v>73</v>
      </c>
      <c r="B102">
        <v>23.72</v>
      </c>
      <c r="C102">
        <v>22.77</v>
      </c>
      <c r="D102">
        <v>9.0500000000000007</v>
      </c>
      <c r="E102">
        <v>12.98</v>
      </c>
      <c r="F102">
        <v>4.46</v>
      </c>
    </row>
    <row r="103" spans="1:6" x14ac:dyDescent="0.25">
      <c r="A103" t="s">
        <v>74</v>
      </c>
      <c r="B103">
        <v>2676.99</v>
      </c>
      <c r="C103">
        <v>2381.92</v>
      </c>
      <c r="D103">
        <v>2419.5300000000002</v>
      </c>
      <c r="E103">
        <v>2305.06</v>
      </c>
      <c r="F103">
        <v>1945.51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1307.8800000000001</v>
      </c>
      <c r="C105">
        <v>863.85</v>
      </c>
      <c r="D105">
        <v>930.78</v>
      </c>
      <c r="E105">
        <v>912.6</v>
      </c>
      <c r="F105">
        <v>705.69</v>
      </c>
    </row>
    <row r="106" spans="1:6" x14ac:dyDescent="0.25">
      <c r="A106" t="s">
        <v>77</v>
      </c>
      <c r="B106">
        <v>81.13</v>
      </c>
      <c r="C106">
        <v>95.28</v>
      </c>
      <c r="D106">
        <v>162.08000000000001</v>
      </c>
      <c r="E106">
        <v>217.53</v>
      </c>
      <c r="F106">
        <v>190.94</v>
      </c>
    </row>
    <row r="107" spans="1:6" x14ac:dyDescent="0.25">
      <c r="A107" t="s">
        <v>78</v>
      </c>
      <c r="B107">
        <v>-172.31</v>
      </c>
      <c r="C107">
        <v>44.15</v>
      </c>
      <c r="D107">
        <v>-53.54</v>
      </c>
      <c r="E107">
        <v>-57.81</v>
      </c>
      <c r="F107">
        <v>-13.62</v>
      </c>
    </row>
    <row r="108" spans="1:6" x14ac:dyDescent="0.25">
      <c r="A108" t="s">
        <v>79</v>
      </c>
      <c r="B108">
        <v>334.69</v>
      </c>
      <c r="C108">
        <v>301.39</v>
      </c>
      <c r="D108">
        <v>293.99</v>
      </c>
      <c r="E108">
        <v>258.66000000000003</v>
      </c>
      <c r="F108">
        <v>214.08</v>
      </c>
    </row>
    <row r="109" spans="1:6" x14ac:dyDescent="0.25">
      <c r="A109" t="s">
        <v>80</v>
      </c>
      <c r="B109">
        <v>15.33</v>
      </c>
      <c r="C109">
        <v>17.079999999999998</v>
      </c>
      <c r="D109">
        <v>16.87</v>
      </c>
      <c r="E109">
        <v>6.9</v>
      </c>
      <c r="F109">
        <v>8.59</v>
      </c>
    </row>
    <row r="110" spans="1:6" x14ac:dyDescent="0.25">
      <c r="A110" t="s">
        <v>82</v>
      </c>
      <c r="B110">
        <v>113.54</v>
      </c>
      <c r="C110">
        <v>110.02</v>
      </c>
      <c r="D110">
        <v>109.42</v>
      </c>
      <c r="E110">
        <v>62.41</v>
      </c>
      <c r="F110">
        <v>54.34</v>
      </c>
    </row>
    <row r="111" spans="1:6" x14ac:dyDescent="0.25">
      <c r="A111" t="s">
        <v>83</v>
      </c>
      <c r="B111">
        <v>686.13</v>
      </c>
      <c r="C111">
        <v>558.99</v>
      </c>
      <c r="D111">
        <v>668.22</v>
      </c>
      <c r="E111">
        <v>636.79</v>
      </c>
      <c r="F111">
        <v>541.87</v>
      </c>
    </row>
    <row r="112" spans="1:6" x14ac:dyDescent="0.25">
      <c r="A112" t="s">
        <v>84</v>
      </c>
      <c r="B112">
        <v>2366.39</v>
      </c>
      <c r="C112">
        <v>1990.76</v>
      </c>
      <c r="D112">
        <v>2127.8200000000002</v>
      </c>
      <c r="E112">
        <v>2037.08</v>
      </c>
      <c r="F112">
        <v>1701.89</v>
      </c>
    </row>
    <row r="113" spans="1:6" x14ac:dyDescent="0.25">
      <c r="B113">
        <v>44621</v>
      </c>
      <c r="C113">
        <v>44256</v>
      </c>
      <c r="D113">
        <v>43891</v>
      </c>
      <c r="E113">
        <v>43525</v>
      </c>
      <c r="F113">
        <v>43160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310.60000000000002</v>
      </c>
      <c r="C117">
        <v>391.16</v>
      </c>
      <c r="D117">
        <v>291.70999999999998</v>
      </c>
      <c r="E117">
        <v>267.98</v>
      </c>
      <c r="F117">
        <v>243.62</v>
      </c>
    </row>
    <row r="118" spans="1:6" x14ac:dyDescent="0.25">
      <c r="A118" t="s">
        <v>87</v>
      </c>
      <c r="B118">
        <v>310.60000000000002</v>
      </c>
      <c r="C118">
        <v>391.16</v>
      </c>
      <c r="D118">
        <v>291.70999999999998</v>
      </c>
      <c r="E118">
        <v>267.98</v>
      </c>
      <c r="F118">
        <v>243.62</v>
      </c>
    </row>
    <row r="119" spans="1:6" ht="24" customHeight="1" x14ac:dyDescent="0.25">
      <c r="A119" t="s">
        <v>88</v>
      </c>
    </row>
    <row r="120" spans="1:6" x14ac:dyDescent="0.25">
      <c r="A120" t="s">
        <v>89</v>
      </c>
      <c r="B120">
        <v>80.84</v>
      </c>
      <c r="C120">
        <v>102.03</v>
      </c>
      <c r="D120">
        <v>74.92</v>
      </c>
      <c r="E120">
        <v>85.64</v>
      </c>
      <c r="F120">
        <v>81.53</v>
      </c>
    </row>
    <row r="121" spans="1:6" x14ac:dyDescent="0.25">
      <c r="A121" t="s">
        <v>90</v>
      </c>
      <c r="B121">
        <v>-3.06</v>
      </c>
      <c r="C121">
        <v>-2.4300000000000002</v>
      </c>
      <c r="D121">
        <v>-9.4600000000000009</v>
      </c>
      <c r="E121">
        <v>6.9</v>
      </c>
      <c r="F121">
        <v>1.02</v>
      </c>
    </row>
    <row r="122" spans="1:6" x14ac:dyDescent="0.25">
      <c r="A122" t="s">
        <v>112</v>
      </c>
      <c r="B122">
        <v>0.14000000000000001</v>
      </c>
      <c r="C122">
        <v>0</v>
      </c>
      <c r="D122">
        <v>0</v>
      </c>
      <c r="E122">
        <v>0</v>
      </c>
      <c r="F122">
        <v>0</v>
      </c>
    </row>
    <row r="123" spans="1:6" x14ac:dyDescent="0.25">
      <c r="A123" t="s">
        <v>91</v>
      </c>
      <c r="B123">
        <v>77.92</v>
      </c>
      <c r="C123">
        <v>99.6</v>
      </c>
      <c r="D123">
        <v>65.459999999999994</v>
      </c>
      <c r="E123">
        <v>92.54</v>
      </c>
      <c r="F123">
        <v>82.55</v>
      </c>
    </row>
    <row r="124" spans="1:6" x14ac:dyDescent="0.25">
      <c r="A124" t="s">
        <v>92</v>
      </c>
      <c r="B124">
        <v>232.68</v>
      </c>
      <c r="C124">
        <v>291.56</v>
      </c>
      <c r="D124">
        <v>226.25</v>
      </c>
      <c r="E124">
        <v>175.44</v>
      </c>
      <c r="F124">
        <v>161.07</v>
      </c>
    </row>
    <row r="125" spans="1:6" x14ac:dyDescent="0.25">
      <c r="A125" t="s">
        <v>93</v>
      </c>
      <c r="B125">
        <v>232.68</v>
      </c>
      <c r="C125">
        <v>291.56</v>
      </c>
      <c r="D125">
        <v>226.25</v>
      </c>
      <c r="E125">
        <v>175.44</v>
      </c>
      <c r="F125">
        <v>161.07</v>
      </c>
    </row>
    <row r="126" spans="1:6" x14ac:dyDescent="0.25">
      <c r="A126" t="s">
        <v>94</v>
      </c>
      <c r="B126">
        <v>232.68</v>
      </c>
      <c r="C126">
        <v>291.56</v>
      </c>
      <c r="D126">
        <v>226.25</v>
      </c>
      <c r="E126">
        <v>175.44</v>
      </c>
      <c r="F126">
        <v>161.07</v>
      </c>
    </row>
    <row r="127" spans="1:6" x14ac:dyDescent="0.25">
      <c r="B127">
        <v>44621</v>
      </c>
      <c r="C127">
        <v>44256</v>
      </c>
      <c r="D127">
        <v>43891</v>
      </c>
      <c r="E127">
        <v>43525</v>
      </c>
      <c r="F127">
        <v>43160</v>
      </c>
    </row>
    <row r="129" spans="1:6" x14ac:dyDescent="0.25">
      <c r="B129" t="s">
        <v>5</v>
      </c>
      <c r="C129" t="s">
        <v>5</v>
      </c>
      <c r="D129" t="s">
        <v>5</v>
      </c>
      <c r="E129" t="s">
        <v>5</v>
      </c>
      <c r="F129" t="s">
        <v>5</v>
      </c>
    </row>
    <row r="131" spans="1:6" ht="24" customHeight="1" x14ac:dyDescent="0.25">
      <c r="A131" t="s">
        <v>45</v>
      </c>
    </row>
    <row r="132" spans="1:6" ht="24" customHeight="1" x14ac:dyDescent="0.25">
      <c r="A132" t="s">
        <v>95</v>
      </c>
    </row>
    <row r="133" spans="1:6" x14ac:dyDescent="0.25">
      <c r="A133" t="s">
        <v>96</v>
      </c>
      <c r="B133">
        <v>9.36</v>
      </c>
      <c r="C133">
        <v>11.74</v>
      </c>
      <c r="D133">
        <v>9.1199999999999992</v>
      </c>
      <c r="E133">
        <v>7.07</v>
      </c>
      <c r="F133">
        <v>13.4</v>
      </c>
    </row>
    <row r="134" spans="1:6" x14ac:dyDescent="0.25">
      <c r="A134" t="s">
        <v>97</v>
      </c>
      <c r="B134">
        <v>9.35</v>
      </c>
      <c r="C134">
        <v>11.74</v>
      </c>
      <c r="D134">
        <v>9.1199999999999992</v>
      </c>
      <c r="E134">
        <v>7.06</v>
      </c>
      <c r="F134">
        <v>13.38</v>
      </c>
    </row>
    <row r="135" spans="1:6" ht="36" customHeight="1" x14ac:dyDescent="0.25">
      <c r="A135" t="s">
        <v>98</v>
      </c>
    </row>
    <row r="136" spans="1:6" ht="24" customHeight="1" x14ac:dyDescent="0.25">
      <c r="A136" t="s">
        <v>99</v>
      </c>
    </row>
    <row r="137" spans="1:6" ht="36" customHeight="1" x14ac:dyDescent="0.25">
      <c r="A137" t="s">
        <v>100</v>
      </c>
    </row>
    <row r="138" spans="1:6" x14ac:dyDescent="0.25">
      <c r="A138" t="s">
        <v>101</v>
      </c>
      <c r="B138">
        <v>62.11</v>
      </c>
      <c r="C138">
        <v>0</v>
      </c>
      <c r="D138">
        <v>53.36</v>
      </c>
      <c r="E138">
        <v>18.05</v>
      </c>
      <c r="F138">
        <v>12.01</v>
      </c>
    </row>
    <row r="139" spans="1:6" x14ac:dyDescent="0.25">
      <c r="A139" t="s">
        <v>102</v>
      </c>
      <c r="B139">
        <v>0</v>
      </c>
      <c r="C139">
        <v>0</v>
      </c>
      <c r="D139">
        <v>10.96</v>
      </c>
      <c r="E139">
        <v>3.71</v>
      </c>
      <c r="F139">
        <v>2.4500000000000002</v>
      </c>
    </row>
    <row r="140" spans="1:6" x14ac:dyDescent="0.25">
      <c r="A140" t="s">
        <v>103</v>
      </c>
      <c r="B140">
        <v>250</v>
      </c>
      <c r="C140">
        <v>250</v>
      </c>
      <c r="D140">
        <v>125</v>
      </c>
      <c r="E140">
        <v>90</v>
      </c>
      <c r="F140">
        <v>150</v>
      </c>
    </row>
    <row r="144" spans="1:6" ht="15" customHeight="1" x14ac:dyDescent="0.25">
      <c r="A144" t="s">
        <v>65</v>
      </c>
    </row>
  </sheetData>
  <hyperlinks>
    <hyperlink ref="B1" r:id="rId1" display="javascript:void(0);" xr:uid="{ED90580F-94BD-42B2-96C4-581AEE9F11A6}"/>
    <hyperlink ref="B90" r:id="rId2" display="javascript:void(0);" xr:uid="{5F93D60B-2A93-4C98-9F05-BFAC8BACEE88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C492-34AA-40D1-8BE9-87901E81C446}">
  <sheetPr codeName="Sheet6"/>
  <dimension ref="A1:M135"/>
  <sheetViews>
    <sheetView workbookViewId="0">
      <selection activeCell="H9" sqref="H9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123</v>
      </c>
      <c r="B1" t="s">
        <v>1</v>
      </c>
      <c r="H1" t="str">
        <f>A1</f>
        <v>Bata India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64.260000000000005</v>
      </c>
      <c r="J4">
        <f>VLOOKUP(H4,$A$1:F$161,J$2,0)</f>
        <v>64.260000000000005</v>
      </c>
      <c r="K4">
        <f>VLOOKUP(H4,$A$1:F$161,K$2,0)</f>
        <v>64.260000000000005</v>
      </c>
      <c r="L4">
        <f>VLOOKUP(H4,$A$1:F$161,L$2,0)</f>
        <v>64.260000000000005</v>
      </c>
      <c r="M4">
        <f>VLOOKUP(H4,$A$1:F$161,M$2,0)</f>
        <v>64.260000000000005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64.260000000000005</v>
      </c>
      <c r="J5">
        <f>VLOOKUP(H5,$A$1:F$161,J$2,0)</f>
        <v>64.260000000000005</v>
      </c>
      <c r="K5">
        <f>VLOOKUP(H5,$A$1:F$161,K$2,0)</f>
        <v>64.260000000000005</v>
      </c>
      <c r="L5">
        <f>VLOOKUP(H5,$A$1:F$161,L$2,0)</f>
        <v>64.260000000000005</v>
      </c>
      <c r="M5">
        <f>VLOOKUP(H5,$A$1:F$161,M$2,0)</f>
        <v>64.260000000000005</v>
      </c>
    </row>
    <row r="6" spans="1:13" x14ac:dyDescent="0.25">
      <c r="H6" t="s">
        <v>10</v>
      </c>
      <c r="I6">
        <f>VLOOKUP(H6,$A$1:F$161,I$2,0)</f>
        <v>1749.96</v>
      </c>
      <c r="J6">
        <f>VLOOKUP(H6,$A$1:F$161,J$2,0)</f>
        <v>1695.51</v>
      </c>
      <c r="K6">
        <f>VLOOKUP(H6,$A$1:F$161,K$2,0)</f>
        <v>1832.32</v>
      </c>
      <c r="L6">
        <f>VLOOKUP(H6,$A$1:F$161,L$2,0)</f>
        <v>1682.27</v>
      </c>
      <c r="M6">
        <f>VLOOKUP(H6,$A$1:F$161,M$2,0)</f>
        <v>1414.45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1749.96</v>
      </c>
      <c r="J7">
        <f>VLOOKUP(H7,$A$1:F$161,J$2,0)</f>
        <v>1695.51</v>
      </c>
      <c r="K7">
        <f>VLOOKUP(H7,$A$1:F$161,K$2,0)</f>
        <v>1832.32</v>
      </c>
      <c r="L7">
        <f>VLOOKUP(H7,$A$1:F$161,L$2,0)</f>
        <v>1682.27</v>
      </c>
      <c r="M7">
        <f>VLOOKUP(H7,$A$1:F$161,M$2,0)</f>
        <v>1414.45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1814.23</v>
      </c>
      <c r="J8">
        <f>VLOOKUP(H8,$A$1:F$161,J$2,0)</f>
        <v>1759.77</v>
      </c>
      <c r="K8">
        <f>VLOOKUP(H8,$A$1:F$161,K$2,0)</f>
        <v>1896.58</v>
      </c>
      <c r="L8">
        <f>VLOOKUP(H8,$A$1:F$161,L$2,0)</f>
        <v>1746.53</v>
      </c>
      <c r="M8">
        <f>VLOOKUP(H8,$A$1:F$161,M$2,0)</f>
        <v>1478.71</v>
      </c>
    </row>
    <row r="9" spans="1:13" x14ac:dyDescent="0.25">
      <c r="A9" t="s">
        <v>8</v>
      </c>
      <c r="B9">
        <v>64.260000000000005</v>
      </c>
      <c r="C9">
        <v>64.260000000000005</v>
      </c>
      <c r="D9">
        <v>64.260000000000005</v>
      </c>
      <c r="E9">
        <v>64.260000000000005</v>
      </c>
      <c r="F9">
        <v>64.260000000000005</v>
      </c>
      <c r="H9" t="s">
        <v>14</v>
      </c>
      <c r="I9">
        <f>VLOOKUP(H9,$A$1:F$161,I$2,0)</f>
        <v>891.29</v>
      </c>
      <c r="J9">
        <f>VLOOKUP(H9,$A$1:F$161,J$2,0)</f>
        <v>859.67</v>
      </c>
      <c r="K9">
        <f>VLOOKUP(H9,$A$1:F$161,K$2,0)</f>
        <v>1035.3499999999999</v>
      </c>
      <c r="L9">
        <f>VLOOKUP(H9,$A$1:F$161,L$2,0)</f>
        <v>100.24</v>
      </c>
      <c r="M9">
        <f>VLOOKUP(H9,$A$1:F$161,M$2,0)</f>
        <v>103.74</v>
      </c>
    </row>
    <row r="10" spans="1:13" x14ac:dyDescent="0.25">
      <c r="A10" t="s">
        <v>9</v>
      </c>
      <c r="B10">
        <v>64.260000000000005</v>
      </c>
      <c r="C10">
        <v>64.260000000000005</v>
      </c>
      <c r="D10">
        <v>64.260000000000005</v>
      </c>
      <c r="E10">
        <v>64.260000000000005</v>
      </c>
      <c r="F10">
        <v>64.260000000000005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1749.96</v>
      </c>
      <c r="C11">
        <v>1695.51</v>
      </c>
      <c r="D11">
        <v>1832.32</v>
      </c>
      <c r="E11">
        <v>1682.27</v>
      </c>
      <c r="F11">
        <v>1414.45</v>
      </c>
      <c r="H11" t="s">
        <v>17</v>
      </c>
      <c r="I11">
        <f>VLOOKUP(H11,$A$1:F$161,I$2,0)</f>
        <v>2.0299999999999998</v>
      </c>
      <c r="J11">
        <f>VLOOKUP(H11,$A$1:F$161,J$2,0)</f>
        <v>2.06</v>
      </c>
      <c r="K11">
        <f>VLOOKUP(H11,$A$1:F$161,K$2,0)</f>
        <v>2.5099999999999998</v>
      </c>
      <c r="L11">
        <f>VLOOKUP(H11,$A$1:F$161,L$2,0)</f>
        <v>2.2799999999999998</v>
      </c>
      <c r="M11">
        <f>VLOOKUP(H11,$A$1:F$161,M$2,0)</f>
        <v>2.19</v>
      </c>
    </row>
    <row r="12" spans="1:13" x14ac:dyDescent="0.25">
      <c r="A12" t="s">
        <v>11</v>
      </c>
      <c r="B12">
        <v>1749.96</v>
      </c>
      <c r="C12">
        <v>1695.51</v>
      </c>
      <c r="D12">
        <v>1832.32</v>
      </c>
      <c r="E12">
        <v>1682.27</v>
      </c>
      <c r="F12">
        <v>1414.45</v>
      </c>
      <c r="H12" t="s">
        <v>18</v>
      </c>
      <c r="I12">
        <f>VLOOKUP(H12,$A$1:F$161,I$2,0)</f>
        <v>893.32</v>
      </c>
      <c r="J12">
        <f>VLOOKUP(H12,$A$1:F$161,J$2,0)</f>
        <v>861.73</v>
      </c>
      <c r="K12">
        <f>VLOOKUP(H12,$A$1:F$161,K$2,0)</f>
        <v>1037.8499999999999</v>
      </c>
      <c r="L12">
        <f>VLOOKUP(H12,$A$1:F$161,L$2,0)</f>
        <v>102.52</v>
      </c>
      <c r="M12">
        <f>VLOOKUP(H12,$A$1:F$161,M$2,0)</f>
        <v>105.93</v>
      </c>
    </row>
    <row r="13" spans="1:13" x14ac:dyDescent="0.25">
      <c r="A13" t="s">
        <v>12</v>
      </c>
      <c r="B13">
        <v>1814.23</v>
      </c>
      <c r="C13">
        <v>1759.77</v>
      </c>
      <c r="D13">
        <v>1896.58</v>
      </c>
      <c r="E13">
        <v>1746.53</v>
      </c>
      <c r="F13">
        <v>1478.71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456.08</v>
      </c>
      <c r="J14">
        <f>VLOOKUP(H14,$A$1:F$161,J$2,0)</f>
        <v>439.57</v>
      </c>
      <c r="K14">
        <f>VLOOKUP(H14,$A$1:F$161,K$2,0)</f>
        <v>503.23</v>
      </c>
      <c r="L14">
        <f>VLOOKUP(H14,$A$1:F$161,L$2,0)</f>
        <v>515.65</v>
      </c>
      <c r="M14">
        <f>VLOOKUP(H14,$A$1:F$161,M$2,0)</f>
        <v>479.23</v>
      </c>
    </row>
    <row r="15" spans="1:13" x14ac:dyDescent="0.25">
      <c r="A15" t="s">
        <v>14</v>
      </c>
      <c r="B15">
        <v>891.29</v>
      </c>
      <c r="C15">
        <v>859.67</v>
      </c>
      <c r="D15">
        <v>1035.3499999999999</v>
      </c>
      <c r="E15">
        <v>100.24</v>
      </c>
      <c r="F15">
        <v>103.74</v>
      </c>
      <c r="H15" t="s">
        <v>22</v>
      </c>
      <c r="I15">
        <f>VLOOKUP(H15,$A$1:F$161,I$2,0)</f>
        <v>352.03</v>
      </c>
      <c r="J15">
        <f>VLOOKUP(H15,$A$1:F$161,J$2,0)</f>
        <v>264.32</v>
      </c>
      <c r="K15">
        <f>VLOOKUP(H15,$A$1:F$161,K$2,0)</f>
        <v>289.01</v>
      </c>
      <c r="L15">
        <f>VLOOKUP(H15,$A$1:F$161,L$2,0)</f>
        <v>98.27</v>
      </c>
      <c r="M15">
        <f>VLOOKUP(H15,$A$1:F$161,M$2,0)</f>
        <v>70.67</v>
      </c>
    </row>
    <row r="16" spans="1:13" x14ac:dyDescent="0.25">
      <c r="A16" t="s">
        <v>17</v>
      </c>
      <c r="B16">
        <v>2.0299999999999998</v>
      </c>
      <c r="C16">
        <v>2.06</v>
      </c>
      <c r="D16">
        <v>2.5099999999999998</v>
      </c>
      <c r="E16">
        <v>2.2799999999999998</v>
      </c>
      <c r="F16">
        <v>2.19</v>
      </c>
      <c r="H16" t="s">
        <v>23</v>
      </c>
      <c r="I16">
        <f>VLOOKUP(H16,$A$1:F$161,I$2,0)</f>
        <v>8.98</v>
      </c>
      <c r="J16">
        <f>VLOOKUP(H16,$A$1:F$161,J$2,0)</f>
        <v>8.58</v>
      </c>
      <c r="K16">
        <f>VLOOKUP(H16,$A$1:F$161,K$2,0)</f>
        <v>8.26</v>
      </c>
      <c r="L16">
        <f>VLOOKUP(H16,$A$1:F$161,L$2,0)</f>
        <v>15.67</v>
      </c>
      <c r="M16">
        <f>VLOOKUP(H16,$A$1:F$161,M$2,0)</f>
        <v>10.32</v>
      </c>
    </row>
    <row r="17" spans="1:13" x14ac:dyDescent="0.25">
      <c r="A17" t="s">
        <v>18</v>
      </c>
      <c r="B17">
        <v>893.32</v>
      </c>
      <c r="C17">
        <v>861.73</v>
      </c>
      <c r="D17">
        <v>1037.8499999999999</v>
      </c>
      <c r="E17">
        <v>102.52</v>
      </c>
      <c r="F17">
        <v>105.93</v>
      </c>
      <c r="H17" t="s">
        <v>24</v>
      </c>
      <c r="I17">
        <f>VLOOKUP(H17,$A$1:F$161,I$2,0)</f>
        <v>817.09</v>
      </c>
      <c r="J17">
        <f>VLOOKUP(H17,$A$1:F$161,J$2,0)</f>
        <v>712.47</v>
      </c>
      <c r="K17">
        <f>VLOOKUP(H17,$A$1:F$161,K$2,0)</f>
        <v>800.51</v>
      </c>
      <c r="L17">
        <f>VLOOKUP(H17,$A$1:F$161,L$2,0)</f>
        <v>629.59</v>
      </c>
      <c r="M17">
        <f>VLOOKUP(H17,$A$1:F$161,M$2,0)</f>
        <v>560.22</v>
      </c>
    </row>
    <row r="18" spans="1:13" ht="15" customHeight="1" x14ac:dyDescent="0.25">
      <c r="A18" t="s">
        <v>19</v>
      </c>
      <c r="H18" t="s">
        <v>25</v>
      </c>
      <c r="I18">
        <f>VLOOKUP(H18,$A$1:F$161,I$2,0)</f>
        <v>3524.64</v>
      </c>
      <c r="J18">
        <f>VLOOKUP(H18,$A$1:F$161,J$2,0)</f>
        <v>3333.97</v>
      </c>
      <c r="K18">
        <f>VLOOKUP(H18,$A$1:F$161,K$2,0)</f>
        <v>3734.94</v>
      </c>
      <c r="L18">
        <f>VLOOKUP(H18,$A$1:F$161,L$2,0)</f>
        <v>2478.64</v>
      </c>
      <c r="M18">
        <f>VLOOKUP(H18,$A$1:F$161,M$2,0)</f>
        <v>2144.87</v>
      </c>
    </row>
    <row r="19" spans="1:13" x14ac:dyDescent="0.25">
      <c r="A19" t="s">
        <v>21</v>
      </c>
      <c r="B19">
        <v>456.08</v>
      </c>
      <c r="C19">
        <v>439.57</v>
      </c>
      <c r="D19">
        <v>503.23</v>
      </c>
      <c r="E19">
        <v>515.65</v>
      </c>
      <c r="F19">
        <v>479.23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22</v>
      </c>
      <c r="B20">
        <v>352.03</v>
      </c>
      <c r="C20">
        <v>264.32</v>
      </c>
      <c r="D20">
        <v>289.01</v>
      </c>
      <c r="E20">
        <v>98.27</v>
      </c>
      <c r="F20">
        <v>70.67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23</v>
      </c>
      <c r="B21">
        <v>8.98</v>
      </c>
      <c r="C21">
        <v>8.58</v>
      </c>
      <c r="D21">
        <v>8.26</v>
      </c>
      <c r="E21">
        <v>15.67</v>
      </c>
      <c r="F21">
        <v>10.32</v>
      </c>
      <c r="H21" t="s">
        <v>28</v>
      </c>
      <c r="I21">
        <f>VLOOKUP(H21,$A$1:F$161,I$2,0)</f>
        <v>1207.3</v>
      </c>
      <c r="J21">
        <f>VLOOKUP(H21,$A$1:F$161,J$2,0)</f>
        <v>1110.8800000000001</v>
      </c>
      <c r="K21">
        <f>VLOOKUP(H21,$A$1:F$161,K$2,0)</f>
        <v>1360.49</v>
      </c>
      <c r="L21">
        <f>VLOOKUP(H21,$A$1:F$161,L$2,0)</f>
        <v>310.77999999999997</v>
      </c>
      <c r="M21">
        <f>VLOOKUP(H21,$A$1:F$161,M$2,0)</f>
        <v>292.91000000000003</v>
      </c>
    </row>
    <row r="22" spans="1:13" x14ac:dyDescent="0.25">
      <c r="A22" t="s">
        <v>24</v>
      </c>
      <c r="B22">
        <v>817.09</v>
      </c>
      <c r="C22">
        <v>712.47</v>
      </c>
      <c r="D22">
        <v>800.51</v>
      </c>
      <c r="E22">
        <v>629.59</v>
      </c>
      <c r="F22">
        <v>560.22</v>
      </c>
      <c r="H22" t="s">
        <v>29</v>
      </c>
      <c r="I22">
        <f>VLOOKUP(H22,$A$1:F$161,I$2,0)</f>
        <v>3.72</v>
      </c>
      <c r="J22">
        <f>VLOOKUP(H22,$A$1:F$161,J$2,0)</f>
        <v>33.61</v>
      </c>
      <c r="K22">
        <f>VLOOKUP(H22,$A$1:F$161,K$2,0)</f>
        <v>19.86</v>
      </c>
      <c r="L22">
        <f>VLOOKUP(H22,$A$1:F$161,L$2,0)</f>
        <v>17.25</v>
      </c>
      <c r="M22">
        <f>VLOOKUP(H22,$A$1:F$161,M$2,0)</f>
        <v>12.12</v>
      </c>
    </row>
    <row r="23" spans="1:13" x14ac:dyDescent="0.25">
      <c r="A23" t="s">
        <v>25</v>
      </c>
      <c r="B23">
        <v>3524.64</v>
      </c>
      <c r="C23">
        <v>3333.97</v>
      </c>
      <c r="D23">
        <v>3734.94</v>
      </c>
      <c r="E23">
        <v>2478.64</v>
      </c>
      <c r="F23">
        <v>2144.87</v>
      </c>
      <c r="H23" t="s">
        <v>30</v>
      </c>
      <c r="I23">
        <f>VLOOKUP(H23,$A$1:F$161,I$2,0)</f>
        <v>1229.22</v>
      </c>
      <c r="J23">
        <f>VLOOKUP(H23,$A$1:F$161,J$2,0)</f>
        <v>1151.24</v>
      </c>
      <c r="K23">
        <f>VLOOKUP(H23,$A$1:F$161,K$2,0)</f>
        <v>1387.39</v>
      </c>
      <c r="L23">
        <f>VLOOKUP(H23,$A$1:F$161,L$2,0)</f>
        <v>331.82</v>
      </c>
      <c r="M23">
        <f>VLOOKUP(H23,$A$1:F$161,M$2,0)</f>
        <v>306.58</v>
      </c>
    </row>
    <row r="24" spans="1:13" x14ac:dyDescent="0.25">
      <c r="A24" t="s">
        <v>26</v>
      </c>
      <c r="H24" t="s">
        <v>32</v>
      </c>
      <c r="I24">
        <f>VLOOKUP(H24,$A$1:F$161,I$2,0)</f>
        <v>104.85</v>
      </c>
      <c r="J24">
        <f>VLOOKUP(H24,$A$1:F$161,J$2,0)</f>
        <v>138.4</v>
      </c>
      <c r="K24">
        <f>VLOOKUP(H24,$A$1:F$161,K$2,0)</f>
        <v>110.99</v>
      </c>
      <c r="L24">
        <f>VLOOKUP(H24,$A$1:F$161,L$2,0)</f>
        <v>109.78</v>
      </c>
      <c r="M24">
        <f>VLOOKUP(H24,$A$1:F$161,M$2,0)</f>
        <v>105.39</v>
      </c>
    </row>
    <row r="25" spans="1:13" ht="24" customHeight="1" x14ac:dyDescent="0.25">
      <c r="A25" t="s">
        <v>27</v>
      </c>
      <c r="H25" t="s">
        <v>33</v>
      </c>
      <c r="I25">
        <f>VLOOKUP(H25,$A$1:F$161,I$2,0)</f>
        <v>0</v>
      </c>
      <c r="J25">
        <f>VLOOKUP(H25,$A$1:F$161,J$2,0)</f>
        <v>116.31</v>
      </c>
      <c r="K25">
        <f>VLOOKUP(H25,$A$1:F$161,K$2,0)</f>
        <v>122.94</v>
      </c>
      <c r="L25">
        <f>VLOOKUP(H25,$A$1:F$161,L$2,0)</f>
        <v>108.62</v>
      </c>
      <c r="M25">
        <f>VLOOKUP(H25,$A$1:F$161,M$2,0)</f>
        <v>99.31</v>
      </c>
    </row>
    <row r="26" spans="1:13" x14ac:dyDescent="0.25">
      <c r="A26" t="s">
        <v>28</v>
      </c>
      <c r="B26">
        <v>1207.3</v>
      </c>
      <c r="C26">
        <v>1110.8800000000001</v>
      </c>
      <c r="D26">
        <v>1360.49</v>
      </c>
      <c r="E26">
        <v>310.77999999999997</v>
      </c>
      <c r="F26">
        <v>292.91000000000003</v>
      </c>
      <c r="H26" t="s">
        <v>34</v>
      </c>
      <c r="I26">
        <f>VLOOKUP(H26,$A$1:F$161,I$2,0)</f>
        <v>189.78</v>
      </c>
      <c r="J26">
        <f>VLOOKUP(H26,$A$1:F$161,J$2,0)</f>
        <v>66.040000000000006</v>
      </c>
      <c r="K26">
        <f>VLOOKUP(H26,$A$1:F$161,K$2,0)</f>
        <v>109.08</v>
      </c>
      <c r="L26">
        <f>VLOOKUP(H26,$A$1:F$161,L$2,0)</f>
        <v>86</v>
      </c>
      <c r="M26">
        <f>VLOOKUP(H26,$A$1:F$161,M$2,0)</f>
        <v>81.06</v>
      </c>
    </row>
    <row r="27" spans="1:13" x14ac:dyDescent="0.25">
      <c r="A27" t="s">
        <v>106</v>
      </c>
      <c r="B27">
        <v>16.739999999999998</v>
      </c>
      <c r="C27">
        <v>6.74</v>
      </c>
      <c r="D27">
        <v>7.04</v>
      </c>
      <c r="E27">
        <v>3.79</v>
      </c>
      <c r="F27">
        <v>1.55</v>
      </c>
      <c r="H27" t="s">
        <v>35</v>
      </c>
      <c r="I27">
        <f>VLOOKUP(H27,$A$1:F$161,I$2,0)</f>
        <v>1528.7</v>
      </c>
      <c r="J27">
        <f>VLOOKUP(H27,$A$1:F$161,J$2,0)</f>
        <v>1476.94</v>
      </c>
      <c r="K27">
        <f>VLOOKUP(H27,$A$1:F$161,K$2,0)</f>
        <v>1735.34</v>
      </c>
      <c r="L27">
        <f>VLOOKUP(H27,$A$1:F$161,L$2,0)</f>
        <v>641.16999999999996</v>
      </c>
      <c r="M27">
        <f>VLOOKUP(H27,$A$1:F$161,M$2,0)</f>
        <v>597.28</v>
      </c>
    </row>
    <row r="28" spans="1:13" x14ac:dyDescent="0.25">
      <c r="A28" t="s">
        <v>29</v>
      </c>
      <c r="B28">
        <v>3.72</v>
      </c>
      <c r="C28">
        <v>33.61</v>
      </c>
      <c r="D28">
        <v>19.86</v>
      </c>
      <c r="E28">
        <v>17.25</v>
      </c>
      <c r="F28">
        <v>12.12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120</v>
      </c>
      <c r="B29">
        <v>1.45</v>
      </c>
      <c r="C29">
        <v>0</v>
      </c>
      <c r="D29">
        <v>0</v>
      </c>
      <c r="E29">
        <v>0</v>
      </c>
      <c r="F29">
        <v>0</v>
      </c>
      <c r="H29" t="s">
        <v>38</v>
      </c>
      <c r="I29">
        <f>VLOOKUP(H29,$A$1:F$161,I$2,0)</f>
        <v>870.91</v>
      </c>
      <c r="J29">
        <f>VLOOKUP(H29,$A$1:F$161,J$2,0)</f>
        <v>608.28</v>
      </c>
      <c r="K29">
        <f>VLOOKUP(H29,$A$1:F$161,K$2,0)</f>
        <v>873.68</v>
      </c>
      <c r="L29">
        <f>VLOOKUP(H29,$A$1:F$161,L$2,0)</f>
        <v>839.09</v>
      </c>
      <c r="M29">
        <f>VLOOKUP(H29,$A$1:F$161,M$2,0)</f>
        <v>762.11</v>
      </c>
    </row>
    <row r="30" spans="1:13" x14ac:dyDescent="0.25">
      <c r="A30" t="s">
        <v>30</v>
      </c>
      <c r="B30">
        <v>1229.22</v>
      </c>
      <c r="C30">
        <v>1151.24</v>
      </c>
      <c r="D30">
        <v>1387.39</v>
      </c>
      <c r="E30">
        <v>331.82</v>
      </c>
      <c r="F30">
        <v>306.58</v>
      </c>
      <c r="H30" t="s">
        <v>39</v>
      </c>
      <c r="I30">
        <f>VLOOKUP(H30,$A$1:F$161,I$2,0)</f>
        <v>71.72</v>
      </c>
      <c r="J30">
        <f>VLOOKUP(H30,$A$1:F$161,J$2,0)</f>
        <v>79.37</v>
      </c>
      <c r="K30">
        <f>VLOOKUP(H30,$A$1:F$161,K$2,0)</f>
        <v>61.23</v>
      </c>
      <c r="L30">
        <f>VLOOKUP(H30,$A$1:F$161,L$2,0)</f>
        <v>65.3</v>
      </c>
      <c r="M30">
        <f>VLOOKUP(H30,$A$1:F$161,M$2,0)</f>
        <v>88.63</v>
      </c>
    </row>
    <row r="31" spans="1:13" x14ac:dyDescent="0.25">
      <c r="A31" t="s">
        <v>31</v>
      </c>
      <c r="B31">
        <v>4.8499999999999996</v>
      </c>
      <c r="C31">
        <v>4.95</v>
      </c>
      <c r="D31">
        <v>4.95</v>
      </c>
      <c r="E31">
        <v>4.95</v>
      </c>
      <c r="F31">
        <v>4.95</v>
      </c>
      <c r="H31" t="s">
        <v>40</v>
      </c>
      <c r="I31">
        <f>VLOOKUP(H31,$A$1:F$161,I$2,0)</f>
        <v>964.82</v>
      </c>
      <c r="J31">
        <f>VLOOKUP(H31,$A$1:F$161,J$2,0)</f>
        <v>1093.56</v>
      </c>
      <c r="K31">
        <f>VLOOKUP(H31,$A$1:F$161,K$2,0)</f>
        <v>962.35</v>
      </c>
      <c r="L31">
        <f>VLOOKUP(H31,$A$1:F$161,L$2,0)</f>
        <v>839</v>
      </c>
      <c r="M31">
        <f>VLOOKUP(H31,$A$1:F$161,M$2,0)</f>
        <v>588.49</v>
      </c>
    </row>
    <row r="32" spans="1:13" x14ac:dyDescent="0.25">
      <c r="A32" t="s">
        <v>32</v>
      </c>
      <c r="B32">
        <v>104.85</v>
      </c>
      <c r="C32">
        <v>138.4</v>
      </c>
      <c r="D32">
        <v>110.99</v>
      </c>
      <c r="E32">
        <v>109.78</v>
      </c>
      <c r="F32">
        <v>105.39</v>
      </c>
      <c r="H32" t="s">
        <v>41</v>
      </c>
      <c r="I32">
        <f>VLOOKUP(H32,$A$1:F$161,I$2,0)</f>
        <v>0</v>
      </c>
      <c r="J32">
        <f>VLOOKUP(H32,$A$1:F$161,J$2,0)</f>
        <v>12.37</v>
      </c>
      <c r="K32">
        <f>VLOOKUP(H32,$A$1:F$161,K$2,0)</f>
        <v>7.18</v>
      </c>
      <c r="L32">
        <f>VLOOKUP(H32,$A$1:F$161,L$2,0)</f>
        <v>3.76</v>
      </c>
      <c r="M32">
        <f>VLOOKUP(H32,$A$1:F$161,M$2,0)</f>
        <v>3.77</v>
      </c>
    </row>
    <row r="33" spans="1:13" x14ac:dyDescent="0.25">
      <c r="A33" t="s">
        <v>33</v>
      </c>
      <c r="B33">
        <v>0</v>
      </c>
      <c r="C33">
        <v>116.31</v>
      </c>
      <c r="D33">
        <v>122.94</v>
      </c>
      <c r="E33">
        <v>108.62</v>
      </c>
      <c r="F33">
        <v>99.31</v>
      </c>
      <c r="H33" t="s">
        <v>42</v>
      </c>
      <c r="I33">
        <f>VLOOKUP(H33,$A$1:F$161,I$2,0)</f>
        <v>88.5</v>
      </c>
      <c r="J33">
        <f>VLOOKUP(H33,$A$1:F$161,J$2,0)</f>
        <v>63.46</v>
      </c>
      <c r="K33">
        <f>VLOOKUP(H33,$A$1:F$161,K$2,0)</f>
        <v>95.16</v>
      </c>
      <c r="L33">
        <f>VLOOKUP(H33,$A$1:F$161,L$2,0)</f>
        <v>90.33</v>
      </c>
      <c r="M33">
        <f>VLOOKUP(H33,$A$1:F$161,M$2,0)</f>
        <v>104.58</v>
      </c>
    </row>
    <row r="34" spans="1:13" x14ac:dyDescent="0.25">
      <c r="A34" t="s">
        <v>34</v>
      </c>
      <c r="B34">
        <v>189.78</v>
      </c>
      <c r="C34">
        <v>66.040000000000006</v>
      </c>
      <c r="D34">
        <v>109.08</v>
      </c>
      <c r="E34">
        <v>86</v>
      </c>
      <c r="F34">
        <v>81.06</v>
      </c>
      <c r="H34" t="s">
        <v>43</v>
      </c>
      <c r="I34">
        <f>VLOOKUP(H34,$A$1:F$161,I$2,0)</f>
        <v>1995.94</v>
      </c>
      <c r="J34">
        <f>VLOOKUP(H34,$A$1:F$161,J$2,0)</f>
        <v>1857.03</v>
      </c>
      <c r="K34">
        <f>VLOOKUP(H34,$A$1:F$161,K$2,0)</f>
        <v>1999.6</v>
      </c>
      <c r="L34">
        <f>VLOOKUP(H34,$A$1:F$161,L$2,0)</f>
        <v>1837.47</v>
      </c>
      <c r="M34">
        <f>VLOOKUP(H34,$A$1:F$161,M$2,0)</f>
        <v>1547.58</v>
      </c>
    </row>
    <row r="35" spans="1:13" x14ac:dyDescent="0.25">
      <c r="A35" t="s">
        <v>35</v>
      </c>
      <c r="B35">
        <v>1528.7</v>
      </c>
      <c r="C35">
        <v>1476.94</v>
      </c>
      <c r="D35">
        <v>1735.34</v>
      </c>
      <c r="E35">
        <v>641.16999999999996</v>
      </c>
      <c r="F35">
        <v>597.28</v>
      </c>
      <c r="H35" t="s">
        <v>44</v>
      </c>
      <c r="I35">
        <f>VLOOKUP(H35,$A$1:F$161,I$2,0)</f>
        <v>3524.64</v>
      </c>
      <c r="J35">
        <f>VLOOKUP(H35,$A$1:F$161,J$2,0)</f>
        <v>3333.97</v>
      </c>
      <c r="K35">
        <f>VLOOKUP(H35,$A$1:F$161,K$2,0)</f>
        <v>3734.94</v>
      </c>
      <c r="L35">
        <f>VLOOKUP(H35,$A$1:F$161,L$2,0)</f>
        <v>2478.64</v>
      </c>
      <c r="M35">
        <f>VLOOKUP(H35,$A$1:F$161,M$2,0)</f>
        <v>2144.87</v>
      </c>
    </row>
    <row r="36" spans="1:13" ht="15" customHeight="1" x14ac:dyDescent="0.25">
      <c r="A36" t="s">
        <v>36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38</v>
      </c>
      <c r="B37">
        <v>870.91</v>
      </c>
      <c r="C37">
        <v>608.28</v>
      </c>
      <c r="D37">
        <v>873.68</v>
      </c>
      <c r="E37">
        <v>839.09</v>
      </c>
      <c r="F37">
        <v>762.11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39</v>
      </c>
      <c r="B38">
        <v>71.72</v>
      </c>
      <c r="C38">
        <v>79.37</v>
      </c>
      <c r="D38">
        <v>61.23</v>
      </c>
      <c r="E38">
        <v>65.3</v>
      </c>
      <c r="F38">
        <v>88.63</v>
      </c>
      <c r="H38" t="s">
        <v>47</v>
      </c>
      <c r="I38">
        <f>VLOOKUP(H38,$A$1:F$161,I$2,0)</f>
        <v>88.84</v>
      </c>
      <c r="J38">
        <f>VLOOKUP(H38,$A$1:F$161,J$2,0)</f>
        <v>54.71</v>
      </c>
      <c r="K38">
        <f>VLOOKUP(H38,$A$1:F$161,K$2,0)</f>
        <v>66.48</v>
      </c>
      <c r="L38">
        <f>VLOOKUP(H38,$A$1:F$161,L$2,0)</f>
        <v>73.38</v>
      </c>
      <c r="M38">
        <f>VLOOKUP(H38,$A$1:F$161,M$2,0)</f>
        <v>77.33</v>
      </c>
    </row>
    <row r="39" spans="1:13" x14ac:dyDescent="0.25">
      <c r="A39" t="s">
        <v>40</v>
      </c>
      <c r="B39">
        <v>964.82</v>
      </c>
      <c r="C39">
        <v>1093.56</v>
      </c>
      <c r="D39">
        <v>962.35</v>
      </c>
      <c r="E39">
        <v>839</v>
      </c>
      <c r="F39">
        <v>588.49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41</v>
      </c>
      <c r="B40">
        <v>0</v>
      </c>
      <c r="C40">
        <v>12.37</v>
      </c>
      <c r="D40">
        <v>7.18</v>
      </c>
      <c r="E40">
        <v>3.76</v>
      </c>
      <c r="F40">
        <v>3.77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42</v>
      </c>
      <c r="B41">
        <v>88.5</v>
      </c>
      <c r="C41">
        <v>63.46</v>
      </c>
      <c r="D41">
        <v>95.16</v>
      </c>
      <c r="E41">
        <v>90.33</v>
      </c>
      <c r="F41">
        <v>104.58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43</v>
      </c>
      <c r="B42">
        <v>1995.94</v>
      </c>
      <c r="C42">
        <v>1857.03</v>
      </c>
      <c r="D42">
        <v>1999.6</v>
      </c>
      <c r="E42">
        <v>1837.47</v>
      </c>
      <c r="F42">
        <v>1547.58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44</v>
      </c>
      <c r="B43">
        <v>3524.64</v>
      </c>
      <c r="C43">
        <v>3333.97</v>
      </c>
      <c r="D43">
        <v>3734.94</v>
      </c>
      <c r="E43">
        <v>2478.64</v>
      </c>
      <c r="F43">
        <v>2144.87</v>
      </c>
      <c r="H43" t="s">
        <v>68</v>
      </c>
      <c r="I43">
        <f>VLOOKUP(H43,$A$1:F$161,I$2,0)</f>
        <v>2386.8200000000002</v>
      </c>
      <c r="J43">
        <f>VLOOKUP(H43,$A$1:F$161,J$2,0)</f>
        <v>1707.8</v>
      </c>
      <c r="K43">
        <f>VLOOKUP(H43,$A$1:F$161,K$2,0)</f>
        <v>3054.28</v>
      </c>
      <c r="L43">
        <f>VLOOKUP(H43,$A$1:F$161,L$2,0)</f>
        <v>2929.06</v>
      </c>
      <c r="M43">
        <f>VLOOKUP(H43,$A$1:F$161,M$2,0)</f>
        <v>2639.8</v>
      </c>
    </row>
    <row r="44" spans="1:13" ht="24" customHeight="1" x14ac:dyDescent="0.25">
      <c r="A44" t="s">
        <v>45</v>
      </c>
      <c r="H44" t="s">
        <v>70</v>
      </c>
      <c r="I44">
        <f>VLOOKUP(H44,$A$1:F$161,I$2,0)</f>
        <v>2386.8200000000002</v>
      </c>
      <c r="J44">
        <f>VLOOKUP(H44,$A$1:F$161,J$2,0)</f>
        <v>1707.8</v>
      </c>
      <c r="K44">
        <f>VLOOKUP(H44,$A$1:F$161,K$2,0)</f>
        <v>3054.28</v>
      </c>
      <c r="L44">
        <f>VLOOKUP(H44,$A$1:F$161,L$2,0)</f>
        <v>2929.06</v>
      </c>
      <c r="M44">
        <f>VLOOKUP(H44,$A$1:F$161,M$2,0)</f>
        <v>2632.76</v>
      </c>
    </row>
    <row r="45" spans="1:13" ht="36" customHeight="1" x14ac:dyDescent="0.25">
      <c r="A45" t="s">
        <v>46</v>
      </c>
      <c r="H45" t="s">
        <v>71</v>
      </c>
      <c r="I45">
        <f>VLOOKUP(H45,$A$1:F$161,I$2,0)</f>
        <v>0.9</v>
      </c>
      <c r="J45">
        <f>VLOOKUP(H45,$A$1:F$161,J$2,0)</f>
        <v>0.68</v>
      </c>
      <c r="K45">
        <f>VLOOKUP(H45,$A$1:F$161,K$2,0)</f>
        <v>1.83</v>
      </c>
      <c r="L45">
        <f>VLOOKUP(H45,$A$1:F$161,L$2,0)</f>
        <v>2.04</v>
      </c>
      <c r="M45">
        <f>VLOOKUP(H45,$A$1:F$161,M$2,0)</f>
        <v>1.41</v>
      </c>
    </row>
    <row r="46" spans="1:13" x14ac:dyDescent="0.25">
      <c r="A46" t="s">
        <v>47</v>
      </c>
      <c r="B46">
        <v>88.84</v>
      </c>
      <c r="C46">
        <v>54.71</v>
      </c>
      <c r="D46">
        <v>66.48</v>
      </c>
      <c r="E46">
        <v>73.38</v>
      </c>
      <c r="F46">
        <v>77.33</v>
      </c>
      <c r="H46" t="s">
        <v>72</v>
      </c>
      <c r="I46">
        <f>VLOOKUP(H46,$A$1:F$161,I$2,0)</f>
        <v>2387.7199999999998</v>
      </c>
      <c r="J46">
        <f>VLOOKUP(H46,$A$1:F$161,J$2,0)</f>
        <v>1708.48</v>
      </c>
      <c r="K46">
        <f>VLOOKUP(H46,$A$1:F$161,K$2,0)</f>
        <v>3056.11</v>
      </c>
      <c r="L46">
        <f>VLOOKUP(H46,$A$1:F$161,L$2,0)</f>
        <v>2931.1</v>
      </c>
      <c r="M46">
        <f>VLOOKUP(H46,$A$1:F$161,M$2,0)</f>
        <v>2634.17</v>
      </c>
    </row>
    <row r="47" spans="1:13" ht="24" customHeight="1" x14ac:dyDescent="0.25">
      <c r="A47" t="s">
        <v>48</v>
      </c>
      <c r="H47" t="s">
        <v>73</v>
      </c>
      <c r="I47">
        <f>VLOOKUP(H47,$A$1:F$161,I$2,0)</f>
        <v>55.99</v>
      </c>
      <c r="J47">
        <f>VLOOKUP(H47,$A$1:F$161,J$2,0)</f>
        <v>94.09</v>
      </c>
      <c r="K47">
        <f>VLOOKUP(H47,$A$1:F$161,K$2,0)</f>
        <v>68.680000000000007</v>
      </c>
      <c r="L47">
        <f>VLOOKUP(H47,$A$1:F$161,L$2,0)</f>
        <v>68.22</v>
      </c>
      <c r="M47">
        <f>VLOOKUP(H47,$A$1:F$161,M$2,0)</f>
        <v>50.33</v>
      </c>
    </row>
    <row r="48" spans="1:13" ht="24" customHeight="1" x14ac:dyDescent="0.25">
      <c r="A48" t="s">
        <v>49</v>
      </c>
      <c r="H48" t="s">
        <v>74</v>
      </c>
      <c r="I48">
        <f>VLOOKUP(H48,$A$1:F$161,I$2,0)</f>
        <v>2443.71</v>
      </c>
      <c r="J48">
        <f>VLOOKUP(H48,$A$1:F$161,J$2,0)</f>
        <v>1802.57</v>
      </c>
      <c r="K48">
        <f>VLOOKUP(H48,$A$1:F$161,K$2,0)</f>
        <v>3124.79</v>
      </c>
      <c r="L48">
        <f>VLOOKUP(H48,$A$1:F$161,L$2,0)</f>
        <v>2999.32</v>
      </c>
      <c r="M48">
        <f>VLOOKUP(H48,$A$1:F$161,M$2,0)</f>
        <v>2684.5</v>
      </c>
    </row>
    <row r="49" spans="1:13" x14ac:dyDescent="0.25">
      <c r="A49" t="s">
        <v>50</v>
      </c>
      <c r="B49">
        <v>179.11</v>
      </c>
      <c r="C49">
        <v>126.36</v>
      </c>
      <c r="D49">
        <v>304.72000000000003</v>
      </c>
      <c r="E49">
        <v>341.99</v>
      </c>
      <c r="F49">
        <v>264.83999999999997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48" customHeight="1" x14ac:dyDescent="0.25">
      <c r="A50" t="s">
        <v>51</v>
      </c>
      <c r="H50" t="s">
        <v>76</v>
      </c>
      <c r="I50">
        <f>VLOOKUP(H50,$A$1:F$161,I$2,0)</f>
        <v>247.79</v>
      </c>
      <c r="J50">
        <f>VLOOKUP(H50,$A$1:F$161,J$2,0)</f>
        <v>109.9</v>
      </c>
      <c r="K50">
        <f>VLOOKUP(H50,$A$1:F$161,K$2,0)</f>
        <v>256.95999999999998</v>
      </c>
      <c r="L50">
        <f>VLOOKUP(H50,$A$1:F$161,L$2,0)</f>
        <v>280.72000000000003</v>
      </c>
      <c r="M50">
        <f>VLOOKUP(H50,$A$1:F$161,M$2,0)</f>
        <v>269.52</v>
      </c>
    </row>
    <row r="51" spans="1:13" x14ac:dyDescent="0.25">
      <c r="A51" t="s">
        <v>52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H51" t="s">
        <v>77</v>
      </c>
      <c r="I51">
        <f>VLOOKUP(H51,$A$1:F$161,I$2,0)</f>
        <v>1094.46</v>
      </c>
      <c r="J51">
        <f>VLOOKUP(H51,$A$1:F$161,J$2,0)</f>
        <v>465.87</v>
      </c>
      <c r="K51">
        <f>VLOOKUP(H51,$A$1:F$161,K$2,0)</f>
        <v>1073.6199999999999</v>
      </c>
      <c r="L51">
        <f>VLOOKUP(H51,$A$1:F$161,L$2,0)</f>
        <v>1086.1300000000001</v>
      </c>
      <c r="M51">
        <f>VLOOKUP(H51,$A$1:F$161,M$2,0)</f>
        <v>985.47</v>
      </c>
    </row>
    <row r="52" spans="1:13" ht="24" customHeight="1" x14ac:dyDescent="0.25">
      <c r="A52" t="s">
        <v>54</v>
      </c>
      <c r="H52" t="s">
        <v>78</v>
      </c>
      <c r="I52">
        <f>VLOOKUP(H52,$A$1:F$161,I$2,0)</f>
        <v>-255.45</v>
      </c>
      <c r="J52">
        <f>VLOOKUP(H52,$A$1:F$161,J$2,0)</f>
        <v>261.73</v>
      </c>
      <c r="K52">
        <f>VLOOKUP(H52,$A$1:F$161,K$2,0)</f>
        <v>-33.99</v>
      </c>
      <c r="L52">
        <f>VLOOKUP(H52,$A$1:F$161,L$2,0)</f>
        <v>-79.739999999999995</v>
      </c>
      <c r="M52">
        <f>VLOOKUP(H52,$A$1:F$161,M$2,0)</f>
        <v>-52.6</v>
      </c>
    </row>
    <row r="53" spans="1:13" x14ac:dyDescent="0.25">
      <c r="A53" t="s">
        <v>55</v>
      </c>
      <c r="B53">
        <v>12.88</v>
      </c>
      <c r="C53">
        <v>11.42</v>
      </c>
      <c r="D53">
        <v>16.97</v>
      </c>
      <c r="E53">
        <v>10.98</v>
      </c>
      <c r="F53">
        <v>16.100000000000001</v>
      </c>
      <c r="H53" t="s">
        <v>79</v>
      </c>
      <c r="I53">
        <f>VLOOKUP(H53,$A$1:F$161,I$2,0)</f>
        <v>378.68</v>
      </c>
      <c r="J53">
        <f>VLOOKUP(H53,$A$1:F$161,J$2,0)</f>
        <v>339.82</v>
      </c>
      <c r="K53">
        <f>VLOOKUP(H53,$A$1:F$161,K$2,0)</f>
        <v>376.42</v>
      </c>
      <c r="L53">
        <f>VLOOKUP(H53,$A$1:F$161,L$2,0)</f>
        <v>331.08</v>
      </c>
      <c r="M53">
        <f>VLOOKUP(H53,$A$1:F$161,M$2,0)</f>
        <v>295.61</v>
      </c>
    </row>
    <row r="54" spans="1:13" x14ac:dyDescent="0.25">
      <c r="A54" t="s">
        <v>56</v>
      </c>
      <c r="B54" t="s">
        <v>53</v>
      </c>
      <c r="C54" t="s">
        <v>53</v>
      </c>
      <c r="D54">
        <v>20.18</v>
      </c>
      <c r="E54">
        <v>12.98</v>
      </c>
      <c r="F54" t="s">
        <v>53</v>
      </c>
      <c r="H54" t="s">
        <v>80</v>
      </c>
      <c r="I54">
        <f>VLOOKUP(H54,$A$1:F$161,I$2,0)</f>
        <v>92.82</v>
      </c>
      <c r="J54">
        <f>VLOOKUP(H54,$A$1:F$161,J$2,0)</f>
        <v>103.55</v>
      </c>
      <c r="K54">
        <f>VLOOKUP(H54,$A$1:F$161,K$2,0)</f>
        <v>117.74</v>
      </c>
      <c r="L54">
        <f>VLOOKUP(H54,$A$1:F$161,L$2,0)</f>
        <v>3.55</v>
      </c>
      <c r="M54">
        <f>VLOOKUP(H54,$A$1:F$161,M$2,0)</f>
        <v>4.2</v>
      </c>
    </row>
    <row r="55" spans="1:13" ht="15" customHeight="1" x14ac:dyDescent="0.25">
      <c r="A55" t="s">
        <v>57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58</v>
      </c>
      <c r="B56">
        <v>9.8000000000000007</v>
      </c>
      <c r="C56">
        <v>9.8000000000000007</v>
      </c>
      <c r="D56">
        <v>9.8000000000000007</v>
      </c>
      <c r="E56">
        <v>9.8000000000000007</v>
      </c>
      <c r="F56">
        <v>9.8000000000000007</v>
      </c>
      <c r="H56" t="s">
        <v>82</v>
      </c>
      <c r="I56">
        <f>VLOOKUP(H56,$A$1:F$161,I$2,0)</f>
        <v>241.96</v>
      </c>
      <c r="J56">
        <f>VLOOKUP(H56,$A$1:F$161,J$2,0)</f>
        <v>264.75</v>
      </c>
      <c r="K56">
        <f>VLOOKUP(H56,$A$1:F$161,K$2,0)</f>
        <v>295.8</v>
      </c>
      <c r="L56">
        <f>VLOOKUP(H56,$A$1:F$161,L$2,0)</f>
        <v>64.05</v>
      </c>
      <c r="M56">
        <f>VLOOKUP(H56,$A$1:F$161,M$2,0)</f>
        <v>60.45</v>
      </c>
    </row>
    <row r="57" spans="1:13" ht="24" customHeight="1" x14ac:dyDescent="0.25">
      <c r="A57" t="s">
        <v>59</v>
      </c>
      <c r="H57" t="s">
        <v>83</v>
      </c>
      <c r="I57">
        <f>VLOOKUP(H57,$A$1:F$161,I$2,0)</f>
        <v>503.73</v>
      </c>
      <c r="J57">
        <f>VLOOKUP(H57,$A$1:F$161,J$2,0)</f>
        <v>368.98</v>
      </c>
      <c r="K57">
        <f>VLOOKUP(H57,$A$1:F$161,K$2,0)</f>
        <v>551.01</v>
      </c>
      <c r="L57">
        <f>VLOOKUP(H57,$A$1:F$161,L$2,0)</f>
        <v>835.85</v>
      </c>
      <c r="M57">
        <f>VLOOKUP(H57,$A$1:F$161,M$2,0)</f>
        <v>784.8</v>
      </c>
    </row>
    <row r="58" spans="1:13" x14ac:dyDescent="0.25">
      <c r="A58" t="s">
        <v>60</v>
      </c>
      <c r="B58" t="s">
        <v>53</v>
      </c>
      <c r="C58" t="s">
        <v>53</v>
      </c>
      <c r="D58" t="s">
        <v>53</v>
      </c>
      <c r="E58" t="s">
        <v>53</v>
      </c>
      <c r="F58" t="s">
        <v>53</v>
      </c>
      <c r="H58" t="s">
        <v>84</v>
      </c>
      <c r="I58">
        <f>VLOOKUP(H58,$A$1:F$161,I$2,0)</f>
        <v>2304.0100000000002</v>
      </c>
      <c r="J58">
        <f>VLOOKUP(H58,$A$1:F$161,J$2,0)</f>
        <v>1914.59</v>
      </c>
      <c r="K58">
        <f>VLOOKUP(H58,$A$1:F$161,K$2,0)</f>
        <v>2637.56</v>
      </c>
      <c r="L58">
        <f>VLOOKUP(H58,$A$1:F$161,L$2,0)</f>
        <v>2521.64</v>
      </c>
      <c r="M58">
        <f>VLOOKUP(H58,$A$1:F$161,M$2,0)</f>
        <v>2347.46</v>
      </c>
    </row>
    <row r="59" spans="1:13" x14ac:dyDescent="0.25">
      <c r="A59" t="s">
        <v>61</v>
      </c>
      <c r="B59">
        <v>4.8499999999999996</v>
      </c>
      <c r="C59">
        <v>4.95</v>
      </c>
      <c r="D59">
        <v>4.95</v>
      </c>
      <c r="E59">
        <v>4.95</v>
      </c>
      <c r="F59">
        <v>4.95</v>
      </c>
      <c r="H59" t="s">
        <v>85</v>
      </c>
      <c r="I59">
        <f>VLOOKUP(H59,$A$1:F$161,I$2,0)</f>
        <v>139.69999999999999</v>
      </c>
      <c r="J59">
        <f>VLOOKUP(H59,$A$1:F$161,J$2,0)</f>
        <v>-112.03</v>
      </c>
      <c r="K59">
        <f>VLOOKUP(H59,$A$1:F$161,K$2,0)</f>
        <v>487.24</v>
      </c>
      <c r="L59">
        <f>VLOOKUP(H59,$A$1:F$161,L$2,0)</f>
        <v>477.69</v>
      </c>
      <c r="M59">
        <f>VLOOKUP(H59,$A$1:F$161,M$2,0)</f>
        <v>337.04</v>
      </c>
    </row>
    <row r="60" spans="1:13" ht="24" customHeight="1" x14ac:dyDescent="0.25">
      <c r="A60" t="s">
        <v>62</v>
      </c>
      <c r="H60" t="s">
        <v>87</v>
      </c>
      <c r="I60">
        <f>VLOOKUP(H60,$A$1:F$161,I$2,0)</f>
        <v>139.69999999999999</v>
      </c>
      <c r="J60">
        <f>VLOOKUP(H60,$A$1:F$161,J$2,0)</f>
        <v>-116.64</v>
      </c>
      <c r="K60">
        <f>VLOOKUP(H60,$A$1:F$161,K$2,0)</f>
        <v>487.24</v>
      </c>
      <c r="L60">
        <f>VLOOKUP(H60,$A$1:F$161,L$2,0)</f>
        <v>477.69</v>
      </c>
      <c r="M60">
        <f>VLOOKUP(H60,$A$1:F$161,M$2,0)</f>
        <v>337.04</v>
      </c>
    </row>
    <row r="61" spans="1:13" x14ac:dyDescent="0.25">
      <c r="A61" t="s">
        <v>63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64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4.29</v>
      </c>
      <c r="J62">
        <f>VLOOKUP(H62,$A$1:F$161,J$2,0)</f>
        <v>0.09</v>
      </c>
      <c r="K62">
        <f>VLOOKUP(H62,$A$1:F$161,K$2,0)</f>
        <v>116.92</v>
      </c>
      <c r="L62">
        <f>VLOOKUP(H62,$A$1:F$161,L$2,0)</f>
        <v>173.01</v>
      </c>
      <c r="M62">
        <f>VLOOKUP(H62,$A$1:F$161,M$2,0)</f>
        <v>121.47</v>
      </c>
    </row>
    <row r="63" spans="1:13" x14ac:dyDescent="0.25">
      <c r="H63" t="s">
        <v>90</v>
      </c>
      <c r="I63">
        <f>VLOOKUP(H63,$A$1:F$161,I$2,0)</f>
        <v>32.42</v>
      </c>
      <c r="J63">
        <f>VLOOKUP(H63,$A$1:F$161,J$2,0)</f>
        <v>-27.41</v>
      </c>
      <c r="K63">
        <f>VLOOKUP(H63,$A$1:F$161,K$2,0)</f>
        <v>41.15</v>
      </c>
      <c r="L63">
        <f>VLOOKUP(H63,$A$1:F$161,L$2,0)</f>
        <v>-4.3899999999999997</v>
      </c>
      <c r="M63">
        <f>VLOOKUP(H63,$A$1:F$161,M$2,0)</f>
        <v>-4.96</v>
      </c>
    </row>
    <row r="64" spans="1:13" x14ac:dyDescent="0.25">
      <c r="H64" t="s">
        <v>112</v>
      </c>
      <c r="I64">
        <f>VLOOKUP(H64,$A$1:F$161,I$2,0)</f>
        <v>0</v>
      </c>
      <c r="J64">
        <f>VLOOKUP(H64,$A$1:F$161,J$2,0)</f>
        <v>0</v>
      </c>
      <c r="K64">
        <f>VLOOKUP(H64,$A$1:F$161,K$2,0)</f>
        <v>0.22</v>
      </c>
      <c r="L64">
        <f>VLOOKUP(H64,$A$1:F$161,L$2,0)</f>
        <v>-19.93</v>
      </c>
      <c r="M64">
        <f>VLOOKUP(H64,$A$1:F$161,M$2,0)</f>
        <v>0.01</v>
      </c>
    </row>
    <row r="65" spans="1:13" x14ac:dyDescent="0.25">
      <c r="H65" t="s">
        <v>91</v>
      </c>
      <c r="I65">
        <f>VLOOKUP(H65,$A$1:F$161,I$2,0)</f>
        <v>36.71</v>
      </c>
      <c r="J65">
        <f>VLOOKUP(H65,$A$1:F$161,J$2,0)</f>
        <v>-27.33</v>
      </c>
      <c r="K65">
        <f>VLOOKUP(H65,$A$1:F$161,K$2,0)</f>
        <v>158.28</v>
      </c>
      <c r="L65">
        <f>VLOOKUP(H65,$A$1:F$161,L$2,0)</f>
        <v>148.69</v>
      </c>
      <c r="M65">
        <f>VLOOKUP(H65,$A$1:F$161,M$2,0)</f>
        <v>116.53</v>
      </c>
    </row>
    <row r="66" spans="1:13" ht="15" customHeight="1" x14ac:dyDescent="0.25">
      <c r="A66" t="s">
        <v>65</v>
      </c>
      <c r="H66" t="s">
        <v>92</v>
      </c>
      <c r="I66">
        <f>VLOOKUP(H66,$A$1:F$161,I$2,0)</f>
        <v>102.99</v>
      </c>
      <c r="J66">
        <f>VLOOKUP(H66,$A$1:F$161,J$2,0)</f>
        <v>-89.31</v>
      </c>
      <c r="K66">
        <f>VLOOKUP(H66,$A$1:F$161,K$2,0)</f>
        <v>328.95</v>
      </c>
      <c r="L66">
        <f>VLOOKUP(H66,$A$1:F$161,L$2,0)</f>
        <v>328.99</v>
      </c>
      <c r="M66">
        <f>VLOOKUP(H66,$A$1:F$161,M$2,0)</f>
        <v>220.51</v>
      </c>
    </row>
    <row r="67" spans="1:13" x14ac:dyDescent="0.25">
      <c r="H67" t="s">
        <v>93</v>
      </c>
      <c r="I67">
        <f>VLOOKUP(H67,$A$1:F$161,I$2,0)</f>
        <v>102.99</v>
      </c>
      <c r="J67">
        <f>VLOOKUP(H67,$A$1:F$161,J$2,0)</f>
        <v>-89.31</v>
      </c>
      <c r="K67">
        <f>VLOOKUP(H67,$A$1:F$161,K$2,0)</f>
        <v>328.95</v>
      </c>
      <c r="L67">
        <f>VLOOKUP(H67,$A$1:F$161,L$2,0)</f>
        <v>328.99</v>
      </c>
      <c r="M67">
        <f>VLOOKUP(H67,$A$1:F$161,M$2,0)</f>
        <v>220.51</v>
      </c>
    </row>
    <row r="68" spans="1:13" x14ac:dyDescent="0.25">
      <c r="H68" t="s">
        <v>94</v>
      </c>
      <c r="I68">
        <f>VLOOKUP(H68,$A$1:F$161,I$2,0)</f>
        <v>102.99</v>
      </c>
      <c r="J68">
        <f>VLOOKUP(H68,$A$1:F$161,J$2,0)</f>
        <v>-89.31</v>
      </c>
      <c r="K68">
        <f>VLOOKUP(H68,$A$1:F$161,K$2,0)</f>
        <v>328.95</v>
      </c>
      <c r="L68">
        <f>VLOOKUP(H68,$A$1:F$161,L$2,0)</f>
        <v>328.99</v>
      </c>
      <c r="M68">
        <f>VLOOKUP(H68,$A$1:F$161,M$2,0)</f>
        <v>220.51</v>
      </c>
    </row>
    <row r="69" spans="1:13" x14ac:dyDescent="0.25">
      <c r="H69" t="s">
        <v>101</v>
      </c>
      <c r="I69">
        <f>VLOOKUP(H69,$A$1:F$161,I$2,0)</f>
        <v>51.41</v>
      </c>
      <c r="J69">
        <f>VLOOKUP(H69,$A$1:F$161,J$2,0)</f>
        <v>51.41</v>
      </c>
      <c r="K69">
        <f>VLOOKUP(H69,$A$1:F$161,K$2,0)</f>
        <v>80.33</v>
      </c>
      <c r="L69">
        <f>VLOOKUP(H69,$A$1:F$161,L$2,0)</f>
        <v>51.41</v>
      </c>
      <c r="M69">
        <f>VLOOKUP(H69,$A$1:F$161,M$2,0)</f>
        <v>44.99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16.510000000000002</v>
      </c>
      <c r="L70">
        <f>VLOOKUP(H70,$A$1:F$161,L$2,0)</f>
        <v>10.57</v>
      </c>
      <c r="M70">
        <f>VLOOKUP(H70,$A$1:F$161,M$2,0)</f>
        <v>9.16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123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2386.8200000000002</v>
      </c>
      <c r="C97">
        <v>1707.8</v>
      </c>
      <c r="D97">
        <v>3054.28</v>
      </c>
      <c r="E97">
        <v>2929.06</v>
      </c>
      <c r="F97">
        <v>2639.8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7.05</v>
      </c>
    </row>
    <row r="99" spans="1:6" x14ac:dyDescent="0.25">
      <c r="A99" t="s">
        <v>70</v>
      </c>
      <c r="B99">
        <v>2386.8200000000002</v>
      </c>
      <c r="C99">
        <v>1707.8</v>
      </c>
      <c r="D99">
        <v>3054.28</v>
      </c>
      <c r="E99">
        <v>2929.06</v>
      </c>
      <c r="F99">
        <v>2632.76</v>
      </c>
    </row>
    <row r="100" spans="1:6" x14ac:dyDescent="0.25">
      <c r="A100" t="s">
        <v>71</v>
      </c>
      <c r="B100">
        <v>0.9</v>
      </c>
      <c r="C100">
        <v>0.68</v>
      </c>
      <c r="D100">
        <v>1.83</v>
      </c>
      <c r="E100">
        <v>2.04</v>
      </c>
      <c r="F100">
        <v>1.41</v>
      </c>
    </row>
    <row r="101" spans="1:6" x14ac:dyDescent="0.25">
      <c r="A101" t="s">
        <v>72</v>
      </c>
      <c r="B101">
        <v>2387.7199999999998</v>
      </c>
      <c r="C101">
        <v>1708.48</v>
      </c>
      <c r="D101">
        <v>3056.11</v>
      </c>
      <c r="E101">
        <v>2931.1</v>
      </c>
      <c r="F101">
        <v>2634.17</v>
      </c>
    </row>
    <row r="102" spans="1:6" x14ac:dyDescent="0.25">
      <c r="A102" t="s">
        <v>73</v>
      </c>
      <c r="B102">
        <v>55.99</v>
      </c>
      <c r="C102">
        <v>94.09</v>
      </c>
      <c r="D102">
        <v>68.680000000000007</v>
      </c>
      <c r="E102">
        <v>68.22</v>
      </c>
      <c r="F102">
        <v>50.33</v>
      </c>
    </row>
    <row r="103" spans="1:6" x14ac:dyDescent="0.25">
      <c r="A103" t="s">
        <v>74</v>
      </c>
      <c r="B103">
        <v>2443.71</v>
      </c>
      <c r="C103">
        <v>1802.57</v>
      </c>
      <c r="D103">
        <v>3124.79</v>
      </c>
      <c r="E103">
        <v>2999.32</v>
      </c>
      <c r="F103">
        <v>2684.5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247.79</v>
      </c>
      <c r="C105">
        <v>109.9</v>
      </c>
      <c r="D105">
        <v>256.95999999999998</v>
      </c>
      <c r="E105">
        <v>280.72000000000003</v>
      </c>
      <c r="F105">
        <v>269.52</v>
      </c>
    </row>
    <row r="106" spans="1:6" x14ac:dyDescent="0.25">
      <c r="A106" t="s">
        <v>77</v>
      </c>
      <c r="B106">
        <v>1094.46</v>
      </c>
      <c r="C106">
        <v>465.87</v>
      </c>
      <c r="D106">
        <v>1073.6199999999999</v>
      </c>
      <c r="E106">
        <v>1086.1300000000001</v>
      </c>
      <c r="F106">
        <v>985.47</v>
      </c>
    </row>
    <row r="107" spans="1:6" x14ac:dyDescent="0.25">
      <c r="A107" t="s">
        <v>78</v>
      </c>
      <c r="B107">
        <v>-255.45</v>
      </c>
      <c r="C107">
        <v>261.73</v>
      </c>
      <c r="D107">
        <v>-33.99</v>
      </c>
      <c r="E107">
        <v>-79.739999999999995</v>
      </c>
      <c r="F107">
        <v>-52.6</v>
      </c>
    </row>
    <row r="108" spans="1:6" x14ac:dyDescent="0.25">
      <c r="A108" t="s">
        <v>79</v>
      </c>
      <c r="B108">
        <v>378.68</v>
      </c>
      <c r="C108">
        <v>339.82</v>
      </c>
      <c r="D108">
        <v>376.42</v>
      </c>
      <c r="E108">
        <v>331.08</v>
      </c>
      <c r="F108">
        <v>295.61</v>
      </c>
    </row>
    <row r="109" spans="1:6" x14ac:dyDescent="0.25">
      <c r="A109" t="s">
        <v>80</v>
      </c>
      <c r="B109">
        <v>92.82</v>
      </c>
      <c r="C109">
        <v>103.55</v>
      </c>
      <c r="D109">
        <v>117.74</v>
      </c>
      <c r="E109">
        <v>3.55</v>
      </c>
      <c r="F109">
        <v>4.2</v>
      </c>
    </row>
    <row r="110" spans="1:6" x14ac:dyDescent="0.25">
      <c r="A110" t="s">
        <v>82</v>
      </c>
      <c r="B110">
        <v>241.96</v>
      </c>
      <c r="C110">
        <v>264.75</v>
      </c>
      <c r="D110">
        <v>295.8</v>
      </c>
      <c r="E110">
        <v>64.05</v>
      </c>
      <c r="F110">
        <v>60.45</v>
      </c>
    </row>
    <row r="111" spans="1:6" x14ac:dyDescent="0.25">
      <c r="A111" t="s">
        <v>83</v>
      </c>
      <c r="B111">
        <v>503.73</v>
      </c>
      <c r="C111">
        <v>368.98</v>
      </c>
      <c r="D111">
        <v>551.01</v>
      </c>
      <c r="E111">
        <v>835.85</v>
      </c>
      <c r="F111">
        <v>784.8</v>
      </c>
    </row>
    <row r="112" spans="1:6" x14ac:dyDescent="0.25">
      <c r="A112" t="s">
        <v>84</v>
      </c>
      <c r="B112">
        <v>2304.0100000000002</v>
      </c>
      <c r="C112">
        <v>1914.59</v>
      </c>
      <c r="D112">
        <v>2637.56</v>
      </c>
      <c r="E112">
        <v>2521.64</v>
      </c>
      <c r="F112">
        <v>2347.46</v>
      </c>
    </row>
    <row r="113" spans="1:6" x14ac:dyDescent="0.25">
      <c r="A113" t="s">
        <v>85</v>
      </c>
      <c r="B113">
        <v>139.69999999999999</v>
      </c>
      <c r="C113">
        <v>-112.03</v>
      </c>
      <c r="D113">
        <v>487.24</v>
      </c>
      <c r="E113">
        <v>477.69</v>
      </c>
      <c r="F113">
        <v>337.04</v>
      </c>
    </row>
    <row r="114" spans="1:6" x14ac:dyDescent="0.25">
      <c r="A114" t="s">
        <v>86</v>
      </c>
      <c r="B114">
        <v>0</v>
      </c>
      <c r="C114">
        <v>-4.6100000000000003</v>
      </c>
      <c r="D114">
        <v>0</v>
      </c>
      <c r="E114">
        <v>0</v>
      </c>
      <c r="F114">
        <v>0</v>
      </c>
    </row>
    <row r="115" spans="1:6" x14ac:dyDescent="0.25">
      <c r="A115" t="s">
        <v>87</v>
      </c>
      <c r="B115">
        <v>139.69999999999999</v>
      </c>
      <c r="C115">
        <v>-116.64</v>
      </c>
      <c r="D115">
        <v>487.24</v>
      </c>
      <c r="E115">
        <v>477.69</v>
      </c>
      <c r="F115">
        <v>337.04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4.29</v>
      </c>
      <c r="C117">
        <v>0.09</v>
      </c>
      <c r="D117">
        <v>116.92</v>
      </c>
      <c r="E117">
        <v>173.01</v>
      </c>
      <c r="F117">
        <v>121.47</v>
      </c>
    </row>
    <row r="118" spans="1:6" x14ac:dyDescent="0.25">
      <c r="A118" t="s">
        <v>90</v>
      </c>
      <c r="B118">
        <v>32.42</v>
      </c>
      <c r="C118">
        <v>-27.41</v>
      </c>
      <c r="D118">
        <v>41.15</v>
      </c>
      <c r="E118">
        <v>-4.3899999999999997</v>
      </c>
      <c r="F118">
        <v>-4.96</v>
      </c>
    </row>
    <row r="119" spans="1:6" x14ac:dyDescent="0.25">
      <c r="A119" t="s">
        <v>112</v>
      </c>
      <c r="B119">
        <v>0</v>
      </c>
      <c r="C119">
        <v>0</v>
      </c>
      <c r="D119">
        <v>0.22</v>
      </c>
      <c r="E119">
        <v>-19.93</v>
      </c>
      <c r="F119">
        <v>0.01</v>
      </c>
    </row>
    <row r="120" spans="1:6" x14ac:dyDescent="0.25">
      <c r="A120" t="s">
        <v>91</v>
      </c>
      <c r="B120">
        <v>36.71</v>
      </c>
      <c r="C120">
        <v>-27.33</v>
      </c>
      <c r="D120">
        <v>158.28</v>
      </c>
      <c r="E120">
        <v>148.69</v>
      </c>
      <c r="F120">
        <v>116.53</v>
      </c>
    </row>
    <row r="121" spans="1:6" x14ac:dyDescent="0.25">
      <c r="A121" t="s">
        <v>92</v>
      </c>
      <c r="B121">
        <v>102.99</v>
      </c>
      <c r="C121">
        <v>-89.31</v>
      </c>
      <c r="D121">
        <v>328.95</v>
      </c>
      <c r="E121">
        <v>328.99</v>
      </c>
      <c r="F121">
        <v>220.51</v>
      </c>
    </row>
    <row r="122" spans="1:6" x14ac:dyDescent="0.25">
      <c r="A122" t="s">
        <v>93</v>
      </c>
      <c r="B122">
        <v>102.99</v>
      </c>
      <c r="C122">
        <v>-89.31</v>
      </c>
      <c r="D122">
        <v>328.95</v>
      </c>
      <c r="E122">
        <v>328.99</v>
      </c>
      <c r="F122">
        <v>220.51</v>
      </c>
    </row>
    <row r="123" spans="1:6" x14ac:dyDescent="0.25">
      <c r="A123" t="s">
        <v>94</v>
      </c>
      <c r="B123">
        <v>102.99</v>
      </c>
      <c r="C123">
        <v>-89.31</v>
      </c>
      <c r="D123">
        <v>328.95</v>
      </c>
      <c r="E123">
        <v>328.99</v>
      </c>
      <c r="F123">
        <v>220.51</v>
      </c>
    </row>
    <row r="124" spans="1:6" x14ac:dyDescent="0.25">
      <c r="A124" t="s">
        <v>113</v>
      </c>
      <c r="B124">
        <v>102.99</v>
      </c>
      <c r="C124">
        <v>-89.31</v>
      </c>
      <c r="D124">
        <v>328.95</v>
      </c>
      <c r="E124">
        <v>328.99</v>
      </c>
      <c r="F124">
        <v>220.51</v>
      </c>
    </row>
    <row r="125" spans="1:6" ht="24" customHeight="1" x14ac:dyDescent="0.25">
      <c r="A125" t="s">
        <v>45</v>
      </c>
    </row>
    <row r="126" spans="1:6" ht="24" customHeight="1" x14ac:dyDescent="0.25">
      <c r="A126" t="s">
        <v>95</v>
      </c>
    </row>
    <row r="127" spans="1:6" x14ac:dyDescent="0.25">
      <c r="A127" t="s">
        <v>96</v>
      </c>
      <c r="B127">
        <v>8</v>
      </c>
      <c r="C127">
        <v>-7</v>
      </c>
      <c r="D127">
        <v>26</v>
      </c>
      <c r="E127">
        <v>26</v>
      </c>
      <c r="F127">
        <v>17</v>
      </c>
    </row>
    <row r="128" spans="1:6" x14ac:dyDescent="0.25">
      <c r="A128" t="s">
        <v>97</v>
      </c>
      <c r="B128">
        <v>8</v>
      </c>
      <c r="C128">
        <v>-7</v>
      </c>
      <c r="D128">
        <v>26</v>
      </c>
      <c r="E128">
        <v>26</v>
      </c>
      <c r="F128">
        <v>17</v>
      </c>
    </row>
    <row r="129" spans="1:6" ht="36" customHeight="1" x14ac:dyDescent="0.25">
      <c r="A129" t="s">
        <v>100</v>
      </c>
    </row>
    <row r="130" spans="1:6" x14ac:dyDescent="0.25">
      <c r="A130" t="s">
        <v>101</v>
      </c>
      <c r="B130">
        <v>51.41</v>
      </c>
      <c r="C130">
        <v>51.41</v>
      </c>
      <c r="D130">
        <v>80.33</v>
      </c>
      <c r="E130">
        <v>51.41</v>
      </c>
      <c r="F130">
        <v>44.99</v>
      </c>
    </row>
    <row r="131" spans="1:6" x14ac:dyDescent="0.25">
      <c r="A131" t="s">
        <v>102</v>
      </c>
      <c r="B131">
        <v>0</v>
      </c>
      <c r="C131">
        <v>0</v>
      </c>
      <c r="D131">
        <v>16.510000000000002</v>
      </c>
      <c r="E131">
        <v>10.57</v>
      </c>
      <c r="F131">
        <v>9.16</v>
      </c>
    </row>
    <row r="135" spans="1:6" ht="15" customHeight="1" x14ac:dyDescent="0.25">
      <c r="A135" t="s">
        <v>65</v>
      </c>
    </row>
  </sheetData>
  <hyperlinks>
    <hyperlink ref="B1" r:id="rId1" display="javascript:void(0);" xr:uid="{205FB58C-321E-4DEC-95E2-55D6667585C1}"/>
    <hyperlink ref="B90" r:id="rId2" display="javascript:void(0);" xr:uid="{77A9F981-6AC2-4980-B310-95B1A6435B06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C3EAA-ADCC-4570-AE06-8D19D1C24A8F}">
  <sheetPr codeName="Sheet7"/>
  <dimension ref="A1:M134"/>
  <sheetViews>
    <sheetView workbookViewId="0">
      <selection activeCell="H9" sqref="H9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124</v>
      </c>
      <c r="B1" t="s">
        <v>1</v>
      </c>
      <c r="H1" t="str">
        <f>A1</f>
        <v>Mirza International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24.06</v>
      </c>
      <c r="J4">
        <f>VLOOKUP(H4,$A$1:F$161,J$2,0)</f>
        <v>24.06</v>
      </c>
      <c r="K4">
        <f>VLOOKUP(H4,$A$1:F$161,K$2,0)</f>
        <v>24.06</v>
      </c>
      <c r="L4">
        <f>VLOOKUP(H4,$A$1:F$161,L$2,0)</f>
        <v>24.06</v>
      </c>
      <c r="M4">
        <f>VLOOKUP(H4,$A$1:F$161,M$2,0)</f>
        <v>24.06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24.06</v>
      </c>
      <c r="J5">
        <f>VLOOKUP(H5,$A$1:F$161,J$2,0)</f>
        <v>24.06</v>
      </c>
      <c r="K5">
        <f>VLOOKUP(H5,$A$1:F$161,K$2,0)</f>
        <v>24.06</v>
      </c>
      <c r="L5">
        <f>VLOOKUP(H5,$A$1:F$161,L$2,0)</f>
        <v>24.06</v>
      </c>
      <c r="M5">
        <f>VLOOKUP(H5,$A$1:F$161,M$2,0)</f>
        <v>24.06</v>
      </c>
    </row>
    <row r="6" spans="1:13" x14ac:dyDescent="0.25">
      <c r="H6" t="s">
        <v>10</v>
      </c>
      <c r="I6">
        <f>VLOOKUP(H6,$A$1:F$161,I$2,0)</f>
        <v>730.88</v>
      </c>
      <c r="J6">
        <f>VLOOKUP(H6,$A$1:F$161,J$2,0)</f>
        <v>613.12</v>
      </c>
      <c r="K6">
        <f>VLOOKUP(H6,$A$1:F$161,K$2,0)</f>
        <v>603.79</v>
      </c>
      <c r="L6">
        <f>VLOOKUP(H6,$A$1:F$161,L$2,0)</f>
        <v>587.58000000000004</v>
      </c>
      <c r="M6">
        <f>VLOOKUP(H6,$A$1:F$161,M$2,0)</f>
        <v>547.74</v>
      </c>
    </row>
    <row r="7" spans="1:13" ht="24" customHeight="1" x14ac:dyDescent="0.25">
      <c r="A7" t="s">
        <v>6</v>
      </c>
      <c r="H7" t="s">
        <v>11</v>
      </c>
      <c r="I7">
        <f>VLOOKUP(H7,$A$1:F$161,I$2,0)</f>
        <v>730.88</v>
      </c>
      <c r="J7">
        <f>VLOOKUP(H7,$A$1:F$161,J$2,0)</f>
        <v>613.12</v>
      </c>
      <c r="K7">
        <f>VLOOKUP(H7,$A$1:F$161,K$2,0)</f>
        <v>603.79</v>
      </c>
      <c r="L7">
        <f>VLOOKUP(H7,$A$1:F$161,L$2,0)</f>
        <v>587.58000000000004</v>
      </c>
      <c r="M7">
        <f>VLOOKUP(H7,$A$1:F$161,M$2,0)</f>
        <v>547.74</v>
      </c>
    </row>
    <row r="8" spans="1:13" ht="24" customHeight="1" x14ac:dyDescent="0.25">
      <c r="A8" t="s">
        <v>7</v>
      </c>
      <c r="H8" t="s">
        <v>12</v>
      </c>
      <c r="I8">
        <f>VLOOKUP(H8,$A$1:F$161,I$2,0)</f>
        <v>754.94</v>
      </c>
      <c r="J8">
        <f>VLOOKUP(H8,$A$1:F$161,J$2,0)</f>
        <v>637.17999999999995</v>
      </c>
      <c r="K8">
        <f>VLOOKUP(H8,$A$1:F$161,K$2,0)</f>
        <v>627.85</v>
      </c>
      <c r="L8">
        <f>VLOOKUP(H8,$A$1:F$161,L$2,0)</f>
        <v>611.64</v>
      </c>
      <c r="M8">
        <f>VLOOKUP(H8,$A$1:F$161,M$2,0)</f>
        <v>571.79999999999995</v>
      </c>
    </row>
    <row r="9" spans="1:13" x14ac:dyDescent="0.25">
      <c r="A9" t="s">
        <v>8</v>
      </c>
      <c r="B9">
        <v>24.06</v>
      </c>
      <c r="C9">
        <v>24.06</v>
      </c>
      <c r="D9">
        <v>24.06</v>
      </c>
      <c r="E9">
        <v>24.06</v>
      </c>
      <c r="F9">
        <v>24.06</v>
      </c>
      <c r="H9" t="s">
        <v>14</v>
      </c>
      <c r="I9">
        <f>VLOOKUP(H9,$A$1:F$161,I$2,0)</f>
        <v>15.15</v>
      </c>
      <c r="J9">
        <f>VLOOKUP(H9,$A$1:F$161,J$2,0)</f>
        <v>4.3899999999999997</v>
      </c>
      <c r="K9">
        <f>VLOOKUP(H9,$A$1:F$161,K$2,0)</f>
        <v>18</v>
      </c>
      <c r="L9">
        <f>VLOOKUP(H9,$A$1:F$161,L$2,0)</f>
        <v>21.57</v>
      </c>
      <c r="M9">
        <f>VLOOKUP(H9,$A$1:F$161,M$2,0)</f>
        <v>16.03</v>
      </c>
    </row>
    <row r="10" spans="1:13" x14ac:dyDescent="0.25">
      <c r="A10" t="s">
        <v>9</v>
      </c>
      <c r="B10">
        <v>24.06</v>
      </c>
      <c r="C10">
        <v>24.06</v>
      </c>
      <c r="D10">
        <v>24.06</v>
      </c>
      <c r="E10">
        <v>24.06</v>
      </c>
      <c r="F10">
        <v>24.06</v>
      </c>
      <c r="H10" t="s">
        <v>16</v>
      </c>
      <c r="I10">
        <f>VLOOKUP(H10,$A$1:F$161,I$2,0)</f>
        <v>230.44</v>
      </c>
      <c r="J10">
        <f>VLOOKUP(H10,$A$1:F$161,J$2,0)</f>
        <v>193.73</v>
      </c>
      <c r="K10">
        <f>VLOOKUP(H10,$A$1:F$161,K$2,0)</f>
        <v>160.12</v>
      </c>
      <c r="L10">
        <f>VLOOKUP(H10,$A$1:F$161,L$2,0)</f>
        <v>10.58</v>
      </c>
      <c r="M10">
        <f>VLOOKUP(H10,$A$1:F$161,M$2,0)</f>
        <v>6.65</v>
      </c>
    </row>
    <row r="11" spans="1:13" x14ac:dyDescent="0.25">
      <c r="A11" t="s">
        <v>10</v>
      </c>
      <c r="B11">
        <v>730.88</v>
      </c>
      <c r="C11">
        <v>613.12</v>
      </c>
      <c r="D11">
        <v>603.79</v>
      </c>
      <c r="E11">
        <v>587.58000000000004</v>
      </c>
      <c r="F11">
        <v>547.74</v>
      </c>
      <c r="H11" t="s">
        <v>17</v>
      </c>
      <c r="I11">
        <f>VLOOKUP(H11,$A$1:F$161,I$2,0)</f>
        <v>13.71</v>
      </c>
      <c r="J11">
        <f>VLOOKUP(H11,$A$1:F$161,J$2,0)</f>
        <v>13.33</v>
      </c>
      <c r="K11">
        <f>VLOOKUP(H11,$A$1:F$161,K$2,0)</f>
        <v>13.93</v>
      </c>
      <c r="L11">
        <f>VLOOKUP(H11,$A$1:F$161,L$2,0)</f>
        <v>12.73</v>
      </c>
      <c r="M11">
        <f>VLOOKUP(H11,$A$1:F$161,M$2,0)</f>
        <v>11.98</v>
      </c>
    </row>
    <row r="12" spans="1:13" x14ac:dyDescent="0.25">
      <c r="A12" t="s">
        <v>11</v>
      </c>
      <c r="B12">
        <v>730.88</v>
      </c>
      <c r="C12">
        <v>613.12</v>
      </c>
      <c r="D12">
        <v>603.79</v>
      </c>
      <c r="E12">
        <v>587.58000000000004</v>
      </c>
      <c r="F12">
        <v>547.74</v>
      </c>
      <c r="H12" t="s">
        <v>18</v>
      </c>
      <c r="I12">
        <f>VLOOKUP(H12,$A$1:F$161,I$2,0)</f>
        <v>274.83999999999997</v>
      </c>
      <c r="J12">
        <f>VLOOKUP(H12,$A$1:F$161,J$2,0)</f>
        <v>226.08</v>
      </c>
      <c r="K12">
        <f>VLOOKUP(H12,$A$1:F$161,K$2,0)</f>
        <v>209.7</v>
      </c>
      <c r="L12">
        <f>VLOOKUP(H12,$A$1:F$161,L$2,0)</f>
        <v>64.150000000000006</v>
      </c>
      <c r="M12">
        <f>VLOOKUP(H12,$A$1:F$161,M$2,0)</f>
        <v>52.37</v>
      </c>
    </row>
    <row r="13" spans="1:13" x14ac:dyDescent="0.25">
      <c r="A13" t="s">
        <v>12</v>
      </c>
      <c r="B13">
        <v>754.94</v>
      </c>
      <c r="C13">
        <v>637.17999999999995</v>
      </c>
      <c r="D13">
        <v>627.85</v>
      </c>
      <c r="E13">
        <v>611.64</v>
      </c>
      <c r="F13">
        <v>571.79999999999995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252.04</v>
      </c>
      <c r="J14">
        <f>VLOOKUP(H14,$A$1:F$161,J$2,0)</f>
        <v>108.91</v>
      </c>
      <c r="K14">
        <f>VLOOKUP(H14,$A$1:F$161,K$2,0)</f>
        <v>95.42</v>
      </c>
      <c r="L14">
        <f>VLOOKUP(H14,$A$1:F$161,L$2,0)</f>
        <v>81.239999999999995</v>
      </c>
      <c r="M14">
        <f>VLOOKUP(H14,$A$1:F$161,M$2,0)</f>
        <v>85.42</v>
      </c>
    </row>
    <row r="15" spans="1:13" x14ac:dyDescent="0.25">
      <c r="A15" t="s">
        <v>14</v>
      </c>
      <c r="B15">
        <v>15.15</v>
      </c>
      <c r="C15">
        <v>4.3899999999999997</v>
      </c>
      <c r="D15">
        <v>18</v>
      </c>
      <c r="E15">
        <v>21.57</v>
      </c>
      <c r="F15">
        <v>16.03</v>
      </c>
      <c r="H15" t="s">
        <v>22</v>
      </c>
      <c r="I15">
        <f>VLOOKUP(H15,$A$1:F$161,I$2,0)</f>
        <v>71.69</v>
      </c>
      <c r="J15">
        <f>VLOOKUP(H15,$A$1:F$161,J$2,0)</f>
        <v>77.69</v>
      </c>
      <c r="K15">
        <f>VLOOKUP(H15,$A$1:F$161,K$2,0)</f>
        <v>72.95</v>
      </c>
      <c r="L15">
        <f>VLOOKUP(H15,$A$1:F$161,L$2,0)</f>
        <v>40.47</v>
      </c>
      <c r="M15">
        <f>VLOOKUP(H15,$A$1:F$161,M$2,0)</f>
        <v>37.54</v>
      </c>
    </row>
    <row r="16" spans="1:13" x14ac:dyDescent="0.25">
      <c r="A16" t="s">
        <v>15</v>
      </c>
      <c r="B16">
        <v>15.54</v>
      </c>
      <c r="C16">
        <v>14.63</v>
      </c>
      <c r="D16">
        <v>17.649999999999999</v>
      </c>
      <c r="E16">
        <v>19.27</v>
      </c>
      <c r="F16">
        <v>17.71</v>
      </c>
      <c r="H16" t="s">
        <v>23</v>
      </c>
      <c r="I16">
        <f>VLOOKUP(H16,$A$1:F$161,I$2,0)</f>
        <v>0.88</v>
      </c>
      <c r="J16">
        <f>VLOOKUP(H16,$A$1:F$161,J$2,0)</f>
        <v>1.33</v>
      </c>
      <c r="K16">
        <f>VLOOKUP(H16,$A$1:F$161,K$2,0)</f>
        <v>2.0499999999999998</v>
      </c>
      <c r="L16">
        <f>VLOOKUP(H16,$A$1:F$161,L$2,0)</f>
        <v>0.98</v>
      </c>
      <c r="M16">
        <f>VLOOKUP(H16,$A$1:F$161,M$2,0)</f>
        <v>0.86</v>
      </c>
    </row>
    <row r="17" spans="1:13" x14ac:dyDescent="0.25">
      <c r="A17" t="s">
        <v>16</v>
      </c>
      <c r="B17">
        <v>230.44</v>
      </c>
      <c r="C17">
        <v>193.73</v>
      </c>
      <c r="D17">
        <v>160.12</v>
      </c>
      <c r="E17">
        <v>10.58</v>
      </c>
      <c r="F17">
        <v>6.65</v>
      </c>
      <c r="H17" t="s">
        <v>24</v>
      </c>
      <c r="I17">
        <f>VLOOKUP(H17,$A$1:F$161,I$2,0)</f>
        <v>387.21</v>
      </c>
      <c r="J17">
        <f>VLOOKUP(H17,$A$1:F$161,J$2,0)</f>
        <v>304.82</v>
      </c>
      <c r="K17">
        <f>VLOOKUP(H17,$A$1:F$161,K$2,0)</f>
        <v>422.56</v>
      </c>
      <c r="L17">
        <f>VLOOKUP(H17,$A$1:F$161,L$2,0)</f>
        <v>439.25</v>
      </c>
      <c r="M17">
        <f>VLOOKUP(H17,$A$1:F$161,M$2,0)</f>
        <v>377.34</v>
      </c>
    </row>
    <row r="18" spans="1:13" x14ac:dyDescent="0.25">
      <c r="A18" t="s">
        <v>17</v>
      </c>
      <c r="B18">
        <v>13.71</v>
      </c>
      <c r="C18">
        <v>13.33</v>
      </c>
      <c r="D18">
        <v>13.93</v>
      </c>
      <c r="E18">
        <v>12.73</v>
      </c>
      <c r="F18">
        <v>11.98</v>
      </c>
      <c r="H18" t="s">
        <v>25</v>
      </c>
      <c r="I18">
        <f>VLOOKUP(H18,$A$1:F$161,I$2,0)</f>
        <v>1416.99</v>
      </c>
      <c r="J18">
        <f>VLOOKUP(H18,$A$1:F$161,J$2,0)</f>
        <v>1168.08</v>
      </c>
      <c r="K18">
        <f>VLOOKUP(H18,$A$1:F$161,K$2,0)</f>
        <v>1260.1099999999999</v>
      </c>
      <c r="L18">
        <f>VLOOKUP(H18,$A$1:F$161,L$2,0)</f>
        <v>1115.04</v>
      </c>
      <c r="M18">
        <f>VLOOKUP(H18,$A$1:F$161,M$2,0)</f>
        <v>1001.51</v>
      </c>
    </row>
    <row r="19" spans="1:13" x14ac:dyDescent="0.25">
      <c r="A19" t="s">
        <v>18</v>
      </c>
      <c r="B19">
        <v>274.83999999999997</v>
      </c>
      <c r="C19">
        <v>226.08</v>
      </c>
      <c r="D19">
        <v>209.7</v>
      </c>
      <c r="E19">
        <v>64.150000000000006</v>
      </c>
      <c r="F19">
        <v>52.37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62.6</v>
      </c>
      <c r="C21">
        <v>116.89</v>
      </c>
      <c r="D21">
        <v>252.14</v>
      </c>
      <c r="E21">
        <v>316.56</v>
      </c>
      <c r="F21">
        <v>253.52</v>
      </c>
      <c r="H21" t="s">
        <v>28</v>
      </c>
      <c r="I21">
        <f>VLOOKUP(H21,$A$1:F$161,I$2,0)</f>
        <v>591.75</v>
      </c>
      <c r="J21">
        <f>VLOOKUP(H21,$A$1:F$161,J$2,0)</f>
        <v>563.14</v>
      </c>
      <c r="K21">
        <f>VLOOKUP(H21,$A$1:F$161,K$2,0)</f>
        <v>584.94000000000005</v>
      </c>
      <c r="L21">
        <f>VLOOKUP(H21,$A$1:F$161,L$2,0)</f>
        <v>408.53</v>
      </c>
      <c r="M21">
        <f>VLOOKUP(H21,$A$1:F$161,M$2,0)</f>
        <v>356.98</v>
      </c>
    </row>
    <row r="22" spans="1:13" x14ac:dyDescent="0.25">
      <c r="A22" t="s">
        <v>21</v>
      </c>
      <c r="B22">
        <v>252.04</v>
      </c>
      <c r="C22">
        <v>108.91</v>
      </c>
      <c r="D22">
        <v>95.42</v>
      </c>
      <c r="E22">
        <v>81.239999999999995</v>
      </c>
      <c r="F22">
        <v>85.42</v>
      </c>
      <c r="H22" t="s">
        <v>29</v>
      </c>
      <c r="I22">
        <f>VLOOKUP(H22,$A$1:F$161,I$2,0)</f>
        <v>16.27</v>
      </c>
      <c r="J22">
        <f>VLOOKUP(H22,$A$1:F$161,J$2,0)</f>
        <v>11.23</v>
      </c>
      <c r="K22">
        <f>VLOOKUP(H22,$A$1:F$161,K$2,0)</f>
        <v>10.65</v>
      </c>
      <c r="L22">
        <f>VLOOKUP(H22,$A$1:F$161,L$2,0)</f>
        <v>5.39</v>
      </c>
      <c r="M22">
        <f>VLOOKUP(H22,$A$1:F$161,M$2,0)</f>
        <v>24.62</v>
      </c>
    </row>
    <row r="23" spans="1:13" x14ac:dyDescent="0.25">
      <c r="A23" t="s">
        <v>22</v>
      </c>
      <c r="B23">
        <v>71.69</v>
      </c>
      <c r="C23">
        <v>77.69</v>
      </c>
      <c r="D23">
        <v>72.95</v>
      </c>
      <c r="E23">
        <v>40.47</v>
      </c>
      <c r="F23">
        <v>37.54</v>
      </c>
      <c r="H23" t="s">
        <v>30</v>
      </c>
      <c r="I23">
        <f>VLOOKUP(H23,$A$1:F$161,I$2,0)</f>
        <v>612.85</v>
      </c>
      <c r="J23">
        <f>VLOOKUP(H23,$A$1:F$161,J$2,0)</f>
        <v>574.37</v>
      </c>
      <c r="K23">
        <f>VLOOKUP(H23,$A$1:F$161,K$2,0)</f>
        <v>595.59</v>
      </c>
      <c r="L23">
        <f>VLOOKUP(H23,$A$1:F$161,L$2,0)</f>
        <v>413.92</v>
      </c>
      <c r="M23">
        <f>VLOOKUP(H23,$A$1:F$161,M$2,0)</f>
        <v>381.6</v>
      </c>
    </row>
    <row r="24" spans="1:13" x14ac:dyDescent="0.25">
      <c r="A24" t="s">
        <v>23</v>
      </c>
      <c r="B24">
        <v>0.88</v>
      </c>
      <c r="C24">
        <v>1.33</v>
      </c>
      <c r="D24">
        <v>2.0499999999999998</v>
      </c>
      <c r="E24">
        <v>0.98</v>
      </c>
      <c r="F24">
        <v>0.86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24</v>
      </c>
      <c r="B25">
        <v>387.21</v>
      </c>
      <c r="C25">
        <v>304.82</v>
      </c>
      <c r="D25">
        <v>422.56</v>
      </c>
      <c r="E25">
        <v>439.25</v>
      </c>
      <c r="F25">
        <v>377.34</v>
      </c>
      <c r="H25" t="s">
        <v>33</v>
      </c>
      <c r="I25" t="e">
        <f>VLOOKUP(H25,$A$1:F$161,I$2,0)</f>
        <v>#N/A</v>
      </c>
      <c r="J25" t="e">
        <f>VLOOKUP(H25,$A$1:F$161,J$2,0)</f>
        <v>#N/A</v>
      </c>
      <c r="K25" t="e">
        <f>VLOOKUP(H25,$A$1:F$161,K$2,0)</f>
        <v>#N/A</v>
      </c>
      <c r="L25" t="e">
        <f>VLOOKUP(H25,$A$1:F$161,L$2,0)</f>
        <v>#N/A</v>
      </c>
      <c r="M25" t="e">
        <f>VLOOKUP(H25,$A$1:F$161,M$2,0)</f>
        <v>#N/A</v>
      </c>
    </row>
    <row r="26" spans="1:13" x14ac:dyDescent="0.25">
      <c r="A26" t="s">
        <v>25</v>
      </c>
      <c r="B26">
        <v>1416.99</v>
      </c>
      <c r="C26">
        <v>1168.08</v>
      </c>
      <c r="D26">
        <v>1260.1099999999999</v>
      </c>
      <c r="E26">
        <v>1115.04</v>
      </c>
      <c r="F26">
        <v>1001.51</v>
      </c>
      <c r="H26" t="s">
        <v>34</v>
      </c>
      <c r="I26">
        <f>VLOOKUP(H26,$A$1:F$161,I$2,0)</f>
        <v>22.92</v>
      </c>
      <c r="J26">
        <f>VLOOKUP(H26,$A$1:F$161,J$2,0)</f>
        <v>13</v>
      </c>
      <c r="K26">
        <f>VLOOKUP(H26,$A$1:F$161,K$2,0)</f>
        <v>14.81</v>
      </c>
      <c r="L26">
        <f>VLOOKUP(H26,$A$1:F$161,L$2,0)</f>
        <v>14.3</v>
      </c>
      <c r="M26">
        <f>VLOOKUP(H26,$A$1:F$161,M$2,0)</f>
        <v>10.46</v>
      </c>
    </row>
    <row r="27" spans="1:13" x14ac:dyDescent="0.25">
      <c r="A27" t="s">
        <v>26</v>
      </c>
      <c r="H27" t="s">
        <v>35</v>
      </c>
      <c r="I27">
        <f>VLOOKUP(H27,$A$1:F$161,I$2,0)</f>
        <v>638.74</v>
      </c>
      <c r="J27">
        <f>VLOOKUP(H27,$A$1:F$161,J$2,0)</f>
        <v>590.29</v>
      </c>
      <c r="K27">
        <f>VLOOKUP(H27,$A$1:F$161,K$2,0)</f>
        <v>611.91</v>
      </c>
      <c r="L27">
        <f>VLOOKUP(H27,$A$1:F$161,L$2,0)</f>
        <v>428.82</v>
      </c>
      <c r="M27">
        <f>VLOOKUP(H27,$A$1:F$161,M$2,0)</f>
        <v>392.65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591.75</v>
      </c>
      <c r="C29">
        <v>563.14</v>
      </c>
      <c r="D29">
        <v>584.94000000000005</v>
      </c>
      <c r="E29">
        <v>408.53</v>
      </c>
      <c r="F29">
        <v>356.98</v>
      </c>
      <c r="H29" t="s">
        <v>38</v>
      </c>
      <c r="I29">
        <f>VLOOKUP(H29,$A$1:F$161,I$2,0)</f>
        <v>525.91999999999996</v>
      </c>
      <c r="J29">
        <f>VLOOKUP(H29,$A$1:F$161,J$2,0)</f>
        <v>426.27</v>
      </c>
      <c r="K29">
        <f>VLOOKUP(H29,$A$1:F$161,K$2,0)</f>
        <v>413.24</v>
      </c>
      <c r="L29">
        <f>VLOOKUP(H29,$A$1:F$161,L$2,0)</f>
        <v>433.6</v>
      </c>
      <c r="M29">
        <f>VLOOKUP(H29,$A$1:F$161,M$2,0)</f>
        <v>382.68</v>
      </c>
    </row>
    <row r="30" spans="1:13" x14ac:dyDescent="0.25">
      <c r="A30" t="s">
        <v>29</v>
      </c>
      <c r="B30">
        <v>16.27</v>
      </c>
      <c r="C30">
        <v>11.23</v>
      </c>
      <c r="D30">
        <v>10.65</v>
      </c>
      <c r="E30">
        <v>5.39</v>
      </c>
      <c r="F30">
        <v>24.62</v>
      </c>
      <c r="H30" t="s">
        <v>39</v>
      </c>
      <c r="I30">
        <f>VLOOKUP(H30,$A$1:F$161,I$2,0)</f>
        <v>155.49</v>
      </c>
      <c r="J30">
        <f>VLOOKUP(H30,$A$1:F$161,J$2,0)</f>
        <v>79.67</v>
      </c>
      <c r="K30">
        <f>VLOOKUP(H30,$A$1:F$161,K$2,0)</f>
        <v>140.51</v>
      </c>
      <c r="L30">
        <f>VLOOKUP(H30,$A$1:F$161,L$2,0)</f>
        <v>155.68</v>
      </c>
      <c r="M30">
        <f>VLOOKUP(H30,$A$1:F$161,M$2,0)</f>
        <v>132.5</v>
      </c>
    </row>
    <row r="31" spans="1:13" x14ac:dyDescent="0.25">
      <c r="A31" t="s">
        <v>120</v>
      </c>
      <c r="B31">
        <v>4.83</v>
      </c>
      <c r="C31">
        <v>0</v>
      </c>
      <c r="D31">
        <v>0</v>
      </c>
      <c r="E31">
        <v>0</v>
      </c>
      <c r="F31">
        <v>0</v>
      </c>
      <c r="H31" t="s">
        <v>40</v>
      </c>
      <c r="I31">
        <f>VLOOKUP(H31,$A$1:F$161,I$2,0)</f>
        <v>14.86</v>
      </c>
      <c r="J31">
        <f>VLOOKUP(H31,$A$1:F$161,J$2,0)</f>
        <v>10.050000000000001</v>
      </c>
      <c r="K31">
        <f>VLOOKUP(H31,$A$1:F$161,K$2,0)</f>
        <v>15.32</v>
      </c>
      <c r="L31">
        <f>VLOOKUP(H31,$A$1:F$161,L$2,0)</f>
        <v>7.22</v>
      </c>
      <c r="M31">
        <f>VLOOKUP(H31,$A$1:F$161,M$2,0)</f>
        <v>12.82</v>
      </c>
    </row>
    <row r="32" spans="1:13" x14ac:dyDescent="0.25">
      <c r="A32" t="s">
        <v>30</v>
      </c>
      <c r="B32">
        <v>612.85</v>
      </c>
      <c r="C32">
        <v>574.37</v>
      </c>
      <c r="D32">
        <v>595.59</v>
      </c>
      <c r="E32">
        <v>413.92</v>
      </c>
      <c r="F32">
        <v>381.6</v>
      </c>
      <c r="H32" t="s">
        <v>41</v>
      </c>
      <c r="I32" t="e">
        <f>VLOOKUP(H32,$A$1:F$161,I$2,0)</f>
        <v>#N/A</v>
      </c>
      <c r="J32" t="e">
        <f>VLOOKUP(H32,$A$1:F$161,J$2,0)</f>
        <v>#N/A</v>
      </c>
      <c r="K32" t="e">
        <f>VLOOKUP(H32,$A$1:F$161,K$2,0)</f>
        <v>#N/A</v>
      </c>
      <c r="L32" t="e">
        <f>VLOOKUP(H32,$A$1:F$161,L$2,0)</f>
        <v>#N/A</v>
      </c>
      <c r="M32" t="e">
        <f>VLOOKUP(H32,$A$1:F$161,M$2,0)</f>
        <v>#N/A</v>
      </c>
    </row>
    <row r="33" spans="1:13" x14ac:dyDescent="0.25">
      <c r="A33" t="s">
        <v>31</v>
      </c>
      <c r="B33">
        <v>2.97</v>
      </c>
      <c r="C33">
        <v>2.92</v>
      </c>
      <c r="D33">
        <v>1.51</v>
      </c>
      <c r="E33">
        <v>0.6</v>
      </c>
      <c r="F33">
        <v>0.59</v>
      </c>
      <c r="H33" t="s">
        <v>42</v>
      </c>
      <c r="I33">
        <f>VLOOKUP(H33,$A$1:F$161,I$2,0)</f>
        <v>81.98</v>
      </c>
      <c r="J33">
        <f>VLOOKUP(H33,$A$1:F$161,J$2,0)</f>
        <v>61.8</v>
      </c>
      <c r="K33">
        <f>VLOOKUP(H33,$A$1:F$161,K$2,0)</f>
        <v>79.13</v>
      </c>
      <c r="L33">
        <f>VLOOKUP(H33,$A$1:F$161,L$2,0)</f>
        <v>89.72</v>
      </c>
      <c r="M33">
        <f>VLOOKUP(H33,$A$1:F$161,M$2,0)</f>
        <v>80.86</v>
      </c>
    </row>
    <row r="34" spans="1:13" x14ac:dyDescent="0.25">
      <c r="A34" t="s">
        <v>34</v>
      </c>
      <c r="B34">
        <v>22.92</v>
      </c>
      <c r="C34">
        <v>13</v>
      </c>
      <c r="D34">
        <v>14.81</v>
      </c>
      <c r="E34">
        <v>14.3</v>
      </c>
      <c r="F34">
        <v>10.46</v>
      </c>
      <c r="H34" t="s">
        <v>43</v>
      </c>
      <c r="I34">
        <f>VLOOKUP(H34,$A$1:F$161,I$2,0)</f>
        <v>778.25</v>
      </c>
      <c r="J34">
        <f>VLOOKUP(H34,$A$1:F$161,J$2,0)</f>
        <v>577.79</v>
      </c>
      <c r="K34">
        <f>VLOOKUP(H34,$A$1:F$161,K$2,0)</f>
        <v>648.20000000000005</v>
      </c>
      <c r="L34">
        <f>VLOOKUP(H34,$A$1:F$161,L$2,0)</f>
        <v>686.22</v>
      </c>
      <c r="M34">
        <f>VLOOKUP(H34,$A$1:F$161,M$2,0)</f>
        <v>608.86</v>
      </c>
    </row>
    <row r="35" spans="1:13" x14ac:dyDescent="0.25">
      <c r="A35" t="s">
        <v>35</v>
      </c>
      <c r="B35">
        <v>638.74</v>
      </c>
      <c r="C35">
        <v>590.29</v>
      </c>
      <c r="D35">
        <v>611.91</v>
      </c>
      <c r="E35">
        <v>428.82</v>
      </c>
      <c r="F35">
        <v>392.65</v>
      </c>
      <c r="H35" t="s">
        <v>44</v>
      </c>
      <c r="I35">
        <f>VLOOKUP(H35,$A$1:F$161,I$2,0)</f>
        <v>1416.99</v>
      </c>
      <c r="J35">
        <f>VLOOKUP(H35,$A$1:F$161,J$2,0)</f>
        <v>1168.08</v>
      </c>
      <c r="K35">
        <f>VLOOKUP(H35,$A$1:F$161,K$2,0)</f>
        <v>1260.1099999999999</v>
      </c>
      <c r="L35">
        <f>VLOOKUP(H35,$A$1:F$161,L$2,0)</f>
        <v>1115.04</v>
      </c>
      <c r="M35">
        <f>VLOOKUP(H35,$A$1:F$161,M$2,0)</f>
        <v>1001.51</v>
      </c>
    </row>
    <row r="36" spans="1:13" ht="15" customHeight="1" x14ac:dyDescent="0.25">
      <c r="A36" t="s">
        <v>36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38</v>
      </c>
      <c r="B37">
        <v>525.91999999999996</v>
      </c>
      <c r="C37">
        <v>426.27</v>
      </c>
      <c r="D37">
        <v>413.24</v>
      </c>
      <c r="E37">
        <v>433.6</v>
      </c>
      <c r="F37">
        <v>382.68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39</v>
      </c>
      <c r="B38">
        <v>155.49</v>
      </c>
      <c r="C38">
        <v>79.67</v>
      </c>
      <c r="D38">
        <v>140.51</v>
      </c>
      <c r="E38">
        <v>155.68</v>
      </c>
      <c r="F38">
        <v>132.5</v>
      </c>
      <c r="H38" t="s">
        <v>47</v>
      </c>
      <c r="I38">
        <f>VLOOKUP(H38,$A$1:F$161,I$2,0)</f>
        <v>195.7</v>
      </c>
      <c r="J38">
        <f>VLOOKUP(H38,$A$1:F$161,J$2,0)</f>
        <v>86.09</v>
      </c>
      <c r="K38">
        <f>VLOOKUP(H38,$A$1:F$161,K$2,0)</f>
        <v>190.36</v>
      </c>
      <c r="L38">
        <f>VLOOKUP(H38,$A$1:F$161,L$2,0)</f>
        <v>102.25</v>
      </c>
      <c r="M38">
        <f>VLOOKUP(H38,$A$1:F$161,M$2,0)</f>
        <v>211.45</v>
      </c>
    </row>
    <row r="39" spans="1:13" x14ac:dyDescent="0.25">
      <c r="A39" t="s">
        <v>40</v>
      </c>
      <c r="B39">
        <v>14.86</v>
      </c>
      <c r="C39">
        <v>10.050000000000001</v>
      </c>
      <c r="D39">
        <v>15.32</v>
      </c>
      <c r="E39">
        <v>7.22</v>
      </c>
      <c r="F39">
        <v>12.82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42</v>
      </c>
      <c r="B40">
        <v>81.98</v>
      </c>
      <c r="C40">
        <v>61.8</v>
      </c>
      <c r="D40">
        <v>79.13</v>
      </c>
      <c r="E40">
        <v>89.72</v>
      </c>
      <c r="F40">
        <v>80.86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43</v>
      </c>
      <c r="B41">
        <v>778.25</v>
      </c>
      <c r="C41">
        <v>577.79</v>
      </c>
      <c r="D41">
        <v>648.20000000000005</v>
      </c>
      <c r="E41">
        <v>686.22</v>
      </c>
      <c r="F41">
        <v>608.86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44</v>
      </c>
      <c r="B42">
        <v>1416.99</v>
      </c>
      <c r="C42">
        <v>1168.08</v>
      </c>
      <c r="D42">
        <v>1260.1099999999999</v>
      </c>
      <c r="E42">
        <v>1115.04</v>
      </c>
      <c r="F42">
        <v>1001.51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ht="24" customHeight="1" x14ac:dyDescent="0.25">
      <c r="A43" t="s">
        <v>45</v>
      </c>
      <c r="H43" t="s">
        <v>68</v>
      </c>
      <c r="I43">
        <f>VLOOKUP(H43,$A$1:F$161,I$2,0)</f>
        <v>1649.02</v>
      </c>
      <c r="J43">
        <f>VLOOKUP(H43,$A$1:F$161,J$2,0)</f>
        <v>1026.47</v>
      </c>
      <c r="K43">
        <f>VLOOKUP(H43,$A$1:F$161,K$2,0)</f>
        <v>1219.95</v>
      </c>
      <c r="L43">
        <f>VLOOKUP(H43,$A$1:F$161,L$2,0)</f>
        <v>1113.3900000000001</v>
      </c>
      <c r="M43">
        <f>VLOOKUP(H43,$A$1:F$161,M$2,0)</f>
        <v>931.63</v>
      </c>
    </row>
    <row r="44" spans="1:13" ht="36" customHeight="1" x14ac:dyDescent="0.25">
      <c r="A44" t="s">
        <v>46</v>
      </c>
      <c r="H44" t="s">
        <v>70</v>
      </c>
      <c r="I44">
        <f>VLOOKUP(H44,$A$1:F$161,I$2,0)</f>
        <v>1649.02</v>
      </c>
      <c r="J44">
        <f>VLOOKUP(H44,$A$1:F$161,J$2,0)</f>
        <v>1026.47</v>
      </c>
      <c r="K44">
        <f>VLOOKUP(H44,$A$1:F$161,K$2,0)</f>
        <v>1219.95</v>
      </c>
      <c r="L44">
        <f>VLOOKUP(H44,$A$1:F$161,L$2,0)</f>
        <v>1113.3900000000001</v>
      </c>
      <c r="M44">
        <f>VLOOKUP(H44,$A$1:F$161,M$2,0)</f>
        <v>929.48</v>
      </c>
    </row>
    <row r="45" spans="1:13" x14ac:dyDescent="0.25">
      <c r="A45" t="s">
        <v>47</v>
      </c>
      <c r="B45">
        <v>195.7</v>
      </c>
      <c r="C45">
        <v>86.09</v>
      </c>
      <c r="D45">
        <v>190.36</v>
      </c>
      <c r="E45">
        <v>102.25</v>
      </c>
      <c r="F45">
        <v>211.45</v>
      </c>
      <c r="H45" t="s">
        <v>71</v>
      </c>
      <c r="I45">
        <f>VLOOKUP(H45,$A$1:F$161,I$2,0)</f>
        <v>29.65</v>
      </c>
      <c r="J45">
        <f>VLOOKUP(H45,$A$1:F$161,J$2,0)</f>
        <v>22.46</v>
      </c>
      <c r="K45">
        <f>VLOOKUP(H45,$A$1:F$161,K$2,0)</f>
        <v>41.25</v>
      </c>
      <c r="L45">
        <f>VLOOKUP(H45,$A$1:F$161,L$2,0)</f>
        <v>38.31</v>
      </c>
      <c r="M45">
        <f>VLOOKUP(H45,$A$1:F$161,M$2,0)</f>
        <v>42.61</v>
      </c>
    </row>
    <row r="46" spans="1:13" ht="24" customHeight="1" x14ac:dyDescent="0.25">
      <c r="A46" t="s">
        <v>48</v>
      </c>
      <c r="H46" t="s">
        <v>72</v>
      </c>
      <c r="I46">
        <f>VLOOKUP(H46,$A$1:F$161,I$2,0)</f>
        <v>1678.67</v>
      </c>
      <c r="J46">
        <f>VLOOKUP(H46,$A$1:F$161,J$2,0)</f>
        <v>1048.93</v>
      </c>
      <c r="K46">
        <f>VLOOKUP(H46,$A$1:F$161,K$2,0)</f>
        <v>1261.2</v>
      </c>
      <c r="L46">
        <f>VLOOKUP(H46,$A$1:F$161,L$2,0)</f>
        <v>1151.7</v>
      </c>
      <c r="M46">
        <f>VLOOKUP(H46,$A$1:F$161,M$2,0)</f>
        <v>972.09</v>
      </c>
    </row>
    <row r="47" spans="1:13" ht="24" customHeight="1" x14ac:dyDescent="0.25">
      <c r="A47" t="s">
        <v>49</v>
      </c>
      <c r="H47" t="s">
        <v>73</v>
      </c>
      <c r="I47">
        <f>VLOOKUP(H47,$A$1:F$161,I$2,0)</f>
        <v>5.72</v>
      </c>
      <c r="J47">
        <f>VLOOKUP(H47,$A$1:F$161,J$2,0)</f>
        <v>1.2</v>
      </c>
      <c r="K47">
        <f>VLOOKUP(H47,$A$1:F$161,K$2,0)</f>
        <v>1.67</v>
      </c>
      <c r="L47">
        <f>VLOOKUP(H47,$A$1:F$161,L$2,0)</f>
        <v>2.09</v>
      </c>
      <c r="M47">
        <f>VLOOKUP(H47,$A$1:F$161,M$2,0)</f>
        <v>0.41</v>
      </c>
    </row>
    <row r="48" spans="1:13" x14ac:dyDescent="0.25">
      <c r="A48" t="s">
        <v>50</v>
      </c>
      <c r="B48">
        <v>603.97</v>
      </c>
      <c r="C48">
        <v>366.56</v>
      </c>
      <c r="D48">
        <v>3300.7</v>
      </c>
      <c r="E48">
        <v>0</v>
      </c>
      <c r="F48">
        <v>361.17</v>
      </c>
      <c r="H48" t="s">
        <v>74</v>
      </c>
      <c r="I48">
        <f>VLOOKUP(H48,$A$1:F$161,I$2,0)</f>
        <v>1684.39</v>
      </c>
      <c r="J48">
        <f>VLOOKUP(H48,$A$1:F$161,J$2,0)</f>
        <v>1050.1300000000001</v>
      </c>
      <c r="K48">
        <f>VLOOKUP(H48,$A$1:F$161,K$2,0)</f>
        <v>1262.8699999999999</v>
      </c>
      <c r="L48">
        <f>VLOOKUP(H48,$A$1:F$161,L$2,0)</f>
        <v>1153.79</v>
      </c>
      <c r="M48">
        <f>VLOOKUP(H48,$A$1:F$161,M$2,0)</f>
        <v>972.5</v>
      </c>
    </row>
    <row r="49" spans="1:13" ht="48" customHeight="1" x14ac:dyDescent="0.25">
      <c r="A49" t="s">
        <v>51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52</v>
      </c>
      <c r="B50" t="s">
        <v>53</v>
      </c>
      <c r="C50" t="s">
        <v>53</v>
      </c>
      <c r="D50" t="s">
        <v>53</v>
      </c>
      <c r="E50" t="s">
        <v>53</v>
      </c>
      <c r="F50" t="s">
        <v>53</v>
      </c>
      <c r="H50" t="s">
        <v>76</v>
      </c>
      <c r="I50">
        <f>VLOOKUP(H50,$A$1:F$161,I$2,0)</f>
        <v>294.58</v>
      </c>
      <c r="J50">
        <f>VLOOKUP(H50,$A$1:F$161,J$2,0)</f>
        <v>180.8</v>
      </c>
      <c r="K50">
        <f>VLOOKUP(H50,$A$1:F$161,K$2,0)</f>
        <v>317.56</v>
      </c>
      <c r="L50">
        <f>VLOOKUP(H50,$A$1:F$161,L$2,0)</f>
        <v>306.23</v>
      </c>
      <c r="M50">
        <f>VLOOKUP(H50,$A$1:F$161,M$2,0)</f>
        <v>310.33</v>
      </c>
    </row>
    <row r="51" spans="1:13" ht="24" customHeight="1" x14ac:dyDescent="0.25">
      <c r="A51" t="s">
        <v>54</v>
      </c>
      <c r="H51" t="s">
        <v>77</v>
      </c>
      <c r="I51">
        <f>VLOOKUP(H51,$A$1:F$161,I$2,0)</f>
        <v>707.16</v>
      </c>
      <c r="J51">
        <f>VLOOKUP(H51,$A$1:F$161,J$2,0)</f>
        <v>440.53</v>
      </c>
      <c r="K51">
        <f>VLOOKUP(H51,$A$1:F$161,K$2,0)</f>
        <v>375.79</v>
      </c>
      <c r="L51">
        <f>VLOOKUP(H51,$A$1:F$161,L$2,0)</f>
        <v>393.47</v>
      </c>
      <c r="M51">
        <f>VLOOKUP(H51,$A$1:F$161,M$2,0)</f>
        <v>278.35000000000002</v>
      </c>
    </row>
    <row r="52" spans="1:13" x14ac:dyDescent="0.25">
      <c r="A52" t="s">
        <v>55</v>
      </c>
      <c r="B52">
        <v>468.98</v>
      </c>
      <c r="C52">
        <v>304.62</v>
      </c>
      <c r="D52">
        <v>346.2</v>
      </c>
      <c r="E52">
        <v>454.5</v>
      </c>
      <c r="F52">
        <v>461.03</v>
      </c>
      <c r="H52" t="s">
        <v>78</v>
      </c>
      <c r="I52">
        <f>VLOOKUP(H52,$A$1:F$161,I$2,0)</f>
        <v>-57.42</v>
      </c>
      <c r="J52">
        <f>VLOOKUP(H52,$A$1:F$161,J$2,0)</f>
        <v>-32.65</v>
      </c>
      <c r="K52">
        <f>VLOOKUP(H52,$A$1:F$161,K$2,0)</f>
        <v>9.94</v>
      </c>
      <c r="L52">
        <f>VLOOKUP(H52,$A$1:F$161,L$2,0)</f>
        <v>-40.229999999999997</v>
      </c>
      <c r="M52">
        <f>VLOOKUP(H52,$A$1:F$161,M$2,0)</f>
        <v>-107.91</v>
      </c>
    </row>
    <row r="53" spans="1:13" x14ac:dyDescent="0.25">
      <c r="A53" t="s">
        <v>56</v>
      </c>
      <c r="B53" t="s">
        <v>53</v>
      </c>
      <c r="C53" t="s">
        <v>53</v>
      </c>
      <c r="D53" t="s">
        <v>53</v>
      </c>
      <c r="E53" t="s">
        <v>53</v>
      </c>
      <c r="F53" t="s">
        <v>53</v>
      </c>
      <c r="H53" t="s">
        <v>79</v>
      </c>
      <c r="I53">
        <f>VLOOKUP(H53,$A$1:F$161,I$2,0)</f>
        <v>105.2</v>
      </c>
      <c r="J53">
        <f>VLOOKUP(H53,$A$1:F$161,J$2,0)</f>
        <v>89.4</v>
      </c>
      <c r="K53">
        <f>VLOOKUP(H53,$A$1:F$161,K$2,0)</f>
        <v>107.8</v>
      </c>
      <c r="L53">
        <f>VLOOKUP(H53,$A$1:F$161,L$2,0)</f>
        <v>95.15</v>
      </c>
      <c r="M53">
        <f>VLOOKUP(H53,$A$1:F$161,M$2,0)</f>
        <v>90.18</v>
      </c>
    </row>
    <row r="54" spans="1:13" ht="15" customHeight="1" x14ac:dyDescent="0.25">
      <c r="A54" t="s">
        <v>57</v>
      </c>
      <c r="H54" t="s">
        <v>80</v>
      </c>
      <c r="I54">
        <f>VLOOKUP(H54,$A$1:F$161,I$2,0)</f>
        <v>26.98</v>
      </c>
      <c r="J54">
        <f>VLOOKUP(H54,$A$1:F$161,J$2,0)</f>
        <v>41.01</v>
      </c>
      <c r="K54">
        <f>VLOOKUP(H54,$A$1:F$161,K$2,0)</f>
        <v>45.58</v>
      </c>
      <c r="L54">
        <f>VLOOKUP(H54,$A$1:F$161,L$2,0)</f>
        <v>34.31</v>
      </c>
      <c r="M54">
        <f>VLOOKUP(H54,$A$1:F$161,M$2,0)</f>
        <v>24.96</v>
      </c>
    </row>
    <row r="55" spans="1:13" x14ac:dyDescent="0.25">
      <c r="A55" t="s">
        <v>58</v>
      </c>
      <c r="B55">
        <v>15.06</v>
      </c>
      <c r="C55">
        <v>15.06</v>
      </c>
      <c r="D55">
        <v>15.06</v>
      </c>
      <c r="E55">
        <v>15.06</v>
      </c>
      <c r="F55">
        <v>15.06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59</v>
      </c>
      <c r="H56" t="s">
        <v>82</v>
      </c>
      <c r="I56">
        <f>VLOOKUP(H56,$A$1:F$161,I$2,0)</f>
        <v>60.26</v>
      </c>
      <c r="J56">
        <f>VLOOKUP(H56,$A$1:F$161,J$2,0)</f>
        <v>66.540000000000006</v>
      </c>
      <c r="K56">
        <f>VLOOKUP(H56,$A$1:F$161,K$2,0)</f>
        <v>63.44</v>
      </c>
      <c r="L56">
        <f>VLOOKUP(H56,$A$1:F$161,L$2,0)</f>
        <v>35.46</v>
      </c>
      <c r="M56">
        <f>VLOOKUP(H56,$A$1:F$161,M$2,0)</f>
        <v>31.61</v>
      </c>
    </row>
    <row r="57" spans="1:13" x14ac:dyDescent="0.25">
      <c r="A57" t="s">
        <v>60</v>
      </c>
      <c r="B57">
        <v>0.01</v>
      </c>
      <c r="C57">
        <v>0.01</v>
      </c>
      <c r="D57">
        <v>0.01</v>
      </c>
      <c r="E57">
        <v>0.01</v>
      </c>
      <c r="F57">
        <v>0.01</v>
      </c>
      <c r="H57" t="s">
        <v>83</v>
      </c>
      <c r="I57">
        <f>VLOOKUP(H57,$A$1:F$161,I$2,0)</f>
        <v>394.08</v>
      </c>
      <c r="J57">
        <f>VLOOKUP(H57,$A$1:F$161,J$2,0)</f>
        <v>252.57</v>
      </c>
      <c r="K57">
        <f>VLOOKUP(H57,$A$1:F$161,K$2,0)</f>
        <v>278.32</v>
      </c>
      <c r="L57">
        <f>VLOOKUP(H57,$A$1:F$161,L$2,0)</f>
        <v>253.42</v>
      </c>
      <c r="M57">
        <f>VLOOKUP(H57,$A$1:F$161,M$2,0)</f>
        <v>227.14</v>
      </c>
    </row>
    <row r="58" spans="1:13" x14ac:dyDescent="0.25">
      <c r="A58" t="s">
        <v>61</v>
      </c>
      <c r="B58">
        <v>2.96</v>
      </c>
      <c r="C58">
        <v>2.91</v>
      </c>
      <c r="D58">
        <v>1.5</v>
      </c>
      <c r="E58">
        <v>0.59</v>
      </c>
      <c r="F58">
        <v>0.57999999999999996</v>
      </c>
      <c r="H58" t="s">
        <v>84</v>
      </c>
      <c r="I58">
        <f>VLOOKUP(H58,$A$1:F$161,I$2,0)</f>
        <v>1530.84</v>
      </c>
      <c r="J58">
        <f>VLOOKUP(H58,$A$1:F$161,J$2,0)</f>
        <v>1038.2</v>
      </c>
      <c r="K58">
        <f>VLOOKUP(H58,$A$1:F$161,K$2,0)</f>
        <v>1198.43</v>
      </c>
      <c r="L58">
        <f>VLOOKUP(H58,$A$1:F$161,L$2,0)</f>
        <v>1077.81</v>
      </c>
      <c r="M58">
        <f>VLOOKUP(H58,$A$1:F$161,M$2,0)</f>
        <v>854.66</v>
      </c>
    </row>
    <row r="59" spans="1:13" ht="24" customHeight="1" x14ac:dyDescent="0.25">
      <c r="A59" t="s">
        <v>62</v>
      </c>
      <c r="H59" t="s">
        <v>85</v>
      </c>
      <c r="I59">
        <f>VLOOKUP(H59,$A$1:F$161,I$2,0)</f>
        <v>153.55000000000001</v>
      </c>
      <c r="J59">
        <f>VLOOKUP(H59,$A$1:F$161,J$2,0)</f>
        <v>11.93</v>
      </c>
      <c r="K59">
        <f>VLOOKUP(H59,$A$1:F$161,K$2,0)</f>
        <v>64.44</v>
      </c>
      <c r="L59">
        <f>VLOOKUP(H59,$A$1:F$161,L$2,0)</f>
        <v>75.98</v>
      </c>
      <c r="M59">
        <f>VLOOKUP(H59,$A$1:F$161,M$2,0)</f>
        <v>117.84</v>
      </c>
    </row>
    <row r="60" spans="1:13" x14ac:dyDescent="0.25">
      <c r="A60" t="s">
        <v>63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153.55000000000001</v>
      </c>
      <c r="J60">
        <f>VLOOKUP(H60,$A$1:F$161,J$2,0)</f>
        <v>11.93</v>
      </c>
      <c r="K60">
        <f>VLOOKUP(H60,$A$1:F$161,K$2,0)</f>
        <v>64.44</v>
      </c>
      <c r="L60">
        <f>VLOOKUP(H60,$A$1:F$161,L$2,0)</f>
        <v>75.98</v>
      </c>
      <c r="M60">
        <f>VLOOKUP(H60,$A$1:F$161,M$2,0)</f>
        <v>117.84</v>
      </c>
    </row>
    <row r="61" spans="1:13" x14ac:dyDescent="0.25">
      <c r="A61" t="s">
        <v>64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39.659999999999997</v>
      </c>
      <c r="J62">
        <f>VLOOKUP(H62,$A$1:F$161,J$2,0)</f>
        <v>6.57</v>
      </c>
      <c r="K62">
        <f>VLOOKUP(H62,$A$1:F$161,K$2,0)</f>
        <v>18.27</v>
      </c>
      <c r="L62">
        <f>VLOOKUP(H62,$A$1:F$161,L$2,0)</f>
        <v>25.63</v>
      </c>
      <c r="M62">
        <f>VLOOKUP(H62,$A$1:F$161,M$2,0)</f>
        <v>38.380000000000003</v>
      </c>
    </row>
    <row r="63" spans="1:13" x14ac:dyDescent="0.25">
      <c r="H63" t="s">
        <v>90</v>
      </c>
      <c r="I63">
        <f>VLOOKUP(H63,$A$1:F$161,I$2,0)</f>
        <v>0.91</v>
      </c>
      <c r="J63">
        <f>VLOOKUP(H63,$A$1:F$161,J$2,0)</f>
        <v>-3.02</v>
      </c>
      <c r="K63">
        <f>VLOOKUP(H63,$A$1:F$161,K$2,0)</f>
        <v>-1.54</v>
      </c>
      <c r="L63">
        <f>VLOOKUP(H63,$A$1:F$161,L$2,0)</f>
        <v>1.56</v>
      </c>
      <c r="M63">
        <f>VLOOKUP(H63,$A$1:F$161,M$2,0)</f>
        <v>1.04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ht="15" customHeight="1" x14ac:dyDescent="0.25">
      <c r="A65" t="s">
        <v>65</v>
      </c>
      <c r="H65" t="s">
        <v>91</v>
      </c>
      <c r="I65">
        <f>VLOOKUP(H65,$A$1:F$161,I$2,0)</f>
        <v>40.57</v>
      </c>
      <c r="J65">
        <f>VLOOKUP(H65,$A$1:F$161,J$2,0)</f>
        <v>3.55</v>
      </c>
      <c r="K65">
        <f>VLOOKUP(H65,$A$1:F$161,K$2,0)</f>
        <v>16.73</v>
      </c>
      <c r="L65">
        <f>VLOOKUP(H65,$A$1:F$161,L$2,0)</f>
        <v>27.19</v>
      </c>
      <c r="M65">
        <f>VLOOKUP(H65,$A$1:F$161,M$2,0)</f>
        <v>39.42</v>
      </c>
    </row>
    <row r="66" spans="1:13" x14ac:dyDescent="0.25">
      <c r="H66" t="s">
        <v>92</v>
      </c>
      <c r="I66">
        <f>VLOOKUP(H66,$A$1:F$161,I$2,0)</f>
        <v>112.98</v>
      </c>
      <c r="J66">
        <f>VLOOKUP(H66,$A$1:F$161,J$2,0)</f>
        <v>8.3800000000000008</v>
      </c>
      <c r="K66">
        <f>VLOOKUP(H66,$A$1:F$161,K$2,0)</f>
        <v>47.71</v>
      </c>
      <c r="L66">
        <f>VLOOKUP(H66,$A$1:F$161,L$2,0)</f>
        <v>48.79</v>
      </c>
      <c r="M66">
        <f>VLOOKUP(H66,$A$1:F$161,M$2,0)</f>
        <v>78.42</v>
      </c>
    </row>
    <row r="67" spans="1:13" x14ac:dyDescent="0.25">
      <c r="H67" t="s">
        <v>93</v>
      </c>
      <c r="I67">
        <f>VLOOKUP(H67,$A$1:F$161,I$2,0)</f>
        <v>112.98</v>
      </c>
      <c r="J67">
        <f>VLOOKUP(H67,$A$1:F$161,J$2,0)</f>
        <v>8.3800000000000008</v>
      </c>
      <c r="K67">
        <f>VLOOKUP(H67,$A$1:F$161,K$2,0)</f>
        <v>47.71</v>
      </c>
      <c r="L67">
        <f>VLOOKUP(H67,$A$1:F$161,L$2,0)</f>
        <v>48.79</v>
      </c>
      <c r="M67">
        <f>VLOOKUP(H67,$A$1:F$161,M$2,0)</f>
        <v>78.42</v>
      </c>
    </row>
    <row r="68" spans="1:13" x14ac:dyDescent="0.25">
      <c r="H68" t="s">
        <v>94</v>
      </c>
      <c r="I68">
        <f>VLOOKUP(H68,$A$1:F$161,I$2,0)</f>
        <v>112.98</v>
      </c>
      <c r="J68">
        <f>VLOOKUP(H68,$A$1:F$161,J$2,0)</f>
        <v>8.3800000000000008</v>
      </c>
      <c r="K68">
        <f>VLOOKUP(H68,$A$1:F$161,K$2,0)</f>
        <v>47.71</v>
      </c>
      <c r="L68">
        <f>VLOOKUP(H68,$A$1:F$161,L$2,0)</f>
        <v>48.79</v>
      </c>
      <c r="M68">
        <f>VLOOKUP(H68,$A$1:F$161,M$2,0)</f>
        <v>78.42</v>
      </c>
    </row>
    <row r="69" spans="1:13" x14ac:dyDescent="0.25">
      <c r="H69" t="s">
        <v>101</v>
      </c>
      <c r="I69">
        <f>VLOOKUP(H69,$A$1:F$161,I$2,0)</f>
        <v>0</v>
      </c>
      <c r="J69">
        <f>VLOOKUP(H69,$A$1:F$161,J$2,0)</f>
        <v>0</v>
      </c>
      <c r="K69">
        <f>VLOOKUP(H69,$A$1:F$161,K$2,0)</f>
        <v>21.66</v>
      </c>
      <c r="L69">
        <f>VLOOKUP(H69,$A$1:F$161,L$2,0)</f>
        <v>10.83</v>
      </c>
      <c r="M69">
        <f>VLOOKUP(H69,$A$1:F$161,M$2,0)</f>
        <v>0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4.45</v>
      </c>
      <c r="L70">
        <f>VLOOKUP(H70,$A$1:F$161,L$2,0)</f>
        <v>2.23</v>
      </c>
      <c r="M70">
        <f>VLOOKUP(H70,$A$1:F$161,M$2,0)</f>
        <v>0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124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1649.02</v>
      </c>
      <c r="C97">
        <v>1026.47</v>
      </c>
      <c r="D97">
        <v>1219.95</v>
      </c>
      <c r="E97">
        <v>1113.3900000000001</v>
      </c>
      <c r="F97">
        <v>931.63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2.15</v>
      </c>
    </row>
    <row r="99" spans="1:6" x14ac:dyDescent="0.25">
      <c r="A99" t="s">
        <v>70</v>
      </c>
      <c r="B99">
        <v>1649.02</v>
      </c>
      <c r="C99">
        <v>1026.47</v>
      </c>
      <c r="D99">
        <v>1219.95</v>
      </c>
      <c r="E99">
        <v>1113.3900000000001</v>
      </c>
      <c r="F99">
        <v>929.48</v>
      </c>
    </row>
    <row r="100" spans="1:6" x14ac:dyDescent="0.25">
      <c r="A100" t="s">
        <v>71</v>
      </c>
      <c r="B100">
        <v>29.65</v>
      </c>
      <c r="C100">
        <v>22.46</v>
      </c>
      <c r="D100">
        <v>41.25</v>
      </c>
      <c r="E100">
        <v>38.31</v>
      </c>
      <c r="F100">
        <v>42.61</v>
      </c>
    </row>
    <row r="101" spans="1:6" x14ac:dyDescent="0.25">
      <c r="A101" t="s">
        <v>72</v>
      </c>
      <c r="B101">
        <v>1678.67</v>
      </c>
      <c r="C101">
        <v>1048.93</v>
      </c>
      <c r="D101">
        <v>1261.2</v>
      </c>
      <c r="E101">
        <v>1151.7</v>
      </c>
      <c r="F101">
        <v>972.09</v>
      </c>
    </row>
    <row r="102" spans="1:6" x14ac:dyDescent="0.25">
      <c r="A102" t="s">
        <v>73</v>
      </c>
      <c r="B102">
        <v>5.72</v>
      </c>
      <c r="C102">
        <v>1.2</v>
      </c>
      <c r="D102">
        <v>1.67</v>
      </c>
      <c r="E102">
        <v>2.09</v>
      </c>
      <c r="F102">
        <v>0.41</v>
      </c>
    </row>
    <row r="103" spans="1:6" x14ac:dyDescent="0.25">
      <c r="A103" t="s">
        <v>74</v>
      </c>
      <c r="B103">
        <v>1684.39</v>
      </c>
      <c r="C103">
        <v>1050.1300000000001</v>
      </c>
      <c r="D103">
        <v>1262.8699999999999</v>
      </c>
      <c r="E103">
        <v>1153.79</v>
      </c>
      <c r="F103">
        <v>972.5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294.58</v>
      </c>
      <c r="C105">
        <v>180.8</v>
      </c>
      <c r="D105">
        <v>317.56</v>
      </c>
      <c r="E105">
        <v>306.23</v>
      </c>
      <c r="F105">
        <v>310.33</v>
      </c>
    </row>
    <row r="106" spans="1:6" x14ac:dyDescent="0.25">
      <c r="A106" t="s">
        <v>77</v>
      </c>
      <c r="B106">
        <v>707.16</v>
      </c>
      <c r="C106">
        <v>440.53</v>
      </c>
      <c r="D106">
        <v>375.79</v>
      </c>
      <c r="E106">
        <v>393.47</v>
      </c>
      <c r="F106">
        <v>278.35000000000002</v>
      </c>
    </row>
    <row r="107" spans="1:6" x14ac:dyDescent="0.25">
      <c r="A107" t="s">
        <v>78</v>
      </c>
      <c r="B107">
        <v>-57.42</v>
      </c>
      <c r="C107">
        <v>-32.65</v>
      </c>
      <c r="D107">
        <v>9.94</v>
      </c>
      <c r="E107">
        <v>-40.229999999999997</v>
      </c>
      <c r="F107">
        <v>-107.91</v>
      </c>
    </row>
    <row r="108" spans="1:6" x14ac:dyDescent="0.25">
      <c r="A108" t="s">
        <v>79</v>
      </c>
      <c r="B108">
        <v>105.2</v>
      </c>
      <c r="C108">
        <v>89.4</v>
      </c>
      <c r="D108">
        <v>107.8</v>
      </c>
      <c r="E108">
        <v>95.15</v>
      </c>
      <c r="F108">
        <v>90.18</v>
      </c>
    </row>
    <row r="109" spans="1:6" x14ac:dyDescent="0.25">
      <c r="A109" t="s">
        <v>80</v>
      </c>
      <c r="B109">
        <v>26.98</v>
      </c>
      <c r="C109">
        <v>41.01</v>
      </c>
      <c r="D109">
        <v>45.58</v>
      </c>
      <c r="E109">
        <v>34.31</v>
      </c>
      <c r="F109">
        <v>24.96</v>
      </c>
    </row>
    <row r="110" spans="1:6" x14ac:dyDescent="0.25">
      <c r="A110" t="s">
        <v>82</v>
      </c>
      <c r="B110">
        <v>60.26</v>
      </c>
      <c r="C110">
        <v>66.540000000000006</v>
      </c>
      <c r="D110">
        <v>63.44</v>
      </c>
      <c r="E110">
        <v>35.46</v>
      </c>
      <c r="F110">
        <v>31.61</v>
      </c>
    </row>
    <row r="111" spans="1:6" x14ac:dyDescent="0.25">
      <c r="A111" t="s">
        <v>83</v>
      </c>
      <c r="B111">
        <v>394.08</v>
      </c>
      <c r="C111">
        <v>252.57</v>
      </c>
      <c r="D111">
        <v>278.32</v>
      </c>
      <c r="E111">
        <v>253.42</v>
      </c>
      <c r="F111">
        <v>227.14</v>
      </c>
    </row>
    <row r="112" spans="1:6" x14ac:dyDescent="0.25">
      <c r="A112" t="s">
        <v>84</v>
      </c>
      <c r="B112">
        <v>1530.84</v>
      </c>
      <c r="C112">
        <v>1038.2</v>
      </c>
      <c r="D112">
        <v>1198.43</v>
      </c>
      <c r="E112">
        <v>1077.81</v>
      </c>
      <c r="F112">
        <v>854.66</v>
      </c>
    </row>
    <row r="113" spans="1:6" x14ac:dyDescent="0.25">
      <c r="A113" t="s">
        <v>85</v>
      </c>
      <c r="B113">
        <v>153.55000000000001</v>
      </c>
      <c r="C113">
        <v>11.93</v>
      </c>
      <c r="D113">
        <v>64.44</v>
      </c>
      <c r="E113">
        <v>75.98</v>
      </c>
      <c r="F113">
        <v>117.84</v>
      </c>
    </row>
    <row r="114" spans="1:6" x14ac:dyDescent="0.25">
      <c r="A114" t="s">
        <v>87</v>
      </c>
      <c r="B114">
        <v>153.55000000000001</v>
      </c>
      <c r="C114">
        <v>11.93</v>
      </c>
      <c r="D114">
        <v>64.44</v>
      </c>
      <c r="E114">
        <v>75.98</v>
      </c>
      <c r="F114">
        <v>117.84</v>
      </c>
    </row>
    <row r="115" spans="1:6" ht="24" customHeight="1" x14ac:dyDescent="0.25">
      <c r="A115" t="s">
        <v>88</v>
      </c>
    </row>
    <row r="116" spans="1:6" x14ac:dyDescent="0.25">
      <c r="A116" t="s">
        <v>89</v>
      </c>
      <c r="B116">
        <v>39.659999999999997</v>
      </c>
      <c r="C116">
        <v>6.57</v>
      </c>
      <c r="D116">
        <v>18.27</v>
      </c>
      <c r="E116">
        <v>25.63</v>
      </c>
      <c r="F116">
        <v>38.380000000000003</v>
      </c>
    </row>
    <row r="117" spans="1:6" x14ac:dyDescent="0.25">
      <c r="A117" t="s">
        <v>90</v>
      </c>
      <c r="B117">
        <v>0.91</v>
      </c>
      <c r="C117">
        <v>-3.02</v>
      </c>
      <c r="D117">
        <v>-1.54</v>
      </c>
      <c r="E117">
        <v>1.56</v>
      </c>
      <c r="F117">
        <v>1.04</v>
      </c>
    </row>
    <row r="118" spans="1:6" x14ac:dyDescent="0.25">
      <c r="A118" t="s">
        <v>91</v>
      </c>
      <c r="B118">
        <v>40.57</v>
      </c>
      <c r="C118">
        <v>3.55</v>
      </c>
      <c r="D118">
        <v>16.73</v>
      </c>
      <c r="E118">
        <v>27.19</v>
      </c>
      <c r="F118">
        <v>39.42</v>
      </c>
    </row>
    <row r="119" spans="1:6" x14ac:dyDescent="0.25">
      <c r="A119" t="s">
        <v>92</v>
      </c>
      <c r="B119">
        <v>112.98</v>
      </c>
      <c r="C119">
        <v>8.3800000000000008</v>
      </c>
      <c r="D119">
        <v>47.71</v>
      </c>
      <c r="E119">
        <v>48.79</v>
      </c>
      <c r="F119">
        <v>78.42</v>
      </c>
    </row>
    <row r="120" spans="1:6" x14ac:dyDescent="0.25">
      <c r="A120" t="s">
        <v>93</v>
      </c>
      <c r="B120">
        <v>112.98</v>
      </c>
      <c r="C120">
        <v>8.3800000000000008</v>
      </c>
      <c r="D120">
        <v>47.71</v>
      </c>
      <c r="E120">
        <v>48.79</v>
      </c>
      <c r="F120">
        <v>78.42</v>
      </c>
    </row>
    <row r="121" spans="1:6" x14ac:dyDescent="0.25">
      <c r="A121" t="s">
        <v>94</v>
      </c>
      <c r="B121">
        <v>112.98</v>
      </c>
      <c r="C121">
        <v>8.3800000000000008</v>
      </c>
      <c r="D121">
        <v>47.71</v>
      </c>
      <c r="E121">
        <v>48.79</v>
      </c>
      <c r="F121">
        <v>78.42</v>
      </c>
    </row>
    <row r="122" spans="1:6" x14ac:dyDescent="0.25">
      <c r="A122" t="s">
        <v>116</v>
      </c>
      <c r="B122">
        <v>-0.08</v>
      </c>
      <c r="C122">
        <v>-0.04</v>
      </c>
      <c r="D122">
        <v>0</v>
      </c>
      <c r="E122">
        <v>0</v>
      </c>
      <c r="F122">
        <v>0</v>
      </c>
    </row>
    <row r="123" spans="1:6" x14ac:dyDescent="0.25">
      <c r="A123" t="s">
        <v>113</v>
      </c>
      <c r="B123">
        <v>112.9</v>
      </c>
      <c r="C123">
        <v>8.34</v>
      </c>
      <c r="D123">
        <v>47.71</v>
      </c>
      <c r="E123">
        <v>48.79</v>
      </c>
      <c r="F123">
        <v>78.42</v>
      </c>
    </row>
    <row r="124" spans="1:6" ht="24" customHeight="1" x14ac:dyDescent="0.25">
      <c r="A124" t="s">
        <v>45</v>
      </c>
    </row>
    <row r="125" spans="1:6" ht="24" customHeight="1" x14ac:dyDescent="0.25">
      <c r="A125" t="s">
        <v>95</v>
      </c>
    </row>
    <row r="126" spans="1:6" x14ac:dyDescent="0.25">
      <c r="A126" t="s">
        <v>96</v>
      </c>
      <c r="B126">
        <v>9</v>
      </c>
      <c r="C126">
        <v>1</v>
      </c>
      <c r="D126">
        <v>4</v>
      </c>
      <c r="E126">
        <v>4</v>
      </c>
      <c r="F126">
        <v>7</v>
      </c>
    </row>
    <row r="127" spans="1:6" x14ac:dyDescent="0.25">
      <c r="A127" t="s">
        <v>97</v>
      </c>
      <c r="B127">
        <v>9</v>
      </c>
      <c r="C127">
        <v>1</v>
      </c>
      <c r="D127">
        <v>4</v>
      </c>
      <c r="E127">
        <v>4</v>
      </c>
      <c r="F127">
        <v>7</v>
      </c>
    </row>
    <row r="128" spans="1:6" ht="36" customHeight="1" x14ac:dyDescent="0.25">
      <c r="A128" t="s">
        <v>100</v>
      </c>
    </row>
    <row r="129" spans="1:6" x14ac:dyDescent="0.25">
      <c r="A129" t="s">
        <v>101</v>
      </c>
      <c r="B129">
        <v>0</v>
      </c>
      <c r="C129">
        <v>0</v>
      </c>
      <c r="D129">
        <v>21.66</v>
      </c>
      <c r="E129">
        <v>10.83</v>
      </c>
      <c r="F129">
        <v>0</v>
      </c>
    </row>
    <row r="130" spans="1:6" x14ac:dyDescent="0.25">
      <c r="A130" t="s">
        <v>102</v>
      </c>
      <c r="B130">
        <v>0</v>
      </c>
      <c r="C130">
        <v>0</v>
      </c>
      <c r="D130">
        <v>4.45</v>
      </c>
      <c r="E130">
        <v>2.23</v>
      </c>
      <c r="F130">
        <v>0</v>
      </c>
    </row>
    <row r="134" spans="1:6" ht="15" customHeight="1" x14ac:dyDescent="0.25">
      <c r="A134" t="s">
        <v>65</v>
      </c>
    </row>
  </sheetData>
  <hyperlinks>
    <hyperlink ref="B1" r:id="rId1" display="javascript:void(0);" xr:uid="{BC60FCE7-4B6E-4DE3-80C8-A1DE8ACDEA40}"/>
    <hyperlink ref="B90" r:id="rId2" display="javascript:void(0);" xr:uid="{A683BEE5-4076-44AF-BE1C-6F136BE27926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1CA30-C983-41BA-AD4B-1B3C4B08FC79}">
  <sheetPr codeName="Sheet8"/>
  <dimension ref="A1:M138"/>
  <sheetViews>
    <sheetView workbookViewId="0">
      <selection activeCell="A16" sqref="A16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125</v>
      </c>
      <c r="B1" t="s">
        <v>1</v>
      </c>
      <c r="H1" t="str">
        <f>A1</f>
        <v>Hindustan Unilever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235</v>
      </c>
      <c r="J4">
        <f>VLOOKUP(H4,$A$1:F$161,J$2,0)</f>
        <v>235</v>
      </c>
      <c r="K4">
        <f>VLOOKUP(H4,$A$1:F$161,K$2,0)</f>
        <v>216</v>
      </c>
      <c r="L4">
        <f>VLOOKUP(H4,$A$1:F$161,L$2,0)</f>
        <v>216</v>
      </c>
      <c r="M4">
        <f>VLOOKUP(H4,$A$1:F$161,M$2,0)</f>
        <v>216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235</v>
      </c>
      <c r="J5">
        <f>VLOOKUP(H5,$A$1:F$161,J$2,0)</f>
        <v>235</v>
      </c>
      <c r="K5">
        <f>VLOOKUP(H5,$A$1:F$161,K$2,0)</f>
        <v>216</v>
      </c>
      <c r="L5">
        <f>VLOOKUP(H5,$A$1:F$161,L$2,0)</f>
        <v>216</v>
      </c>
      <c r="M5">
        <f>VLOOKUP(H5,$A$1:F$161,M$2,0)</f>
        <v>216</v>
      </c>
    </row>
    <row r="6" spans="1:13" x14ac:dyDescent="0.25">
      <c r="H6" t="s">
        <v>10</v>
      </c>
      <c r="I6">
        <f>VLOOKUP(H6,$A$1:F$161,I$2,0)</f>
        <v>48525</v>
      </c>
      <c r="J6">
        <f>VLOOKUP(H6,$A$1:F$161,J$2,0)</f>
        <v>47199</v>
      </c>
      <c r="K6">
        <f>VLOOKUP(H6,$A$1:F$161,K$2,0)</f>
        <v>7815</v>
      </c>
      <c r="L6">
        <f>VLOOKUP(H6,$A$1:F$161,L$2,0)</f>
        <v>7443</v>
      </c>
      <c r="M6">
        <f>VLOOKUP(H6,$A$1:F$161,M$2,0)</f>
        <v>6859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48525</v>
      </c>
      <c r="J7">
        <f>VLOOKUP(H7,$A$1:F$161,J$2,0)</f>
        <v>47199</v>
      </c>
      <c r="K7">
        <f>VLOOKUP(H7,$A$1:F$161,K$2,0)</f>
        <v>7815</v>
      </c>
      <c r="L7">
        <f>VLOOKUP(H7,$A$1:F$161,L$2,0)</f>
        <v>7443</v>
      </c>
      <c r="M7">
        <f>VLOOKUP(H7,$A$1:F$161,M$2,0)</f>
        <v>6859</v>
      </c>
    </row>
    <row r="8" spans="1:13" ht="24" customHeight="1" x14ac:dyDescent="0.25">
      <c r="A8" t="s">
        <v>7</v>
      </c>
      <c r="H8" t="s">
        <v>12</v>
      </c>
      <c r="I8">
        <f>VLOOKUP(H8,$A$1:F$161,I$2,0)</f>
        <v>48760</v>
      </c>
      <c r="J8">
        <f>VLOOKUP(H8,$A$1:F$161,J$2,0)</f>
        <v>47434</v>
      </c>
      <c r="K8">
        <f>VLOOKUP(H8,$A$1:F$161,K$2,0)</f>
        <v>8031</v>
      </c>
      <c r="L8">
        <f>VLOOKUP(H8,$A$1:F$161,L$2,0)</f>
        <v>7659</v>
      </c>
      <c r="M8">
        <f>VLOOKUP(H8,$A$1:F$161,M$2,0)</f>
        <v>7075</v>
      </c>
    </row>
    <row r="9" spans="1:13" x14ac:dyDescent="0.25">
      <c r="A9" t="s">
        <v>8</v>
      </c>
      <c r="B9">
        <v>235</v>
      </c>
      <c r="C9">
        <v>235</v>
      </c>
      <c r="D9">
        <v>216</v>
      </c>
      <c r="E9">
        <v>216</v>
      </c>
      <c r="F9">
        <v>216</v>
      </c>
      <c r="H9" t="s">
        <v>14</v>
      </c>
      <c r="I9">
        <f>VLOOKUP(H9,$A$1:F$161,I$2,0)</f>
        <v>2339</v>
      </c>
      <c r="J9">
        <f>VLOOKUP(H9,$A$1:F$161,J$2,0)</f>
        <v>2304</v>
      </c>
      <c r="K9">
        <f>VLOOKUP(H9,$A$1:F$161,K$2,0)</f>
        <v>1269</v>
      </c>
      <c r="L9">
        <f>VLOOKUP(H9,$A$1:F$161,L$2,0)</f>
        <v>804</v>
      </c>
      <c r="M9">
        <f>VLOOKUP(H9,$A$1:F$161,M$2,0)</f>
        <v>666</v>
      </c>
    </row>
    <row r="10" spans="1:13" x14ac:dyDescent="0.25">
      <c r="A10" t="s">
        <v>9</v>
      </c>
      <c r="B10">
        <v>235</v>
      </c>
      <c r="C10">
        <v>235</v>
      </c>
      <c r="D10">
        <v>216</v>
      </c>
      <c r="E10">
        <v>216</v>
      </c>
      <c r="F10">
        <v>216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48525</v>
      </c>
      <c r="C11">
        <v>47199</v>
      </c>
      <c r="D11">
        <v>7815</v>
      </c>
      <c r="E11">
        <v>7443</v>
      </c>
      <c r="F11">
        <v>6859</v>
      </c>
      <c r="H11" t="s">
        <v>17</v>
      </c>
      <c r="I11">
        <f>VLOOKUP(H11,$A$1:F$161,I$2,0)</f>
        <v>1553</v>
      </c>
      <c r="J11">
        <f>VLOOKUP(H11,$A$1:F$161,J$2,0)</f>
        <v>1551</v>
      </c>
      <c r="K11">
        <f>VLOOKUP(H11,$A$1:F$161,K$2,0)</f>
        <v>1198</v>
      </c>
      <c r="L11">
        <f>VLOOKUP(H11,$A$1:F$161,L$2,0)</f>
        <v>1049</v>
      </c>
      <c r="M11">
        <f>VLOOKUP(H11,$A$1:F$161,M$2,0)</f>
        <v>772</v>
      </c>
    </row>
    <row r="12" spans="1:13" x14ac:dyDescent="0.25">
      <c r="A12" t="s">
        <v>11</v>
      </c>
      <c r="B12">
        <v>48525</v>
      </c>
      <c r="C12">
        <v>47199</v>
      </c>
      <c r="D12">
        <v>7815</v>
      </c>
      <c r="E12">
        <v>7443</v>
      </c>
      <c r="F12">
        <v>6859</v>
      </c>
      <c r="H12" t="s">
        <v>18</v>
      </c>
      <c r="I12">
        <f>VLOOKUP(H12,$A$1:F$161,I$2,0)</f>
        <v>10033</v>
      </c>
      <c r="J12">
        <f>VLOOKUP(H12,$A$1:F$161,J$2,0)</f>
        <v>9841</v>
      </c>
      <c r="K12">
        <f>VLOOKUP(H12,$A$1:F$161,K$2,0)</f>
        <v>2467</v>
      </c>
      <c r="L12">
        <f>VLOOKUP(H12,$A$1:F$161,L$2,0)</f>
        <v>1853</v>
      </c>
      <c r="M12">
        <f>VLOOKUP(H12,$A$1:F$161,M$2,0)</f>
        <v>1438</v>
      </c>
    </row>
    <row r="13" spans="1:13" x14ac:dyDescent="0.25">
      <c r="A13" t="s">
        <v>12</v>
      </c>
      <c r="B13">
        <v>48760</v>
      </c>
      <c r="C13">
        <v>47434</v>
      </c>
      <c r="D13">
        <v>8031</v>
      </c>
      <c r="E13">
        <v>7659</v>
      </c>
      <c r="F13">
        <v>7075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8864</v>
      </c>
      <c r="J14">
        <f>VLOOKUP(H14,$A$1:F$161,J$2,0)</f>
        <v>8627</v>
      </c>
      <c r="K14">
        <f>VLOOKUP(H14,$A$1:F$161,K$2,0)</f>
        <v>7399</v>
      </c>
      <c r="L14">
        <f>VLOOKUP(H14,$A$1:F$161,L$2,0)</f>
        <v>7070</v>
      </c>
      <c r="M14">
        <f>VLOOKUP(H14,$A$1:F$161,M$2,0)</f>
        <v>7013</v>
      </c>
    </row>
    <row r="15" spans="1:13" x14ac:dyDescent="0.25">
      <c r="A15" t="s">
        <v>15</v>
      </c>
      <c r="B15">
        <v>6141</v>
      </c>
      <c r="C15">
        <v>5986</v>
      </c>
      <c r="D15">
        <v>0</v>
      </c>
      <c r="E15">
        <v>0</v>
      </c>
      <c r="F15">
        <v>0</v>
      </c>
      <c r="H15" t="s">
        <v>22</v>
      </c>
      <c r="I15">
        <f>VLOOKUP(H15,$A$1:F$161,I$2,0)</f>
        <v>1746</v>
      </c>
      <c r="J15">
        <f>VLOOKUP(H15,$A$1:F$161,J$2,0)</f>
        <v>1723</v>
      </c>
      <c r="K15">
        <f>VLOOKUP(H15,$A$1:F$161,K$2,0)</f>
        <v>1287</v>
      </c>
      <c r="L15">
        <f>VLOOKUP(H15,$A$1:F$161,L$2,0)</f>
        <v>782</v>
      </c>
      <c r="M15">
        <f>VLOOKUP(H15,$A$1:F$161,M$2,0)</f>
        <v>972</v>
      </c>
    </row>
    <row r="16" spans="1:13" x14ac:dyDescent="0.25">
      <c r="A16" t="s">
        <v>14</v>
      </c>
      <c r="B16">
        <v>2339</v>
      </c>
      <c r="C16">
        <v>2304</v>
      </c>
      <c r="D16">
        <v>1269</v>
      </c>
      <c r="E16">
        <v>804</v>
      </c>
      <c r="F16">
        <v>666</v>
      </c>
      <c r="H16" t="s">
        <v>23</v>
      </c>
      <c r="I16">
        <f>VLOOKUP(H16,$A$1:F$161,I$2,0)</f>
        <v>334</v>
      </c>
      <c r="J16">
        <f>VLOOKUP(H16,$A$1:F$161,J$2,0)</f>
        <v>491</v>
      </c>
      <c r="K16">
        <f>VLOOKUP(H16,$A$1:F$161,K$2,0)</f>
        <v>418</v>
      </c>
      <c r="L16">
        <f>VLOOKUP(H16,$A$1:F$161,L$2,0)</f>
        <v>501</v>
      </c>
      <c r="M16">
        <f>VLOOKUP(H16,$A$1:F$161,M$2,0)</f>
        <v>651</v>
      </c>
    </row>
    <row r="17" spans="1:13" x14ac:dyDescent="0.25">
      <c r="A17" t="s">
        <v>17</v>
      </c>
      <c r="B17">
        <v>1553</v>
      </c>
      <c r="C17">
        <v>1551</v>
      </c>
      <c r="D17">
        <v>1198</v>
      </c>
      <c r="E17">
        <v>1049</v>
      </c>
      <c r="F17">
        <v>772</v>
      </c>
      <c r="H17" t="s">
        <v>24</v>
      </c>
      <c r="I17">
        <f>VLOOKUP(H17,$A$1:F$161,I$2,0)</f>
        <v>10944</v>
      </c>
      <c r="J17">
        <f>VLOOKUP(H17,$A$1:F$161,J$2,0)</f>
        <v>10841</v>
      </c>
      <c r="K17">
        <f>VLOOKUP(H17,$A$1:F$161,K$2,0)</f>
        <v>9104</v>
      </c>
      <c r="L17">
        <f>VLOOKUP(H17,$A$1:F$161,L$2,0)</f>
        <v>8353</v>
      </c>
      <c r="M17">
        <f>VLOOKUP(H17,$A$1:F$161,M$2,0)</f>
        <v>8636</v>
      </c>
    </row>
    <row r="18" spans="1:13" x14ac:dyDescent="0.25">
      <c r="A18" t="s">
        <v>18</v>
      </c>
      <c r="B18">
        <v>10033</v>
      </c>
      <c r="C18">
        <v>9841</v>
      </c>
      <c r="D18">
        <v>2467</v>
      </c>
      <c r="E18">
        <v>1853</v>
      </c>
      <c r="F18">
        <v>1438</v>
      </c>
      <c r="H18" t="s">
        <v>25</v>
      </c>
      <c r="I18">
        <f>VLOOKUP(H18,$A$1:F$161,I$2,0)</f>
        <v>69737</v>
      </c>
      <c r="J18">
        <f>VLOOKUP(H18,$A$1:F$161,J$2,0)</f>
        <v>68116</v>
      </c>
      <c r="K18">
        <f>VLOOKUP(H18,$A$1:F$161,K$2,0)</f>
        <v>19602</v>
      </c>
      <c r="L18">
        <f>VLOOKUP(H18,$A$1:F$161,L$2,0)</f>
        <v>17865</v>
      </c>
      <c r="M18">
        <f>VLOOKUP(H18,$A$1:F$161,M$2,0)</f>
        <v>17149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21</v>
      </c>
      <c r="B20">
        <v>8864</v>
      </c>
      <c r="C20">
        <v>8627</v>
      </c>
      <c r="D20">
        <v>7399</v>
      </c>
      <c r="E20">
        <v>7070</v>
      </c>
      <c r="F20">
        <v>7013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22</v>
      </c>
      <c r="B21">
        <v>1746</v>
      </c>
      <c r="C21">
        <v>1723</v>
      </c>
      <c r="D21">
        <v>1287</v>
      </c>
      <c r="E21">
        <v>782</v>
      </c>
      <c r="F21">
        <v>972</v>
      </c>
      <c r="H21" t="s">
        <v>28</v>
      </c>
      <c r="I21">
        <f>VLOOKUP(H21,$A$1:F$161,I$2,0)</f>
        <v>5813</v>
      </c>
      <c r="J21">
        <f>VLOOKUP(H21,$A$1:F$161,J$2,0)</f>
        <v>5786</v>
      </c>
      <c r="K21">
        <f>VLOOKUP(H21,$A$1:F$161,K$2,0)</f>
        <v>4625</v>
      </c>
      <c r="L21">
        <f>VLOOKUP(H21,$A$1:F$161,L$2,0)</f>
        <v>3907</v>
      </c>
      <c r="M21">
        <f>VLOOKUP(H21,$A$1:F$161,M$2,0)</f>
        <v>3776</v>
      </c>
    </row>
    <row r="22" spans="1:13" x14ac:dyDescent="0.25">
      <c r="A22" t="s">
        <v>23</v>
      </c>
      <c r="B22">
        <v>334</v>
      </c>
      <c r="C22">
        <v>491</v>
      </c>
      <c r="D22">
        <v>418</v>
      </c>
      <c r="E22">
        <v>501</v>
      </c>
      <c r="F22">
        <v>651</v>
      </c>
      <c r="H22" t="s">
        <v>29</v>
      </c>
      <c r="I22">
        <f>VLOOKUP(H22,$A$1:F$161,I$2,0)</f>
        <v>901</v>
      </c>
      <c r="J22">
        <f>VLOOKUP(H22,$A$1:F$161,J$2,0)</f>
        <v>623</v>
      </c>
      <c r="K22">
        <f>VLOOKUP(H22,$A$1:F$161,K$2,0)</f>
        <v>513</v>
      </c>
      <c r="L22">
        <f>VLOOKUP(H22,$A$1:F$161,L$2,0)</f>
        <v>373</v>
      </c>
      <c r="M22">
        <f>VLOOKUP(H22,$A$1:F$161,M$2,0)</f>
        <v>430</v>
      </c>
    </row>
    <row r="23" spans="1:13" x14ac:dyDescent="0.25">
      <c r="A23" t="s">
        <v>24</v>
      </c>
      <c r="B23">
        <v>10944</v>
      </c>
      <c r="C23">
        <v>10841</v>
      </c>
      <c r="D23">
        <v>9104</v>
      </c>
      <c r="E23">
        <v>8353</v>
      </c>
      <c r="F23">
        <v>8636</v>
      </c>
      <c r="H23" t="s">
        <v>30</v>
      </c>
      <c r="I23">
        <f>VLOOKUP(H23,$A$1:F$161,I$2,0)</f>
        <v>51935</v>
      </c>
      <c r="J23">
        <f>VLOOKUP(H23,$A$1:F$161,J$2,0)</f>
        <v>51650</v>
      </c>
      <c r="K23">
        <f>VLOOKUP(H23,$A$1:F$161,K$2,0)</f>
        <v>5569</v>
      </c>
      <c r="L23">
        <f>VLOOKUP(H23,$A$1:F$161,L$2,0)</f>
        <v>4716</v>
      </c>
      <c r="M23">
        <f>VLOOKUP(H23,$A$1:F$161,M$2,0)</f>
        <v>4572</v>
      </c>
    </row>
    <row r="24" spans="1:13" x14ac:dyDescent="0.25">
      <c r="A24" t="s">
        <v>25</v>
      </c>
      <c r="B24">
        <v>69737</v>
      </c>
      <c r="C24">
        <v>68116</v>
      </c>
      <c r="D24">
        <v>19602</v>
      </c>
      <c r="E24">
        <v>17865</v>
      </c>
      <c r="F24">
        <v>17149</v>
      </c>
      <c r="H24" t="s">
        <v>32</v>
      </c>
      <c r="I24">
        <f>VLOOKUP(H24,$A$1:F$161,I$2,0)</f>
        <v>0</v>
      </c>
      <c r="J24">
        <f>VLOOKUP(H24,$A$1:F$161,J$2,0)</f>
        <v>0</v>
      </c>
      <c r="K24">
        <f>VLOOKUP(H24,$A$1:F$161,K$2,0)</f>
        <v>261</v>
      </c>
      <c r="L24">
        <f>VLOOKUP(H24,$A$1:F$161,L$2,0)</f>
        <v>339</v>
      </c>
      <c r="M24">
        <f>VLOOKUP(H24,$A$1:F$161,M$2,0)</f>
        <v>255</v>
      </c>
    </row>
    <row r="25" spans="1:13" x14ac:dyDescent="0.25">
      <c r="A25" t="s">
        <v>26</v>
      </c>
      <c r="H25" t="s">
        <v>33</v>
      </c>
      <c r="I25">
        <f>VLOOKUP(H25,$A$1:F$161,I$2,0)</f>
        <v>541</v>
      </c>
      <c r="J25">
        <f>VLOOKUP(H25,$A$1:F$161,J$2,0)</f>
        <v>520</v>
      </c>
      <c r="K25">
        <f>VLOOKUP(H25,$A$1:F$161,K$2,0)</f>
        <v>453</v>
      </c>
      <c r="L25">
        <f>VLOOKUP(H25,$A$1:F$161,L$2,0)</f>
        <v>396</v>
      </c>
      <c r="M25">
        <f>VLOOKUP(H25,$A$1:F$161,M$2,0)</f>
        <v>404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2002</v>
      </c>
      <c r="J26">
        <f>VLOOKUP(H26,$A$1:F$161,J$2,0)</f>
        <v>1994</v>
      </c>
      <c r="K26">
        <f>VLOOKUP(H26,$A$1:F$161,K$2,0)</f>
        <v>1159</v>
      </c>
      <c r="L26">
        <f>VLOOKUP(H26,$A$1:F$161,L$2,0)</f>
        <v>784</v>
      </c>
      <c r="M26">
        <f>VLOOKUP(H26,$A$1:F$161,M$2,0)</f>
        <v>523</v>
      </c>
    </row>
    <row r="27" spans="1:13" x14ac:dyDescent="0.25">
      <c r="A27" t="s">
        <v>28</v>
      </c>
      <c r="B27">
        <v>5813</v>
      </c>
      <c r="C27">
        <v>5786</v>
      </c>
      <c r="D27">
        <v>4625</v>
      </c>
      <c r="E27">
        <v>3907</v>
      </c>
      <c r="F27">
        <v>3776</v>
      </c>
      <c r="H27" t="s">
        <v>35</v>
      </c>
      <c r="I27">
        <f>VLOOKUP(H27,$A$1:F$161,I$2,0)</f>
        <v>55090</v>
      </c>
      <c r="J27">
        <f>VLOOKUP(H27,$A$1:F$161,J$2,0)</f>
        <v>54476</v>
      </c>
      <c r="K27">
        <f>VLOOKUP(H27,$A$1:F$161,K$2,0)</f>
        <v>7694</v>
      </c>
      <c r="L27">
        <f>VLOOKUP(H27,$A$1:F$161,L$2,0)</f>
        <v>6491</v>
      </c>
      <c r="M27">
        <f>VLOOKUP(H27,$A$1:F$161,M$2,0)</f>
        <v>6010</v>
      </c>
    </row>
    <row r="28" spans="1:13" x14ac:dyDescent="0.25">
      <c r="A28" t="s">
        <v>106</v>
      </c>
      <c r="B28">
        <v>45221</v>
      </c>
      <c r="C28">
        <v>45241</v>
      </c>
      <c r="D28">
        <v>431</v>
      </c>
      <c r="E28">
        <v>436</v>
      </c>
      <c r="F28">
        <v>366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29</v>
      </c>
      <c r="B29">
        <v>901</v>
      </c>
      <c r="C29">
        <v>623</v>
      </c>
      <c r="D29">
        <v>513</v>
      </c>
      <c r="E29">
        <v>373</v>
      </c>
      <c r="F29">
        <v>430</v>
      </c>
      <c r="H29" t="s">
        <v>38</v>
      </c>
      <c r="I29">
        <f>VLOOKUP(H29,$A$1:F$161,I$2,0)</f>
        <v>3890</v>
      </c>
      <c r="J29">
        <f>VLOOKUP(H29,$A$1:F$161,J$2,0)</f>
        <v>3383</v>
      </c>
      <c r="K29">
        <f>VLOOKUP(H29,$A$1:F$161,K$2,0)</f>
        <v>2636</v>
      </c>
      <c r="L29">
        <f>VLOOKUP(H29,$A$1:F$161,L$2,0)</f>
        <v>2422</v>
      </c>
      <c r="M29">
        <f>VLOOKUP(H29,$A$1:F$161,M$2,0)</f>
        <v>2359</v>
      </c>
    </row>
    <row r="30" spans="1:13" x14ac:dyDescent="0.25">
      <c r="A30" t="s">
        <v>30</v>
      </c>
      <c r="B30">
        <v>51935</v>
      </c>
      <c r="C30">
        <v>51650</v>
      </c>
      <c r="D30">
        <v>5569</v>
      </c>
      <c r="E30">
        <v>4716</v>
      </c>
      <c r="F30">
        <v>4572</v>
      </c>
      <c r="H30" t="s">
        <v>39</v>
      </c>
      <c r="I30">
        <f>VLOOKUP(H30,$A$1:F$161,I$2,0)</f>
        <v>1932</v>
      </c>
      <c r="J30">
        <f>VLOOKUP(H30,$A$1:F$161,J$2,0)</f>
        <v>1648</v>
      </c>
      <c r="K30">
        <f>VLOOKUP(H30,$A$1:F$161,K$2,0)</f>
        <v>1046</v>
      </c>
      <c r="L30">
        <f>VLOOKUP(H30,$A$1:F$161,L$2,0)</f>
        <v>1673</v>
      </c>
      <c r="M30">
        <f>VLOOKUP(H30,$A$1:F$161,M$2,0)</f>
        <v>1147</v>
      </c>
    </row>
    <row r="31" spans="1:13" x14ac:dyDescent="0.25">
      <c r="A31" t="s">
        <v>31</v>
      </c>
      <c r="B31">
        <v>612</v>
      </c>
      <c r="C31">
        <v>312</v>
      </c>
      <c r="D31">
        <v>252</v>
      </c>
      <c r="E31">
        <v>256</v>
      </c>
      <c r="F31">
        <v>256</v>
      </c>
      <c r="H31" t="s">
        <v>40</v>
      </c>
      <c r="I31">
        <f>VLOOKUP(H31,$A$1:F$161,I$2,0)</f>
        <v>3618</v>
      </c>
      <c r="J31">
        <f>VLOOKUP(H31,$A$1:F$161,J$2,0)</f>
        <v>4321</v>
      </c>
      <c r="K31">
        <f>VLOOKUP(H31,$A$1:F$161,K$2,0)</f>
        <v>5017</v>
      </c>
      <c r="L31">
        <f>VLOOKUP(H31,$A$1:F$161,L$2,0)</f>
        <v>3688</v>
      </c>
      <c r="M31">
        <f>VLOOKUP(H31,$A$1:F$161,M$2,0)</f>
        <v>3373</v>
      </c>
    </row>
    <row r="32" spans="1:13" x14ac:dyDescent="0.25">
      <c r="A32" t="s">
        <v>32</v>
      </c>
      <c r="B32">
        <v>0</v>
      </c>
      <c r="C32">
        <v>0</v>
      </c>
      <c r="D32">
        <v>261</v>
      </c>
      <c r="E32">
        <v>339</v>
      </c>
      <c r="F32">
        <v>255</v>
      </c>
      <c r="H32" t="s">
        <v>41</v>
      </c>
      <c r="I32">
        <f>VLOOKUP(H32,$A$1:F$161,I$2,0)</f>
        <v>34</v>
      </c>
      <c r="J32">
        <f>VLOOKUP(H32,$A$1:F$161,J$2,0)</f>
        <v>0</v>
      </c>
      <c r="K32">
        <f>VLOOKUP(H32,$A$1:F$161,K$2,0)</f>
        <v>0</v>
      </c>
      <c r="L32">
        <f>VLOOKUP(H32,$A$1:F$161,L$2,0)</f>
        <v>0</v>
      </c>
      <c r="M32">
        <f>VLOOKUP(H32,$A$1:F$161,M$2,0)</f>
        <v>0</v>
      </c>
    </row>
    <row r="33" spans="1:13" x14ac:dyDescent="0.25">
      <c r="A33" t="s">
        <v>33</v>
      </c>
      <c r="B33">
        <v>541</v>
      </c>
      <c r="C33">
        <v>520</v>
      </c>
      <c r="D33">
        <v>453</v>
      </c>
      <c r="E33">
        <v>396</v>
      </c>
      <c r="F33">
        <v>404</v>
      </c>
      <c r="H33" t="s">
        <v>42</v>
      </c>
      <c r="I33">
        <f>VLOOKUP(H33,$A$1:F$161,I$2,0)</f>
        <v>1663</v>
      </c>
      <c r="J33">
        <f>VLOOKUP(H33,$A$1:F$161,J$2,0)</f>
        <v>1605</v>
      </c>
      <c r="K33">
        <f>VLOOKUP(H33,$A$1:F$161,K$2,0)</f>
        <v>1961</v>
      </c>
      <c r="L33">
        <f>VLOOKUP(H33,$A$1:F$161,L$2,0)</f>
        <v>898</v>
      </c>
      <c r="M33">
        <f>VLOOKUP(H33,$A$1:F$161,M$2,0)</f>
        <v>1405</v>
      </c>
    </row>
    <row r="34" spans="1:13" x14ac:dyDescent="0.25">
      <c r="A34" t="s">
        <v>34</v>
      </c>
      <c r="B34">
        <v>2002</v>
      </c>
      <c r="C34">
        <v>1994</v>
      </c>
      <c r="D34">
        <v>1159</v>
      </c>
      <c r="E34">
        <v>784</v>
      </c>
      <c r="F34">
        <v>523</v>
      </c>
      <c r="H34" t="s">
        <v>43</v>
      </c>
      <c r="I34">
        <f>VLOOKUP(H34,$A$1:F$161,I$2,0)</f>
        <v>14647</v>
      </c>
      <c r="J34">
        <f>VLOOKUP(H34,$A$1:F$161,J$2,0)</f>
        <v>13640</v>
      </c>
      <c r="K34">
        <f>VLOOKUP(H34,$A$1:F$161,K$2,0)</f>
        <v>11908</v>
      </c>
      <c r="L34">
        <f>VLOOKUP(H34,$A$1:F$161,L$2,0)</f>
        <v>11374</v>
      </c>
      <c r="M34">
        <f>VLOOKUP(H34,$A$1:F$161,M$2,0)</f>
        <v>11139</v>
      </c>
    </row>
    <row r="35" spans="1:13" x14ac:dyDescent="0.25">
      <c r="A35" t="s">
        <v>35</v>
      </c>
      <c r="B35">
        <v>55090</v>
      </c>
      <c r="C35">
        <v>54476</v>
      </c>
      <c r="D35">
        <v>7694</v>
      </c>
      <c r="E35">
        <v>6491</v>
      </c>
      <c r="F35">
        <v>6010</v>
      </c>
      <c r="H35" t="s">
        <v>44</v>
      </c>
      <c r="I35">
        <f>VLOOKUP(H35,$A$1:F$161,I$2,0)</f>
        <v>69737</v>
      </c>
      <c r="J35">
        <f>VLOOKUP(H35,$A$1:F$161,J$2,0)</f>
        <v>68116</v>
      </c>
      <c r="K35">
        <f>VLOOKUP(H35,$A$1:F$161,K$2,0)</f>
        <v>19602</v>
      </c>
      <c r="L35">
        <f>VLOOKUP(H35,$A$1:F$161,L$2,0)</f>
        <v>17865</v>
      </c>
      <c r="M35">
        <f>VLOOKUP(H35,$A$1:F$161,M$2,0)</f>
        <v>17149</v>
      </c>
    </row>
    <row r="36" spans="1:13" ht="15" customHeight="1" x14ac:dyDescent="0.25">
      <c r="A36" t="s">
        <v>36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37</v>
      </c>
      <c r="B37">
        <v>3510</v>
      </c>
      <c r="C37">
        <v>2683</v>
      </c>
      <c r="D37">
        <v>1248</v>
      </c>
      <c r="E37">
        <v>2693</v>
      </c>
      <c r="F37">
        <v>2855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38</v>
      </c>
      <c r="B38">
        <v>3890</v>
      </c>
      <c r="C38">
        <v>3383</v>
      </c>
      <c r="D38">
        <v>2636</v>
      </c>
      <c r="E38">
        <v>2422</v>
      </c>
      <c r="F38">
        <v>2359</v>
      </c>
      <c r="H38" t="s">
        <v>47</v>
      </c>
      <c r="I38">
        <f>VLOOKUP(H38,$A$1:F$161,I$2,0)</f>
        <v>2814</v>
      </c>
      <c r="J38">
        <f>VLOOKUP(H38,$A$1:F$161,J$2,0)</f>
        <v>2692</v>
      </c>
      <c r="K38">
        <f>VLOOKUP(H38,$A$1:F$161,K$2,0)</f>
        <v>2809</v>
      </c>
      <c r="L38">
        <f>VLOOKUP(H38,$A$1:F$161,L$2,0)</f>
        <v>2009</v>
      </c>
      <c r="M38">
        <f>VLOOKUP(H38,$A$1:F$161,M$2,0)</f>
        <v>1699</v>
      </c>
    </row>
    <row r="39" spans="1:13" x14ac:dyDescent="0.25">
      <c r="A39" t="s">
        <v>39</v>
      </c>
      <c r="B39">
        <v>1932</v>
      </c>
      <c r="C39">
        <v>1648</v>
      </c>
      <c r="D39">
        <v>1046</v>
      </c>
      <c r="E39">
        <v>1673</v>
      </c>
      <c r="F39">
        <v>1147</v>
      </c>
      <c r="H39" t="s">
        <v>62</v>
      </c>
      <c r="I39">
        <f>VLOOKUP(H39,$A$1:F$161,I$2,0)</f>
        <v>3510</v>
      </c>
      <c r="J39">
        <f>VLOOKUP(H39,$A$1:F$161,J$2,0)</f>
        <v>2683</v>
      </c>
      <c r="K39">
        <f>VLOOKUP(H39,$A$1:F$161,K$2,0)</f>
        <v>1248</v>
      </c>
      <c r="L39">
        <f>VLOOKUP(H39,$A$1:F$161,L$2,0)</f>
        <v>2693</v>
      </c>
      <c r="M39">
        <f>VLOOKUP(H39,$A$1:F$161,M$2,0)</f>
        <v>2855</v>
      </c>
    </row>
    <row r="40" spans="1:13" x14ac:dyDescent="0.25">
      <c r="A40" t="s">
        <v>40</v>
      </c>
      <c r="B40">
        <v>3618</v>
      </c>
      <c r="C40">
        <v>4321</v>
      </c>
      <c r="D40">
        <v>5017</v>
      </c>
      <c r="E40">
        <v>3688</v>
      </c>
      <c r="F40">
        <v>3373</v>
      </c>
      <c r="H40" t="s">
        <v>63</v>
      </c>
      <c r="I40">
        <f>VLOOKUP(H40,$A$1:F$161,I$2,0)</f>
        <v>3510</v>
      </c>
      <c r="J40">
        <f>VLOOKUP(H40,$A$1:F$161,J$2,0)</f>
        <v>2683</v>
      </c>
      <c r="K40">
        <f>VLOOKUP(H40,$A$1:F$161,K$2,0)</f>
        <v>1248</v>
      </c>
      <c r="L40">
        <f>VLOOKUP(H40,$A$1:F$161,L$2,0)</f>
        <v>2693</v>
      </c>
      <c r="M40">
        <f>VLOOKUP(H40,$A$1:F$161,M$2,0)</f>
        <v>2855</v>
      </c>
    </row>
    <row r="41" spans="1:13" x14ac:dyDescent="0.25">
      <c r="A41" t="s">
        <v>41</v>
      </c>
      <c r="B41">
        <v>34</v>
      </c>
      <c r="C41">
        <v>0</v>
      </c>
      <c r="D41">
        <v>0</v>
      </c>
      <c r="E41">
        <v>0</v>
      </c>
      <c r="F41">
        <v>0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>
        <f>VLOOKUP(H41,$A$1:F$161,L$2,0)</f>
        <v>2</v>
      </c>
      <c r="M41">
        <f>VLOOKUP(H41,$A$1:F$161,M$2,0)</f>
        <v>2</v>
      </c>
    </row>
    <row r="42" spans="1:13" x14ac:dyDescent="0.25">
      <c r="A42" t="s">
        <v>42</v>
      </c>
      <c r="B42">
        <v>1663</v>
      </c>
      <c r="C42">
        <v>1605</v>
      </c>
      <c r="D42">
        <v>1961</v>
      </c>
      <c r="E42">
        <v>898</v>
      </c>
      <c r="F42">
        <v>1405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43</v>
      </c>
      <c r="B43">
        <v>14647</v>
      </c>
      <c r="C43">
        <v>13640</v>
      </c>
      <c r="D43">
        <v>11908</v>
      </c>
      <c r="E43">
        <v>11374</v>
      </c>
      <c r="F43">
        <v>11139</v>
      </c>
      <c r="H43" t="s">
        <v>68</v>
      </c>
      <c r="I43">
        <f>VLOOKUP(H43,$A$1:F$161,I$2,0)</f>
        <v>51548</v>
      </c>
      <c r="J43">
        <f>VLOOKUP(H43,$A$1:F$161,J$2,0)</f>
        <v>46321</v>
      </c>
      <c r="K43">
        <f>VLOOKUP(H43,$A$1:F$161,K$2,0)</f>
        <v>39238</v>
      </c>
      <c r="L43">
        <f>VLOOKUP(H43,$A$1:F$161,L$2,0)</f>
        <v>38684</v>
      </c>
      <c r="M43">
        <f>VLOOKUP(H43,$A$1:F$161,M$2,0)</f>
        <v>35571</v>
      </c>
    </row>
    <row r="44" spans="1:13" x14ac:dyDescent="0.25">
      <c r="A44" t="s">
        <v>44</v>
      </c>
      <c r="B44">
        <v>69737</v>
      </c>
      <c r="C44">
        <v>68116</v>
      </c>
      <c r="D44">
        <v>19602</v>
      </c>
      <c r="E44">
        <v>17865</v>
      </c>
      <c r="F44">
        <v>17149</v>
      </c>
      <c r="H44" t="s">
        <v>70</v>
      </c>
      <c r="I44">
        <f>VLOOKUP(H44,$A$1:F$161,I$2,0)</f>
        <v>51548</v>
      </c>
      <c r="J44">
        <f>VLOOKUP(H44,$A$1:F$161,J$2,0)</f>
        <v>46321</v>
      </c>
      <c r="K44">
        <f>VLOOKUP(H44,$A$1:F$161,K$2,0)</f>
        <v>39238</v>
      </c>
      <c r="L44">
        <f>VLOOKUP(H44,$A$1:F$161,L$2,0)</f>
        <v>38684</v>
      </c>
      <c r="M44">
        <f>VLOOKUP(H44,$A$1:F$161,M$2,0)</f>
        <v>34878</v>
      </c>
    </row>
    <row r="45" spans="1:13" ht="24" customHeight="1" x14ac:dyDescent="0.25">
      <c r="A45" t="s">
        <v>45</v>
      </c>
      <c r="H45" t="s">
        <v>71</v>
      </c>
      <c r="I45">
        <f>VLOOKUP(H45,$A$1:F$161,I$2,0)</f>
        <v>898</v>
      </c>
      <c r="J45">
        <f>VLOOKUP(H45,$A$1:F$161,J$2,0)</f>
        <v>707</v>
      </c>
      <c r="K45">
        <f>VLOOKUP(H45,$A$1:F$161,K$2,0)</f>
        <v>545</v>
      </c>
      <c r="L45">
        <f>VLOOKUP(H45,$A$1:F$161,L$2,0)</f>
        <v>626</v>
      </c>
      <c r="M45">
        <f>VLOOKUP(H45,$A$1:F$161,M$2,0)</f>
        <v>667</v>
      </c>
    </row>
    <row r="46" spans="1:13" ht="36" customHeight="1" x14ac:dyDescent="0.25">
      <c r="A46" t="s">
        <v>46</v>
      </c>
      <c r="H46" t="s">
        <v>72</v>
      </c>
      <c r="I46">
        <f>VLOOKUP(H46,$A$1:F$161,I$2,0)</f>
        <v>52446</v>
      </c>
      <c r="J46">
        <f>VLOOKUP(H46,$A$1:F$161,J$2,0)</f>
        <v>47028</v>
      </c>
      <c r="K46">
        <f>VLOOKUP(H46,$A$1:F$161,K$2,0)</f>
        <v>39783</v>
      </c>
      <c r="L46">
        <f>VLOOKUP(H46,$A$1:F$161,L$2,0)</f>
        <v>39310</v>
      </c>
      <c r="M46">
        <f>VLOOKUP(H46,$A$1:F$161,M$2,0)</f>
        <v>35545</v>
      </c>
    </row>
    <row r="47" spans="1:13" x14ac:dyDescent="0.25">
      <c r="A47" t="s">
        <v>47</v>
      </c>
      <c r="B47">
        <v>2814</v>
      </c>
      <c r="C47">
        <v>2692</v>
      </c>
      <c r="D47">
        <v>2809</v>
      </c>
      <c r="E47">
        <v>2009</v>
      </c>
      <c r="F47">
        <v>1699</v>
      </c>
      <c r="H47" t="s">
        <v>73</v>
      </c>
      <c r="I47">
        <f>VLOOKUP(H47,$A$1:F$161,I$2,0)</f>
        <v>258</v>
      </c>
      <c r="J47">
        <f>VLOOKUP(H47,$A$1:F$161,J$2,0)</f>
        <v>410</v>
      </c>
      <c r="K47">
        <f>VLOOKUP(H47,$A$1:F$161,K$2,0)</f>
        <v>632</v>
      </c>
      <c r="L47">
        <f>VLOOKUP(H47,$A$1:F$161,L$2,0)</f>
        <v>550</v>
      </c>
      <c r="M47">
        <f>VLOOKUP(H47,$A$1:F$161,M$2,0)</f>
        <v>384</v>
      </c>
    </row>
    <row r="48" spans="1:13" ht="24" customHeight="1" x14ac:dyDescent="0.25">
      <c r="A48" t="s">
        <v>48</v>
      </c>
      <c r="H48" t="s">
        <v>74</v>
      </c>
      <c r="I48">
        <f>VLOOKUP(H48,$A$1:F$161,I$2,0)</f>
        <v>52704</v>
      </c>
      <c r="J48">
        <f>VLOOKUP(H48,$A$1:F$161,J$2,0)</f>
        <v>47438</v>
      </c>
      <c r="K48">
        <f>VLOOKUP(H48,$A$1:F$161,K$2,0)</f>
        <v>40415</v>
      </c>
      <c r="L48">
        <f>VLOOKUP(H48,$A$1:F$161,L$2,0)</f>
        <v>39860</v>
      </c>
      <c r="M48">
        <f>VLOOKUP(H48,$A$1:F$161,M$2,0)</f>
        <v>35929</v>
      </c>
    </row>
    <row r="49" spans="1:13" ht="24" customHeight="1" x14ac:dyDescent="0.25">
      <c r="A49" t="s">
        <v>49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50</v>
      </c>
      <c r="B50">
        <v>3131</v>
      </c>
      <c r="C50">
        <v>2635</v>
      </c>
      <c r="D50">
        <v>1565</v>
      </c>
      <c r="E50">
        <v>1382</v>
      </c>
      <c r="F50">
        <v>1285</v>
      </c>
      <c r="H50" t="s">
        <v>76</v>
      </c>
      <c r="I50">
        <f>VLOOKUP(H50,$A$1:F$161,I$2,0)</f>
        <v>16446</v>
      </c>
      <c r="J50">
        <f>VLOOKUP(H50,$A$1:F$161,J$2,0)</f>
        <v>15432</v>
      </c>
      <c r="K50">
        <f>VLOOKUP(H50,$A$1:F$161,K$2,0)</f>
        <v>11976</v>
      </c>
      <c r="L50">
        <f>VLOOKUP(H50,$A$1:F$161,L$2,0)</f>
        <v>13707</v>
      </c>
      <c r="M50">
        <f>VLOOKUP(H50,$A$1:F$161,M$2,0)</f>
        <v>12927</v>
      </c>
    </row>
    <row r="51" spans="1:13" ht="48" customHeight="1" x14ac:dyDescent="0.25">
      <c r="A51" t="s">
        <v>51</v>
      </c>
      <c r="H51" t="s">
        <v>77</v>
      </c>
      <c r="I51">
        <f>VLOOKUP(H51,$A$1:F$161,I$2,0)</f>
        <v>9311</v>
      </c>
      <c r="J51">
        <f>VLOOKUP(H51,$A$1:F$161,J$2,0)</f>
        <v>7121</v>
      </c>
      <c r="K51">
        <f>VLOOKUP(H51,$A$1:F$161,K$2,0)</f>
        <v>6391</v>
      </c>
      <c r="L51">
        <f>VLOOKUP(H51,$A$1:F$161,L$2,0)</f>
        <v>4755</v>
      </c>
      <c r="M51">
        <f>VLOOKUP(H51,$A$1:F$161,M$2,0)</f>
        <v>3875</v>
      </c>
    </row>
    <row r="52" spans="1:13" x14ac:dyDescent="0.25">
      <c r="A52" t="s">
        <v>52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-22</v>
      </c>
      <c r="J52">
        <f>VLOOKUP(H52,$A$1:F$161,J$2,0)</f>
        <v>-405</v>
      </c>
      <c r="K52">
        <f>VLOOKUP(H52,$A$1:F$161,K$2,0)</f>
        <v>-108</v>
      </c>
      <c r="L52">
        <f>VLOOKUP(H52,$A$1:F$161,L$2,0)</f>
        <v>12</v>
      </c>
      <c r="M52">
        <f>VLOOKUP(H52,$A$1:F$161,M$2,0)</f>
        <v>-72</v>
      </c>
    </row>
    <row r="53" spans="1:13" ht="24" customHeight="1" x14ac:dyDescent="0.25">
      <c r="A53" t="s">
        <v>54</v>
      </c>
      <c r="H53" t="s">
        <v>79</v>
      </c>
      <c r="I53">
        <f>VLOOKUP(H53,$A$1:F$161,I$2,0)</f>
        <v>2545</v>
      </c>
      <c r="J53">
        <f>VLOOKUP(H53,$A$1:F$161,J$2,0)</f>
        <v>2358</v>
      </c>
      <c r="K53">
        <f>VLOOKUP(H53,$A$1:F$161,K$2,0)</f>
        <v>1820</v>
      </c>
      <c r="L53">
        <f>VLOOKUP(H53,$A$1:F$161,L$2,0)</f>
        <v>1875</v>
      </c>
      <c r="M53">
        <f>VLOOKUP(H53,$A$1:F$161,M$2,0)</f>
        <v>1860</v>
      </c>
    </row>
    <row r="54" spans="1:13" x14ac:dyDescent="0.25">
      <c r="A54" t="s">
        <v>55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106</v>
      </c>
      <c r="J54">
        <f>VLOOKUP(H54,$A$1:F$161,J$2,0)</f>
        <v>117</v>
      </c>
      <c r="K54">
        <f>VLOOKUP(H54,$A$1:F$161,K$2,0)</f>
        <v>118</v>
      </c>
      <c r="L54">
        <f>VLOOKUP(H54,$A$1:F$161,L$2,0)</f>
        <v>33</v>
      </c>
      <c r="M54">
        <f>VLOOKUP(H54,$A$1:F$161,M$2,0)</f>
        <v>26</v>
      </c>
    </row>
    <row r="55" spans="1:13" x14ac:dyDescent="0.25">
      <c r="A55" t="s">
        <v>56</v>
      </c>
      <c r="B55">
        <v>1527</v>
      </c>
      <c r="C55">
        <v>247</v>
      </c>
      <c r="D55">
        <v>283</v>
      </c>
      <c r="E55">
        <v>324</v>
      </c>
      <c r="F55">
        <v>387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15" customHeight="1" x14ac:dyDescent="0.25">
      <c r="A56" t="s">
        <v>57</v>
      </c>
      <c r="H56" t="s">
        <v>82</v>
      </c>
      <c r="I56">
        <f>VLOOKUP(H56,$A$1:F$161,I$2,0)</f>
        <v>1091</v>
      </c>
      <c r="J56">
        <f>VLOOKUP(H56,$A$1:F$161,J$2,0)</f>
        <v>1074</v>
      </c>
      <c r="K56">
        <f>VLOOKUP(H56,$A$1:F$161,K$2,0)</f>
        <v>1002</v>
      </c>
      <c r="L56">
        <f>VLOOKUP(H56,$A$1:F$161,L$2,0)</f>
        <v>565</v>
      </c>
      <c r="M56">
        <f>VLOOKUP(H56,$A$1:F$161,M$2,0)</f>
        <v>520</v>
      </c>
    </row>
    <row r="57" spans="1:13" x14ac:dyDescent="0.25">
      <c r="A57" t="s">
        <v>58</v>
      </c>
      <c r="B57">
        <v>131.69</v>
      </c>
      <c r="C57">
        <v>131.69</v>
      </c>
      <c r="D57">
        <v>131.69</v>
      </c>
      <c r="E57">
        <v>131.69</v>
      </c>
      <c r="F57">
        <v>131.69</v>
      </c>
      <c r="H57" t="s">
        <v>83</v>
      </c>
      <c r="I57">
        <f>VLOOKUP(H57,$A$1:F$161,I$2,0)</f>
        <v>11309</v>
      </c>
      <c r="J57">
        <f>VLOOKUP(H57,$A$1:F$161,J$2,0)</f>
        <v>10896</v>
      </c>
      <c r="K57">
        <f>VLOOKUP(H57,$A$1:F$161,K$2,0)</f>
        <v>9843</v>
      </c>
      <c r="L57">
        <f>VLOOKUP(H57,$A$1:F$161,L$2,0)</f>
        <v>10081</v>
      </c>
      <c r="M57">
        <f>VLOOKUP(H57,$A$1:F$161,M$2,0)</f>
        <v>9456</v>
      </c>
    </row>
    <row r="58" spans="1:13" ht="24" customHeight="1" x14ac:dyDescent="0.25">
      <c r="A58" t="s">
        <v>59</v>
      </c>
      <c r="H58" t="s">
        <v>84</v>
      </c>
      <c r="I58">
        <f>VLOOKUP(H58,$A$1:F$161,I$2,0)</f>
        <v>40786</v>
      </c>
      <c r="J58">
        <f>VLOOKUP(H58,$A$1:F$161,J$2,0)</f>
        <v>36593</v>
      </c>
      <c r="K58">
        <f>VLOOKUP(H58,$A$1:F$161,K$2,0)</f>
        <v>31042</v>
      </c>
      <c r="L58">
        <f>VLOOKUP(H58,$A$1:F$161,L$2,0)</f>
        <v>31028</v>
      </c>
      <c r="M58">
        <f>VLOOKUP(H58,$A$1:F$161,M$2,0)</f>
        <v>28592</v>
      </c>
    </row>
    <row r="59" spans="1:13" x14ac:dyDescent="0.25">
      <c r="A59" t="s">
        <v>60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11918</v>
      </c>
      <c r="J59">
        <f>VLOOKUP(H59,$A$1:F$161,J$2,0)</f>
        <v>10845</v>
      </c>
      <c r="K59">
        <f>VLOOKUP(H59,$A$1:F$161,K$2,0)</f>
        <v>9373</v>
      </c>
      <c r="L59">
        <f>VLOOKUP(H59,$A$1:F$161,L$2,0)</f>
        <v>8832</v>
      </c>
      <c r="M59">
        <f>VLOOKUP(H59,$A$1:F$161,M$2,0)</f>
        <v>7337</v>
      </c>
    </row>
    <row r="60" spans="1:13" x14ac:dyDescent="0.25">
      <c r="A60" t="s">
        <v>61</v>
      </c>
      <c r="B60">
        <v>2</v>
      </c>
      <c r="C60">
        <v>2</v>
      </c>
      <c r="D60">
        <v>2</v>
      </c>
      <c r="E60">
        <v>2</v>
      </c>
      <c r="F60">
        <v>2</v>
      </c>
      <c r="H60" t="s">
        <v>87</v>
      </c>
      <c r="I60">
        <f>VLOOKUP(H60,$A$1:F$161,I$2,0)</f>
        <v>11874</v>
      </c>
      <c r="J60">
        <f>VLOOKUP(H60,$A$1:F$161,J$2,0)</f>
        <v>10606</v>
      </c>
      <c r="K60">
        <f>VLOOKUP(H60,$A$1:F$161,K$2,0)</f>
        <v>9173</v>
      </c>
      <c r="L60">
        <f>VLOOKUP(H60,$A$1:F$161,L$2,0)</f>
        <v>8604</v>
      </c>
      <c r="M60">
        <f>VLOOKUP(H60,$A$1:F$161,M$2,0)</f>
        <v>7304</v>
      </c>
    </row>
    <row r="61" spans="1:13" ht="24" customHeight="1" x14ac:dyDescent="0.25">
      <c r="A61" t="s">
        <v>62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63</v>
      </c>
      <c r="B62">
        <v>3510</v>
      </c>
      <c r="C62">
        <v>2683</v>
      </c>
      <c r="D62">
        <v>1248</v>
      </c>
      <c r="E62">
        <v>2693</v>
      </c>
      <c r="F62">
        <v>2855</v>
      </c>
      <c r="H62" t="s">
        <v>89</v>
      </c>
      <c r="I62">
        <f>VLOOKUP(H62,$A$1:F$161,I$2,0)</f>
        <v>2840</v>
      </c>
      <c r="J62">
        <f>VLOOKUP(H62,$A$1:F$161,J$2,0)</f>
        <v>2520</v>
      </c>
      <c r="K62">
        <f>VLOOKUP(H62,$A$1:F$161,K$2,0)</f>
        <v>2243</v>
      </c>
      <c r="L62">
        <f>VLOOKUP(H62,$A$1:F$161,L$2,0)</f>
        <v>2610</v>
      </c>
      <c r="M62">
        <f>VLOOKUP(H62,$A$1:F$161,M$2,0)</f>
        <v>2216</v>
      </c>
    </row>
    <row r="63" spans="1:13" x14ac:dyDescent="0.25">
      <c r="A63" t="s">
        <v>64</v>
      </c>
      <c r="B63" t="s">
        <v>53</v>
      </c>
      <c r="C63" t="s">
        <v>53</v>
      </c>
      <c r="D63" t="s">
        <v>53</v>
      </c>
      <c r="E63">
        <v>2</v>
      </c>
      <c r="F63">
        <v>2</v>
      </c>
      <c r="H63" t="s">
        <v>90</v>
      </c>
      <c r="I63">
        <f>VLOOKUP(H63,$A$1:F$161,I$2,0)</f>
        <v>147</v>
      </c>
      <c r="J63">
        <f>VLOOKUP(H63,$A$1:F$161,J$2,0)</f>
        <v>86</v>
      </c>
      <c r="K63">
        <f>VLOOKUP(H63,$A$1:F$161,K$2,0)</f>
        <v>166</v>
      </c>
      <c r="L63">
        <f>VLOOKUP(H63,$A$1:F$161,L$2,0)</f>
        <v>-66</v>
      </c>
      <c r="M63">
        <f>VLOOKUP(H63,$A$1:F$161,M$2,0)</f>
        <v>-137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>
        <f>VLOOKUP(H65,$A$1:F$161,I$2,0)</f>
        <v>2987</v>
      </c>
      <c r="J65">
        <f>VLOOKUP(H65,$A$1:F$161,J$2,0)</f>
        <v>2606</v>
      </c>
      <c r="K65">
        <f>VLOOKUP(H65,$A$1:F$161,K$2,0)</f>
        <v>2409</v>
      </c>
      <c r="L65">
        <f>VLOOKUP(H65,$A$1:F$161,L$2,0)</f>
        <v>2544</v>
      </c>
      <c r="M65">
        <f>VLOOKUP(H65,$A$1:F$161,M$2,0)</f>
        <v>2079</v>
      </c>
    </row>
    <row r="66" spans="1:13" x14ac:dyDescent="0.25">
      <c r="H66" t="s">
        <v>92</v>
      </c>
      <c r="I66">
        <f>VLOOKUP(H66,$A$1:F$161,I$2,0)</f>
        <v>8887</v>
      </c>
      <c r="J66">
        <f>VLOOKUP(H66,$A$1:F$161,J$2,0)</f>
        <v>8000</v>
      </c>
      <c r="K66">
        <f>VLOOKUP(H66,$A$1:F$161,K$2,0)</f>
        <v>6764</v>
      </c>
      <c r="L66">
        <f>VLOOKUP(H66,$A$1:F$161,L$2,0)</f>
        <v>6060</v>
      </c>
      <c r="M66">
        <f>VLOOKUP(H66,$A$1:F$161,M$2,0)</f>
        <v>5225</v>
      </c>
    </row>
    <row r="67" spans="1:13" ht="15" customHeight="1" x14ac:dyDescent="0.25">
      <c r="A67" t="s">
        <v>65</v>
      </c>
      <c r="H67" t="s">
        <v>93</v>
      </c>
      <c r="I67">
        <f>VLOOKUP(H67,$A$1:F$161,I$2,0)</f>
        <v>8887</v>
      </c>
      <c r="J67">
        <f>VLOOKUP(H67,$A$1:F$161,J$2,0)</f>
        <v>8000</v>
      </c>
      <c r="K67">
        <f>VLOOKUP(H67,$A$1:F$161,K$2,0)</f>
        <v>6764</v>
      </c>
      <c r="L67">
        <f>VLOOKUP(H67,$A$1:F$161,L$2,0)</f>
        <v>6060</v>
      </c>
      <c r="M67">
        <f>VLOOKUP(H67,$A$1:F$161,M$2,0)</f>
        <v>5225</v>
      </c>
    </row>
    <row r="68" spans="1:13" x14ac:dyDescent="0.25">
      <c r="H68" t="s">
        <v>94</v>
      </c>
      <c r="I68">
        <f>VLOOKUP(H68,$A$1:F$161,I$2,0)</f>
        <v>8892</v>
      </c>
      <c r="J68">
        <f>VLOOKUP(H68,$A$1:F$161,J$2,0)</f>
        <v>7999</v>
      </c>
      <c r="K68">
        <f>VLOOKUP(H68,$A$1:F$161,K$2,0)</f>
        <v>6756</v>
      </c>
      <c r="L68">
        <f>VLOOKUP(H68,$A$1:F$161,L$2,0)</f>
        <v>6060</v>
      </c>
      <c r="M68">
        <f>VLOOKUP(H68,$A$1:F$161,M$2,0)</f>
        <v>5227</v>
      </c>
    </row>
    <row r="69" spans="1:13" x14ac:dyDescent="0.25">
      <c r="H69" t="s">
        <v>101</v>
      </c>
      <c r="I69">
        <f>VLOOKUP(H69,$A$1:F$161,I$2,0)</f>
        <v>7519</v>
      </c>
      <c r="J69">
        <f>VLOOKUP(H69,$A$1:F$161,J$2,0)</f>
        <v>8811</v>
      </c>
      <c r="K69">
        <f>VLOOKUP(H69,$A$1:F$161,K$2,0)</f>
        <v>5196</v>
      </c>
      <c r="L69">
        <f>VLOOKUP(H69,$A$1:F$161,L$2,0)</f>
        <v>4546</v>
      </c>
      <c r="M69">
        <f>VLOOKUP(H69,$A$1:F$161,M$2,0)</f>
        <v>3896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1061</v>
      </c>
      <c r="L70">
        <f>VLOOKUP(H70,$A$1:F$161,L$2,0)</f>
        <v>928</v>
      </c>
      <c r="M70">
        <f>VLOOKUP(H70,$A$1:F$161,M$2,0)</f>
        <v>781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125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51548</v>
      </c>
      <c r="C97">
        <v>46321</v>
      </c>
      <c r="D97">
        <v>39238</v>
      </c>
      <c r="E97">
        <v>38684</v>
      </c>
      <c r="F97">
        <v>35571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693</v>
      </c>
    </row>
    <row r="99" spans="1:6" x14ac:dyDescent="0.25">
      <c r="A99" t="s">
        <v>70</v>
      </c>
      <c r="B99">
        <v>51548</v>
      </c>
      <c r="C99">
        <v>46321</v>
      </c>
      <c r="D99">
        <v>39238</v>
      </c>
      <c r="E99">
        <v>38684</v>
      </c>
      <c r="F99">
        <v>34878</v>
      </c>
    </row>
    <row r="100" spans="1:6" x14ac:dyDescent="0.25">
      <c r="A100" t="s">
        <v>71</v>
      </c>
      <c r="B100">
        <v>898</v>
      </c>
      <c r="C100">
        <v>707</v>
      </c>
      <c r="D100">
        <v>545</v>
      </c>
      <c r="E100">
        <v>626</v>
      </c>
      <c r="F100">
        <v>667</v>
      </c>
    </row>
    <row r="101" spans="1:6" x14ac:dyDescent="0.25">
      <c r="A101" t="s">
        <v>72</v>
      </c>
      <c r="B101">
        <v>52446</v>
      </c>
      <c r="C101">
        <v>47028</v>
      </c>
      <c r="D101">
        <v>39783</v>
      </c>
      <c r="E101">
        <v>39310</v>
      </c>
      <c r="F101">
        <v>35545</v>
      </c>
    </row>
    <row r="102" spans="1:6" x14ac:dyDescent="0.25">
      <c r="A102" t="s">
        <v>73</v>
      </c>
      <c r="B102">
        <v>258</v>
      </c>
      <c r="C102">
        <v>410</v>
      </c>
      <c r="D102">
        <v>632</v>
      </c>
      <c r="E102">
        <v>550</v>
      </c>
      <c r="F102">
        <v>384</v>
      </c>
    </row>
    <row r="103" spans="1:6" x14ac:dyDescent="0.25">
      <c r="A103" t="s">
        <v>74</v>
      </c>
      <c r="B103">
        <v>52704</v>
      </c>
      <c r="C103">
        <v>47438</v>
      </c>
      <c r="D103">
        <v>40415</v>
      </c>
      <c r="E103">
        <v>39860</v>
      </c>
      <c r="F103">
        <v>35929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16446</v>
      </c>
      <c r="C105">
        <v>15432</v>
      </c>
      <c r="D105">
        <v>11976</v>
      </c>
      <c r="E105">
        <v>13707</v>
      </c>
      <c r="F105">
        <v>12927</v>
      </c>
    </row>
    <row r="106" spans="1:6" x14ac:dyDescent="0.25">
      <c r="A106" t="s">
        <v>77</v>
      </c>
      <c r="B106">
        <v>9311</v>
      </c>
      <c r="C106">
        <v>7121</v>
      </c>
      <c r="D106">
        <v>6391</v>
      </c>
      <c r="E106">
        <v>4755</v>
      </c>
      <c r="F106">
        <v>3875</v>
      </c>
    </row>
    <row r="107" spans="1:6" x14ac:dyDescent="0.25">
      <c r="A107" t="s">
        <v>78</v>
      </c>
      <c r="B107">
        <v>-22</v>
      </c>
      <c r="C107">
        <v>-405</v>
      </c>
      <c r="D107">
        <v>-108</v>
      </c>
      <c r="E107">
        <v>12</v>
      </c>
      <c r="F107">
        <v>-72</v>
      </c>
    </row>
    <row r="108" spans="1:6" x14ac:dyDescent="0.25">
      <c r="A108" t="s">
        <v>79</v>
      </c>
      <c r="B108">
        <v>2545</v>
      </c>
      <c r="C108">
        <v>2358</v>
      </c>
      <c r="D108">
        <v>1820</v>
      </c>
      <c r="E108">
        <v>1875</v>
      </c>
      <c r="F108">
        <v>1860</v>
      </c>
    </row>
    <row r="109" spans="1:6" x14ac:dyDescent="0.25">
      <c r="A109" t="s">
        <v>80</v>
      </c>
      <c r="B109">
        <v>106</v>
      </c>
      <c r="C109">
        <v>117</v>
      </c>
      <c r="D109">
        <v>118</v>
      </c>
      <c r="E109">
        <v>33</v>
      </c>
      <c r="F109">
        <v>26</v>
      </c>
    </row>
    <row r="110" spans="1:6" x14ac:dyDescent="0.25">
      <c r="A110" t="s">
        <v>82</v>
      </c>
      <c r="B110">
        <v>1091</v>
      </c>
      <c r="C110">
        <v>1074</v>
      </c>
      <c r="D110">
        <v>1002</v>
      </c>
      <c r="E110">
        <v>565</v>
      </c>
      <c r="F110">
        <v>520</v>
      </c>
    </row>
    <row r="111" spans="1:6" x14ac:dyDescent="0.25">
      <c r="A111" t="s">
        <v>83</v>
      </c>
      <c r="B111">
        <v>11309</v>
      </c>
      <c r="C111">
        <v>10896</v>
      </c>
      <c r="D111">
        <v>9843</v>
      </c>
      <c r="E111">
        <v>10081</v>
      </c>
      <c r="F111">
        <v>9456</v>
      </c>
    </row>
    <row r="112" spans="1:6" x14ac:dyDescent="0.25">
      <c r="A112" t="s">
        <v>84</v>
      </c>
      <c r="B112">
        <v>40786</v>
      </c>
      <c r="C112">
        <v>36593</v>
      </c>
      <c r="D112">
        <v>31042</v>
      </c>
      <c r="E112">
        <v>31028</v>
      </c>
      <c r="F112">
        <v>28592</v>
      </c>
    </row>
    <row r="113" spans="1:6" x14ac:dyDescent="0.25">
      <c r="A113" t="s">
        <v>85</v>
      </c>
      <c r="B113">
        <v>11918</v>
      </c>
      <c r="C113">
        <v>10845</v>
      </c>
      <c r="D113">
        <v>9373</v>
      </c>
      <c r="E113">
        <v>8832</v>
      </c>
      <c r="F113">
        <v>7337</v>
      </c>
    </row>
    <row r="114" spans="1:6" x14ac:dyDescent="0.25">
      <c r="A114" t="s">
        <v>86</v>
      </c>
      <c r="B114">
        <v>-44</v>
      </c>
      <c r="C114">
        <v>-239</v>
      </c>
      <c r="D114">
        <v>-200</v>
      </c>
      <c r="E114">
        <v>-228</v>
      </c>
      <c r="F114">
        <v>-33</v>
      </c>
    </row>
    <row r="115" spans="1:6" x14ac:dyDescent="0.25">
      <c r="A115" t="s">
        <v>87</v>
      </c>
      <c r="B115">
        <v>11874</v>
      </c>
      <c r="C115">
        <v>10606</v>
      </c>
      <c r="D115">
        <v>9173</v>
      </c>
      <c r="E115">
        <v>8604</v>
      </c>
      <c r="F115">
        <v>7304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2840</v>
      </c>
      <c r="C117">
        <v>2520</v>
      </c>
      <c r="D117">
        <v>2243</v>
      </c>
      <c r="E117">
        <v>2610</v>
      </c>
      <c r="F117">
        <v>2216</v>
      </c>
    </row>
    <row r="118" spans="1:6" x14ac:dyDescent="0.25">
      <c r="A118" t="s">
        <v>90</v>
      </c>
      <c r="B118">
        <v>147</v>
      </c>
      <c r="C118">
        <v>86</v>
      </c>
      <c r="D118">
        <v>166</v>
      </c>
      <c r="E118">
        <v>-66</v>
      </c>
      <c r="F118">
        <v>-137</v>
      </c>
    </row>
    <row r="119" spans="1:6" x14ac:dyDescent="0.25">
      <c r="A119" t="s">
        <v>91</v>
      </c>
      <c r="B119">
        <v>2987</v>
      </c>
      <c r="C119">
        <v>2606</v>
      </c>
      <c r="D119">
        <v>2409</v>
      </c>
      <c r="E119">
        <v>2544</v>
      </c>
      <c r="F119">
        <v>2079</v>
      </c>
    </row>
    <row r="120" spans="1:6" x14ac:dyDescent="0.25">
      <c r="A120" t="s">
        <v>92</v>
      </c>
      <c r="B120">
        <v>8887</v>
      </c>
      <c r="C120">
        <v>8000</v>
      </c>
      <c r="D120">
        <v>6764</v>
      </c>
      <c r="E120">
        <v>6060</v>
      </c>
      <c r="F120">
        <v>5225</v>
      </c>
    </row>
    <row r="121" spans="1:6" x14ac:dyDescent="0.25">
      <c r="A121" t="s">
        <v>93</v>
      </c>
      <c r="B121">
        <v>8887</v>
      </c>
      <c r="C121">
        <v>8000</v>
      </c>
      <c r="D121">
        <v>6764</v>
      </c>
      <c r="E121">
        <v>6060</v>
      </c>
      <c r="F121">
        <v>5225</v>
      </c>
    </row>
    <row r="122" spans="1:6" x14ac:dyDescent="0.25">
      <c r="A122" t="s">
        <v>126</v>
      </c>
      <c r="B122">
        <v>3</v>
      </c>
      <c r="C122">
        <v>-1</v>
      </c>
      <c r="D122">
        <v>-6</v>
      </c>
      <c r="E122">
        <v>0</v>
      </c>
      <c r="F122">
        <v>2</v>
      </c>
    </row>
    <row r="123" spans="1:6" x14ac:dyDescent="0.25">
      <c r="A123" t="s">
        <v>127</v>
      </c>
      <c r="B123">
        <v>-2</v>
      </c>
      <c r="C123">
        <v>0</v>
      </c>
      <c r="D123">
        <v>2</v>
      </c>
      <c r="E123">
        <v>0</v>
      </c>
      <c r="F123">
        <v>0</v>
      </c>
    </row>
    <row r="124" spans="1:6" x14ac:dyDescent="0.25">
      <c r="A124" t="s">
        <v>128</v>
      </c>
      <c r="B124">
        <v>5</v>
      </c>
      <c r="C124">
        <v>-1</v>
      </c>
      <c r="D124">
        <v>-8</v>
      </c>
      <c r="E124">
        <v>0</v>
      </c>
      <c r="F124">
        <v>2</v>
      </c>
    </row>
    <row r="125" spans="1:6" x14ac:dyDescent="0.25">
      <c r="A125" t="s">
        <v>94</v>
      </c>
      <c r="B125">
        <v>8892</v>
      </c>
      <c r="C125">
        <v>7999</v>
      </c>
      <c r="D125">
        <v>6756</v>
      </c>
      <c r="E125">
        <v>6060</v>
      </c>
      <c r="F125">
        <v>5227</v>
      </c>
    </row>
    <row r="126" spans="1:6" x14ac:dyDescent="0.25">
      <c r="A126" t="s">
        <v>116</v>
      </c>
      <c r="B126">
        <v>-13</v>
      </c>
      <c r="C126">
        <v>-4</v>
      </c>
      <c r="D126">
        <v>-8</v>
      </c>
      <c r="E126">
        <v>-6</v>
      </c>
      <c r="F126">
        <v>-13</v>
      </c>
    </row>
    <row r="127" spans="1:6" x14ac:dyDescent="0.25">
      <c r="A127" t="s">
        <v>113</v>
      </c>
      <c r="B127">
        <v>8879</v>
      </c>
      <c r="C127">
        <v>7995</v>
      </c>
      <c r="D127">
        <v>6748</v>
      </c>
      <c r="E127">
        <v>6054</v>
      </c>
      <c r="F127">
        <v>5214</v>
      </c>
    </row>
    <row r="128" spans="1:6" ht="24" customHeight="1" x14ac:dyDescent="0.25">
      <c r="A128" t="s">
        <v>45</v>
      </c>
    </row>
    <row r="129" spans="1:6" ht="24" customHeight="1" x14ac:dyDescent="0.25">
      <c r="A129" t="s">
        <v>95</v>
      </c>
    </row>
    <row r="130" spans="1:6" x14ac:dyDescent="0.25">
      <c r="A130" t="s">
        <v>96</v>
      </c>
      <c r="B130">
        <v>38</v>
      </c>
      <c r="C130">
        <v>34</v>
      </c>
      <c r="D130">
        <v>31</v>
      </c>
      <c r="E130">
        <v>28</v>
      </c>
      <c r="F130">
        <v>24</v>
      </c>
    </row>
    <row r="131" spans="1:6" x14ac:dyDescent="0.25">
      <c r="A131" t="s">
        <v>97</v>
      </c>
      <c r="B131">
        <v>38</v>
      </c>
      <c r="C131">
        <v>34</v>
      </c>
      <c r="D131">
        <v>31</v>
      </c>
      <c r="E131">
        <v>28</v>
      </c>
      <c r="F131">
        <v>24</v>
      </c>
    </row>
    <row r="132" spans="1:6" ht="36" customHeight="1" x14ac:dyDescent="0.25">
      <c r="A132" t="s">
        <v>100</v>
      </c>
    </row>
    <row r="133" spans="1:6" x14ac:dyDescent="0.25">
      <c r="A133" t="s">
        <v>101</v>
      </c>
      <c r="B133">
        <v>7519</v>
      </c>
      <c r="C133">
        <v>8811</v>
      </c>
      <c r="D133">
        <v>5196</v>
      </c>
      <c r="E133">
        <v>4546</v>
      </c>
      <c r="F133">
        <v>3896</v>
      </c>
    </row>
    <row r="134" spans="1:6" x14ac:dyDescent="0.25">
      <c r="A134" t="s">
        <v>102</v>
      </c>
      <c r="B134">
        <v>0</v>
      </c>
      <c r="C134">
        <v>0</v>
      </c>
      <c r="D134">
        <v>1061</v>
      </c>
      <c r="E134">
        <v>928</v>
      </c>
      <c r="F134">
        <v>781</v>
      </c>
    </row>
    <row r="138" spans="1:6" ht="15" customHeight="1" x14ac:dyDescent="0.25">
      <c r="A138" t="s">
        <v>65</v>
      </c>
    </row>
  </sheetData>
  <hyperlinks>
    <hyperlink ref="B1" r:id="rId1" display="javascript:void(0);" xr:uid="{08336F20-8B4D-4D1A-A257-F7EE80FF6B42}"/>
    <hyperlink ref="B90" r:id="rId2" display="javascript:void(0);" xr:uid="{5CD641B0-439D-4164-9027-F7ABE4936733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B7AAA-94A2-4F6F-B24F-9C4B4E774CAB}">
  <sheetPr codeName="Sheet9"/>
  <dimension ref="A1:M136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129</v>
      </c>
      <c r="B1" t="s">
        <v>1</v>
      </c>
      <c r="H1" t="str">
        <f>A1</f>
        <v>Dabur India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176.79</v>
      </c>
      <c r="J4">
        <f>VLOOKUP(H4,$A$1:F$161,J$2,0)</f>
        <v>176.74</v>
      </c>
      <c r="K4">
        <f>VLOOKUP(H4,$A$1:F$161,K$2,0)</f>
        <v>176.71</v>
      </c>
      <c r="L4">
        <f>VLOOKUP(H4,$A$1:F$161,L$2,0)</f>
        <v>176.63</v>
      </c>
      <c r="M4">
        <f>VLOOKUP(H4,$A$1:F$161,M$2,0)</f>
        <v>176.15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176.79</v>
      </c>
      <c r="J5">
        <f>VLOOKUP(H5,$A$1:F$161,J$2,0)</f>
        <v>176.74</v>
      </c>
      <c r="K5">
        <f>VLOOKUP(H5,$A$1:F$161,K$2,0)</f>
        <v>176.71</v>
      </c>
      <c r="L5">
        <f>VLOOKUP(H5,$A$1:F$161,L$2,0)</f>
        <v>176.63</v>
      </c>
      <c r="M5">
        <f>VLOOKUP(H5,$A$1:F$161,M$2,0)</f>
        <v>176.15</v>
      </c>
    </row>
    <row r="6" spans="1:13" x14ac:dyDescent="0.25">
      <c r="H6" t="s">
        <v>10</v>
      </c>
      <c r="I6">
        <f>VLOOKUP(H6,$A$1:F$161,I$2,0)</f>
        <v>5687.08</v>
      </c>
      <c r="J6">
        <f>VLOOKUP(H6,$A$1:F$161,J$2,0)</f>
        <v>5214.4799999999996</v>
      </c>
      <c r="K6">
        <f>VLOOKUP(H6,$A$1:F$161,K$2,0)</f>
        <v>4397.5200000000004</v>
      </c>
      <c r="L6">
        <f>VLOOKUP(H6,$A$1:F$161,L$2,0)</f>
        <v>3792.19</v>
      </c>
      <c r="M6">
        <f>VLOOKUP(H6,$A$1:F$161,M$2,0)</f>
        <v>4050.71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5687.08</v>
      </c>
      <c r="J7">
        <f>VLOOKUP(H7,$A$1:F$161,J$2,0)</f>
        <v>5214.4799999999996</v>
      </c>
      <c r="K7">
        <f>VLOOKUP(H7,$A$1:F$161,K$2,0)</f>
        <v>4397.5200000000004</v>
      </c>
      <c r="L7">
        <f>VLOOKUP(H7,$A$1:F$161,L$2,0)</f>
        <v>3792.19</v>
      </c>
      <c r="M7">
        <f>VLOOKUP(H7,$A$1:F$161,M$2,0)</f>
        <v>4050.71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5863.87</v>
      </c>
      <c r="J8">
        <f>VLOOKUP(H8,$A$1:F$161,J$2,0)</f>
        <v>5391.22</v>
      </c>
      <c r="K8">
        <f>VLOOKUP(H8,$A$1:F$161,K$2,0)</f>
        <v>4574.2299999999996</v>
      </c>
      <c r="L8">
        <f>VLOOKUP(H8,$A$1:F$161,L$2,0)</f>
        <v>3968.82</v>
      </c>
      <c r="M8">
        <f>VLOOKUP(H8,$A$1:F$161,M$2,0)</f>
        <v>4226.8599999999997</v>
      </c>
    </row>
    <row r="9" spans="1:13" x14ac:dyDescent="0.25">
      <c r="A9" t="s">
        <v>8</v>
      </c>
      <c r="B9">
        <v>176.79</v>
      </c>
      <c r="C9">
        <v>176.74</v>
      </c>
      <c r="D9">
        <v>176.71</v>
      </c>
      <c r="E9">
        <v>176.63</v>
      </c>
      <c r="F9">
        <v>176.15</v>
      </c>
      <c r="H9" t="s">
        <v>14</v>
      </c>
      <c r="I9">
        <f>VLOOKUP(H9,$A$1:F$161,I$2,0)</f>
        <v>249.1</v>
      </c>
      <c r="J9">
        <f>VLOOKUP(H9,$A$1:F$161,J$2,0)</f>
        <v>19.62</v>
      </c>
      <c r="K9">
        <f>VLOOKUP(H9,$A$1:F$161,K$2,0)</f>
        <v>24.68</v>
      </c>
      <c r="L9">
        <f>VLOOKUP(H9,$A$1:F$161,L$2,0)</f>
        <v>26.05</v>
      </c>
      <c r="M9">
        <f>VLOOKUP(H9,$A$1:F$161,M$2,0)</f>
        <v>201.04</v>
      </c>
    </row>
    <row r="10" spans="1:13" x14ac:dyDescent="0.25">
      <c r="A10" t="s">
        <v>9</v>
      </c>
      <c r="B10">
        <v>176.79</v>
      </c>
      <c r="C10">
        <v>176.74</v>
      </c>
      <c r="D10">
        <v>176.71</v>
      </c>
      <c r="E10">
        <v>176.63</v>
      </c>
      <c r="F10">
        <v>176.15</v>
      </c>
      <c r="H10" t="s">
        <v>16</v>
      </c>
      <c r="I10">
        <f>VLOOKUP(H10,$A$1:F$161,I$2,0)</f>
        <v>44.59</v>
      </c>
      <c r="J10">
        <f>VLOOKUP(H10,$A$1:F$161,J$2,0)</f>
        <v>1.37</v>
      </c>
      <c r="K10">
        <f>VLOOKUP(H10,$A$1:F$161,K$2,0)</f>
        <v>4.66</v>
      </c>
      <c r="L10">
        <f>VLOOKUP(H10,$A$1:F$161,L$2,0)</f>
        <v>4.5599999999999996</v>
      </c>
      <c r="M10">
        <f>VLOOKUP(H10,$A$1:F$161,M$2,0)</f>
        <v>4.25</v>
      </c>
    </row>
    <row r="11" spans="1:13" x14ac:dyDescent="0.25">
      <c r="A11" t="s">
        <v>10</v>
      </c>
      <c r="B11">
        <v>5687.08</v>
      </c>
      <c r="C11">
        <v>5214.4799999999996</v>
      </c>
      <c r="D11">
        <v>4397.5200000000004</v>
      </c>
      <c r="E11">
        <v>3792.19</v>
      </c>
      <c r="F11">
        <v>4050.71</v>
      </c>
      <c r="H11" t="s">
        <v>17</v>
      </c>
      <c r="I11">
        <f>VLOOKUP(H11,$A$1:F$161,I$2,0)</f>
        <v>56.57</v>
      </c>
      <c r="J11">
        <f>VLOOKUP(H11,$A$1:F$161,J$2,0)</f>
        <v>55.55</v>
      </c>
      <c r="K11">
        <f>VLOOKUP(H11,$A$1:F$161,K$2,0)</f>
        <v>54.69</v>
      </c>
      <c r="L11">
        <f>VLOOKUP(H11,$A$1:F$161,L$2,0)</f>
        <v>52.76</v>
      </c>
      <c r="M11">
        <f>VLOOKUP(H11,$A$1:F$161,M$2,0)</f>
        <v>50.04</v>
      </c>
    </row>
    <row r="12" spans="1:13" x14ac:dyDescent="0.25">
      <c r="A12" t="s">
        <v>11</v>
      </c>
      <c r="B12">
        <v>5687.08</v>
      </c>
      <c r="C12">
        <v>5214.4799999999996</v>
      </c>
      <c r="D12">
        <v>4397.5200000000004</v>
      </c>
      <c r="E12">
        <v>3792.19</v>
      </c>
      <c r="F12">
        <v>4050.71</v>
      </c>
      <c r="H12" t="s">
        <v>18</v>
      </c>
      <c r="I12">
        <f>VLOOKUP(H12,$A$1:F$161,I$2,0)</f>
        <v>420.3</v>
      </c>
      <c r="J12">
        <f>VLOOKUP(H12,$A$1:F$161,J$2,0)</f>
        <v>76.540000000000006</v>
      </c>
      <c r="K12">
        <f>VLOOKUP(H12,$A$1:F$161,K$2,0)</f>
        <v>84.03</v>
      </c>
      <c r="L12">
        <f>VLOOKUP(H12,$A$1:F$161,L$2,0)</f>
        <v>91.69</v>
      </c>
      <c r="M12">
        <f>VLOOKUP(H12,$A$1:F$161,M$2,0)</f>
        <v>351.36</v>
      </c>
    </row>
    <row r="13" spans="1:13" x14ac:dyDescent="0.25">
      <c r="A13" t="s">
        <v>12</v>
      </c>
      <c r="B13">
        <v>5863.87</v>
      </c>
      <c r="C13">
        <v>5391.22</v>
      </c>
      <c r="D13">
        <v>4574.2299999999996</v>
      </c>
      <c r="E13">
        <v>3968.82</v>
      </c>
      <c r="F13">
        <v>4226.8599999999997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1581.47</v>
      </c>
      <c r="J14">
        <f>VLOOKUP(H14,$A$1:F$161,J$2,0)</f>
        <v>1480.7</v>
      </c>
      <c r="K14">
        <f>VLOOKUP(H14,$A$1:F$161,K$2,0)</f>
        <v>1032.45</v>
      </c>
      <c r="L14">
        <f>VLOOKUP(H14,$A$1:F$161,L$2,0)</f>
        <v>998.32</v>
      </c>
      <c r="M14">
        <f>VLOOKUP(H14,$A$1:F$161,M$2,0)</f>
        <v>960.62</v>
      </c>
    </row>
    <row r="15" spans="1:13" x14ac:dyDescent="0.25">
      <c r="A15" t="s">
        <v>14</v>
      </c>
      <c r="B15">
        <v>249.1</v>
      </c>
      <c r="C15">
        <v>19.62</v>
      </c>
      <c r="D15">
        <v>24.68</v>
      </c>
      <c r="E15">
        <v>26.05</v>
      </c>
      <c r="F15">
        <v>201.04</v>
      </c>
      <c r="H15" t="s">
        <v>22</v>
      </c>
      <c r="I15">
        <f>VLOOKUP(H15,$A$1:F$161,I$2,0)</f>
        <v>342.14</v>
      </c>
      <c r="J15">
        <f>VLOOKUP(H15,$A$1:F$161,J$2,0)</f>
        <v>269.31</v>
      </c>
      <c r="K15">
        <f>VLOOKUP(H15,$A$1:F$161,K$2,0)</f>
        <v>197.32</v>
      </c>
      <c r="L15">
        <f>VLOOKUP(H15,$A$1:F$161,L$2,0)</f>
        <v>330.14</v>
      </c>
      <c r="M15">
        <f>VLOOKUP(H15,$A$1:F$161,M$2,0)</f>
        <v>123.98</v>
      </c>
    </row>
    <row r="16" spans="1:13" x14ac:dyDescent="0.25">
      <c r="A16" t="s">
        <v>15</v>
      </c>
      <c r="B16">
        <v>70.040000000000006</v>
      </c>
      <c r="C16">
        <v>0</v>
      </c>
      <c r="D16">
        <v>0</v>
      </c>
      <c r="E16">
        <v>8.32</v>
      </c>
      <c r="F16">
        <v>96.03</v>
      </c>
      <c r="H16" t="s">
        <v>23</v>
      </c>
      <c r="I16">
        <f>VLOOKUP(H16,$A$1:F$161,I$2,0)</f>
        <v>122.34</v>
      </c>
      <c r="J16">
        <f>VLOOKUP(H16,$A$1:F$161,J$2,0)</f>
        <v>134.43</v>
      </c>
      <c r="K16">
        <f>VLOOKUP(H16,$A$1:F$161,K$2,0)</f>
        <v>122.8</v>
      </c>
      <c r="L16">
        <f>VLOOKUP(H16,$A$1:F$161,L$2,0)</f>
        <v>81.09</v>
      </c>
      <c r="M16">
        <f>VLOOKUP(H16,$A$1:F$161,M$2,0)</f>
        <v>64.39</v>
      </c>
    </row>
    <row r="17" spans="1:13" x14ac:dyDescent="0.25">
      <c r="A17" t="s">
        <v>16</v>
      </c>
      <c r="B17">
        <v>44.59</v>
      </c>
      <c r="C17">
        <v>1.37</v>
      </c>
      <c r="D17">
        <v>4.66</v>
      </c>
      <c r="E17">
        <v>4.5599999999999996</v>
      </c>
      <c r="F17">
        <v>4.25</v>
      </c>
      <c r="H17" t="s">
        <v>24</v>
      </c>
      <c r="I17">
        <f>VLOOKUP(H17,$A$1:F$161,I$2,0)</f>
        <v>2307.83</v>
      </c>
      <c r="J17">
        <f>VLOOKUP(H17,$A$1:F$161,J$2,0)</f>
        <v>2036.4</v>
      </c>
      <c r="K17">
        <f>VLOOKUP(H17,$A$1:F$161,K$2,0)</f>
        <v>1441.85</v>
      </c>
      <c r="L17">
        <f>VLOOKUP(H17,$A$1:F$161,L$2,0)</f>
        <v>1518.27</v>
      </c>
      <c r="M17">
        <f>VLOOKUP(H17,$A$1:F$161,M$2,0)</f>
        <v>1234.48</v>
      </c>
    </row>
    <row r="18" spans="1:13" x14ac:dyDescent="0.25">
      <c r="A18" t="s">
        <v>17</v>
      </c>
      <c r="B18">
        <v>56.57</v>
      </c>
      <c r="C18">
        <v>55.55</v>
      </c>
      <c r="D18">
        <v>54.69</v>
      </c>
      <c r="E18">
        <v>52.76</v>
      </c>
      <c r="F18">
        <v>50.04</v>
      </c>
      <c r="H18" t="s">
        <v>25</v>
      </c>
      <c r="I18">
        <f>VLOOKUP(H18,$A$1:F$161,I$2,0)</f>
        <v>8592</v>
      </c>
      <c r="J18">
        <f>VLOOKUP(H18,$A$1:F$161,J$2,0)</f>
        <v>7504.16</v>
      </c>
      <c r="K18">
        <f>VLOOKUP(H18,$A$1:F$161,K$2,0)</f>
        <v>6100.11</v>
      </c>
      <c r="L18">
        <f>VLOOKUP(H18,$A$1:F$161,L$2,0)</f>
        <v>5578.78</v>
      </c>
      <c r="M18">
        <f>VLOOKUP(H18,$A$1:F$161,M$2,0)</f>
        <v>5812.7</v>
      </c>
    </row>
    <row r="19" spans="1:13" x14ac:dyDescent="0.25">
      <c r="A19" t="s">
        <v>18</v>
      </c>
      <c r="B19">
        <v>420.3</v>
      </c>
      <c r="C19">
        <v>76.540000000000006</v>
      </c>
      <c r="D19">
        <v>84.03</v>
      </c>
      <c r="E19">
        <v>91.69</v>
      </c>
      <c r="F19">
        <v>351.36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261.88</v>
      </c>
      <c r="C21">
        <v>151.96</v>
      </c>
      <c r="D21">
        <v>89.28</v>
      </c>
      <c r="E21">
        <v>108.72</v>
      </c>
      <c r="F21">
        <v>85.49</v>
      </c>
      <c r="H21" t="s">
        <v>28</v>
      </c>
      <c r="I21">
        <f>VLOOKUP(H21,$A$1:F$161,I$2,0)</f>
        <v>1329.19</v>
      </c>
      <c r="J21">
        <f>VLOOKUP(H21,$A$1:F$161,J$2,0)</f>
        <v>1131</v>
      </c>
      <c r="K21">
        <f>VLOOKUP(H21,$A$1:F$161,K$2,0)</f>
        <v>1060.75</v>
      </c>
      <c r="L21">
        <f>VLOOKUP(H21,$A$1:F$161,L$2,0)</f>
        <v>971.88</v>
      </c>
      <c r="M21">
        <f>VLOOKUP(H21,$A$1:F$161,M$2,0)</f>
        <v>971.34</v>
      </c>
    </row>
    <row r="22" spans="1:13" x14ac:dyDescent="0.25">
      <c r="A22" t="s">
        <v>21</v>
      </c>
      <c r="B22">
        <v>1581.47</v>
      </c>
      <c r="C22">
        <v>1480.7</v>
      </c>
      <c r="D22">
        <v>1032.45</v>
      </c>
      <c r="E22">
        <v>998.32</v>
      </c>
      <c r="F22">
        <v>960.62</v>
      </c>
      <c r="H22" t="s">
        <v>29</v>
      </c>
      <c r="I22">
        <f>VLOOKUP(H22,$A$1:F$161,I$2,0)</f>
        <v>128.47999999999999</v>
      </c>
      <c r="J22">
        <f>VLOOKUP(H22,$A$1:F$161,J$2,0)</f>
        <v>107.26</v>
      </c>
      <c r="K22">
        <f>VLOOKUP(H22,$A$1:F$161,K$2,0)</f>
        <v>105.83</v>
      </c>
      <c r="L22">
        <f>VLOOKUP(H22,$A$1:F$161,L$2,0)</f>
        <v>21.69</v>
      </c>
      <c r="M22">
        <f>VLOOKUP(H22,$A$1:F$161,M$2,0)</f>
        <v>26.82</v>
      </c>
    </row>
    <row r="23" spans="1:13" x14ac:dyDescent="0.25">
      <c r="A23" t="s">
        <v>22</v>
      </c>
      <c r="B23">
        <v>342.14</v>
      </c>
      <c r="C23">
        <v>269.31</v>
      </c>
      <c r="D23">
        <v>197.32</v>
      </c>
      <c r="E23">
        <v>330.14</v>
      </c>
      <c r="F23">
        <v>123.98</v>
      </c>
      <c r="H23" t="s">
        <v>30</v>
      </c>
      <c r="I23">
        <f>VLOOKUP(H23,$A$1:F$161,I$2,0)</f>
        <v>1527.48</v>
      </c>
      <c r="J23">
        <f>VLOOKUP(H23,$A$1:F$161,J$2,0)</f>
        <v>1312.07</v>
      </c>
      <c r="K23">
        <f>VLOOKUP(H23,$A$1:F$161,K$2,0)</f>
        <v>1240.1099999999999</v>
      </c>
      <c r="L23">
        <f>VLOOKUP(H23,$A$1:F$161,L$2,0)</f>
        <v>1058.31</v>
      </c>
      <c r="M23">
        <f>VLOOKUP(H23,$A$1:F$161,M$2,0)</f>
        <v>1057.3</v>
      </c>
    </row>
    <row r="24" spans="1:13" x14ac:dyDescent="0.25">
      <c r="A24" t="s">
        <v>23</v>
      </c>
      <c r="B24">
        <v>122.34</v>
      </c>
      <c r="C24">
        <v>134.43</v>
      </c>
      <c r="D24">
        <v>122.8</v>
      </c>
      <c r="E24">
        <v>81.09</v>
      </c>
      <c r="F24">
        <v>64.39</v>
      </c>
      <c r="H24" t="s">
        <v>32</v>
      </c>
      <c r="I24">
        <f>VLOOKUP(H24,$A$1:F$161,I$2,0)</f>
        <v>0</v>
      </c>
      <c r="J24">
        <f>VLOOKUP(H24,$A$1:F$161,J$2,0)</f>
        <v>17.45</v>
      </c>
      <c r="K24">
        <f>VLOOKUP(H24,$A$1:F$161,K$2,0)</f>
        <v>21.62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24</v>
      </c>
      <c r="B25">
        <v>2307.83</v>
      </c>
      <c r="C25">
        <v>2036.4</v>
      </c>
      <c r="D25">
        <v>1441.85</v>
      </c>
      <c r="E25">
        <v>1518.27</v>
      </c>
      <c r="F25">
        <v>1234.48</v>
      </c>
      <c r="H25" t="s">
        <v>33</v>
      </c>
      <c r="I25">
        <f>VLOOKUP(H25,$A$1:F$161,I$2,0)</f>
        <v>0</v>
      </c>
      <c r="J25">
        <f>VLOOKUP(H25,$A$1:F$161,J$2,0)</f>
        <v>16.37</v>
      </c>
      <c r="K25">
        <f>VLOOKUP(H25,$A$1:F$161,K$2,0)</f>
        <v>16.78</v>
      </c>
      <c r="L25">
        <f>VLOOKUP(H25,$A$1:F$161,L$2,0)</f>
        <v>13.14</v>
      </c>
      <c r="M25">
        <f>VLOOKUP(H25,$A$1:F$161,M$2,0)</f>
        <v>9.61</v>
      </c>
    </row>
    <row r="26" spans="1:13" x14ac:dyDescent="0.25">
      <c r="A26" t="s">
        <v>25</v>
      </c>
      <c r="B26">
        <v>8592</v>
      </c>
      <c r="C26">
        <v>7504.16</v>
      </c>
      <c r="D26">
        <v>6100.11</v>
      </c>
      <c r="E26">
        <v>5578.78</v>
      </c>
      <c r="F26">
        <v>5812.7</v>
      </c>
      <c r="H26" t="s">
        <v>34</v>
      </c>
      <c r="I26">
        <f>VLOOKUP(H26,$A$1:F$161,I$2,0)</f>
        <v>102.66</v>
      </c>
      <c r="J26">
        <f>VLOOKUP(H26,$A$1:F$161,J$2,0)</f>
        <v>205.52</v>
      </c>
      <c r="K26">
        <f>VLOOKUP(H26,$A$1:F$161,K$2,0)</f>
        <v>472.25</v>
      </c>
      <c r="L26">
        <f>VLOOKUP(H26,$A$1:F$161,L$2,0)</f>
        <v>146.24</v>
      </c>
      <c r="M26">
        <f>VLOOKUP(H26,$A$1:F$161,M$2,0)</f>
        <v>67.260000000000005</v>
      </c>
    </row>
    <row r="27" spans="1:13" x14ac:dyDescent="0.25">
      <c r="A27" t="s">
        <v>26</v>
      </c>
      <c r="H27" t="s">
        <v>35</v>
      </c>
      <c r="I27">
        <f>VLOOKUP(H27,$A$1:F$161,I$2,0)</f>
        <v>5957.84</v>
      </c>
      <c r="J27">
        <f>VLOOKUP(H27,$A$1:F$161,J$2,0)</f>
        <v>4674.17</v>
      </c>
      <c r="K27">
        <f>VLOOKUP(H27,$A$1:F$161,K$2,0)</f>
        <v>2834.92</v>
      </c>
      <c r="L27">
        <f>VLOOKUP(H27,$A$1:F$161,L$2,0)</f>
        <v>3454.43</v>
      </c>
      <c r="M27">
        <f>VLOOKUP(H27,$A$1:F$161,M$2,0)</f>
        <v>3853.86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1329.19</v>
      </c>
      <c r="C29">
        <v>1131</v>
      </c>
      <c r="D29">
        <v>1060.75</v>
      </c>
      <c r="E29">
        <v>971.88</v>
      </c>
      <c r="F29">
        <v>971.34</v>
      </c>
      <c r="H29" t="s">
        <v>38</v>
      </c>
      <c r="I29">
        <f>VLOOKUP(H29,$A$1:F$161,I$2,0)</f>
        <v>1237.96</v>
      </c>
      <c r="J29">
        <f>VLOOKUP(H29,$A$1:F$161,J$2,0)</f>
        <v>1114.1600000000001</v>
      </c>
      <c r="K29">
        <f>VLOOKUP(H29,$A$1:F$161,K$2,0)</f>
        <v>809.14</v>
      </c>
      <c r="L29">
        <f>VLOOKUP(H29,$A$1:F$161,L$2,0)</f>
        <v>732.9</v>
      </c>
      <c r="M29">
        <f>VLOOKUP(H29,$A$1:F$161,M$2,0)</f>
        <v>704.79</v>
      </c>
    </row>
    <row r="30" spans="1:13" x14ac:dyDescent="0.25">
      <c r="A30" t="s">
        <v>106</v>
      </c>
      <c r="B30">
        <v>23.44</v>
      </c>
      <c r="C30">
        <v>26.42</v>
      </c>
      <c r="D30">
        <v>25.15</v>
      </c>
      <c r="E30">
        <v>15.37</v>
      </c>
      <c r="F30">
        <v>8.7799999999999994</v>
      </c>
      <c r="H30" t="s">
        <v>39</v>
      </c>
      <c r="I30">
        <f>VLOOKUP(H30,$A$1:F$161,I$2,0)</f>
        <v>454.55</v>
      </c>
      <c r="J30">
        <f>VLOOKUP(H30,$A$1:F$161,J$2,0)</f>
        <v>281.24</v>
      </c>
      <c r="K30">
        <f>VLOOKUP(H30,$A$1:F$161,K$2,0)</f>
        <v>379.63</v>
      </c>
      <c r="L30">
        <f>VLOOKUP(H30,$A$1:F$161,L$2,0)</f>
        <v>431.46</v>
      </c>
      <c r="M30">
        <f>VLOOKUP(H30,$A$1:F$161,M$2,0)</f>
        <v>321.33999999999997</v>
      </c>
    </row>
    <row r="31" spans="1:13" x14ac:dyDescent="0.25">
      <c r="A31" t="s">
        <v>29</v>
      </c>
      <c r="B31">
        <v>128.47999999999999</v>
      </c>
      <c r="C31">
        <v>107.26</v>
      </c>
      <c r="D31">
        <v>105.83</v>
      </c>
      <c r="E31">
        <v>21.69</v>
      </c>
      <c r="F31">
        <v>26.82</v>
      </c>
      <c r="H31" t="s">
        <v>40</v>
      </c>
      <c r="I31">
        <f>VLOOKUP(H31,$A$1:F$161,I$2,0)</f>
        <v>136.18</v>
      </c>
      <c r="J31">
        <f>VLOOKUP(H31,$A$1:F$161,J$2,0)</f>
        <v>834.74</v>
      </c>
      <c r="K31">
        <f>VLOOKUP(H31,$A$1:F$161,K$2,0)</f>
        <v>525.6</v>
      </c>
      <c r="L31">
        <f>VLOOKUP(H31,$A$1:F$161,L$2,0)</f>
        <v>124.71</v>
      </c>
      <c r="M31">
        <f>VLOOKUP(H31,$A$1:F$161,M$2,0)</f>
        <v>87.02</v>
      </c>
    </row>
    <row r="32" spans="1:13" x14ac:dyDescent="0.25">
      <c r="A32" t="s">
        <v>121</v>
      </c>
      <c r="B32">
        <v>46.37</v>
      </c>
      <c r="C32">
        <v>47.39</v>
      </c>
      <c r="D32">
        <v>48.38</v>
      </c>
      <c r="E32">
        <v>49.37</v>
      </c>
      <c r="F32">
        <v>50.36</v>
      </c>
      <c r="H32" t="s">
        <v>41</v>
      </c>
      <c r="I32">
        <f>VLOOKUP(H32,$A$1:F$161,I$2,0)</f>
        <v>0</v>
      </c>
      <c r="J32">
        <f>VLOOKUP(H32,$A$1:F$161,J$2,0)</f>
        <v>1.75</v>
      </c>
      <c r="K32">
        <f>VLOOKUP(H32,$A$1:F$161,K$2,0)</f>
        <v>1.22</v>
      </c>
      <c r="L32">
        <f>VLOOKUP(H32,$A$1:F$161,L$2,0)</f>
        <v>4.5599999999999996</v>
      </c>
      <c r="M32">
        <f>VLOOKUP(H32,$A$1:F$161,M$2,0)</f>
        <v>1.41</v>
      </c>
    </row>
    <row r="33" spans="1:13" x14ac:dyDescent="0.25">
      <c r="A33" t="s">
        <v>30</v>
      </c>
      <c r="B33">
        <v>1527.48</v>
      </c>
      <c r="C33">
        <v>1312.07</v>
      </c>
      <c r="D33">
        <v>1240.1099999999999</v>
      </c>
      <c r="E33">
        <v>1058.31</v>
      </c>
      <c r="F33">
        <v>1057.3</v>
      </c>
      <c r="H33" t="s">
        <v>42</v>
      </c>
      <c r="I33">
        <f>VLOOKUP(H33,$A$1:F$161,I$2,0)</f>
        <v>126.09</v>
      </c>
      <c r="J33">
        <f>VLOOKUP(H33,$A$1:F$161,J$2,0)</f>
        <v>146.96</v>
      </c>
      <c r="K33">
        <f>VLOOKUP(H33,$A$1:F$161,K$2,0)</f>
        <v>166.93</v>
      </c>
      <c r="L33">
        <f>VLOOKUP(H33,$A$1:F$161,L$2,0)</f>
        <v>105.32</v>
      </c>
      <c r="M33">
        <f>VLOOKUP(H33,$A$1:F$161,M$2,0)</f>
        <v>130.88999999999999</v>
      </c>
    </row>
    <row r="34" spans="1:13" x14ac:dyDescent="0.25">
      <c r="A34" t="s">
        <v>31</v>
      </c>
      <c r="B34">
        <v>4327.7</v>
      </c>
      <c r="C34">
        <v>3122.76</v>
      </c>
      <c r="D34">
        <v>1084.1600000000001</v>
      </c>
      <c r="E34">
        <v>2236.7399999999998</v>
      </c>
      <c r="F34">
        <v>2719.69</v>
      </c>
      <c r="H34" t="s">
        <v>43</v>
      </c>
      <c r="I34">
        <f>VLOOKUP(H34,$A$1:F$161,I$2,0)</f>
        <v>2634.16</v>
      </c>
      <c r="J34">
        <f>VLOOKUP(H34,$A$1:F$161,J$2,0)</f>
        <v>2829.99</v>
      </c>
      <c r="K34">
        <f>VLOOKUP(H34,$A$1:F$161,K$2,0)</f>
        <v>3265.19</v>
      </c>
      <c r="L34">
        <f>VLOOKUP(H34,$A$1:F$161,L$2,0)</f>
        <v>2124.35</v>
      </c>
      <c r="M34">
        <f>VLOOKUP(H34,$A$1:F$161,M$2,0)</f>
        <v>1958.84</v>
      </c>
    </row>
    <row r="35" spans="1:13" x14ac:dyDescent="0.25">
      <c r="A35" t="s">
        <v>32</v>
      </c>
      <c r="B35">
        <v>0</v>
      </c>
      <c r="C35">
        <v>17.45</v>
      </c>
      <c r="D35">
        <v>21.62</v>
      </c>
      <c r="E35">
        <v>0</v>
      </c>
      <c r="F35">
        <v>0</v>
      </c>
      <c r="H35" t="s">
        <v>44</v>
      </c>
      <c r="I35">
        <f>VLOOKUP(H35,$A$1:F$161,I$2,0)</f>
        <v>8592</v>
      </c>
      <c r="J35">
        <f>VLOOKUP(H35,$A$1:F$161,J$2,0)</f>
        <v>7504.16</v>
      </c>
      <c r="K35">
        <f>VLOOKUP(H35,$A$1:F$161,K$2,0)</f>
        <v>6100.11</v>
      </c>
      <c r="L35">
        <f>VLOOKUP(H35,$A$1:F$161,L$2,0)</f>
        <v>5578.78</v>
      </c>
      <c r="M35">
        <f>VLOOKUP(H35,$A$1:F$161,M$2,0)</f>
        <v>5812.7</v>
      </c>
    </row>
    <row r="36" spans="1:13" x14ac:dyDescent="0.25">
      <c r="A36" t="s">
        <v>33</v>
      </c>
      <c r="B36">
        <v>0</v>
      </c>
      <c r="C36">
        <v>16.37</v>
      </c>
      <c r="D36">
        <v>16.78</v>
      </c>
      <c r="E36">
        <v>13.14</v>
      </c>
      <c r="F36">
        <v>9.61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34</v>
      </c>
      <c r="B37">
        <v>102.66</v>
      </c>
      <c r="C37">
        <v>205.52</v>
      </c>
      <c r="D37">
        <v>472.25</v>
      </c>
      <c r="E37">
        <v>146.24</v>
      </c>
      <c r="F37">
        <v>67.260000000000005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35</v>
      </c>
      <c r="B38">
        <v>5957.84</v>
      </c>
      <c r="C38">
        <v>4674.17</v>
      </c>
      <c r="D38">
        <v>2834.92</v>
      </c>
      <c r="E38">
        <v>3454.43</v>
      </c>
      <c r="F38">
        <v>3853.86</v>
      </c>
      <c r="H38" t="s">
        <v>47</v>
      </c>
      <c r="I38">
        <f>VLOOKUP(H38,$A$1:F$161,I$2,0)</f>
        <v>440.96</v>
      </c>
      <c r="J38">
        <f>VLOOKUP(H38,$A$1:F$161,J$2,0)</f>
        <v>586.95000000000005</v>
      </c>
      <c r="K38">
        <f>VLOOKUP(H38,$A$1:F$161,K$2,0)</f>
        <v>298.27999999999997</v>
      </c>
      <c r="L38">
        <f>VLOOKUP(H38,$A$1:F$161,L$2,0)</f>
        <v>618.30999999999995</v>
      </c>
      <c r="M38">
        <f>VLOOKUP(H38,$A$1:F$161,M$2,0)</f>
        <v>684.68</v>
      </c>
    </row>
    <row r="39" spans="1:13" ht="15" customHeight="1" x14ac:dyDescent="0.25">
      <c r="A39" t="s">
        <v>36</v>
      </c>
      <c r="H39" t="s">
        <v>62</v>
      </c>
      <c r="I39">
        <f>VLOOKUP(H39,$A$1:F$161,I$2,0)</f>
        <v>679.38</v>
      </c>
      <c r="J39">
        <f>VLOOKUP(H39,$A$1:F$161,J$2,0)</f>
        <v>451.14</v>
      </c>
      <c r="K39">
        <f>VLOOKUP(H39,$A$1:F$161,K$2,0)</f>
        <v>1382.67</v>
      </c>
      <c r="L39">
        <f>VLOOKUP(H39,$A$1:F$161,L$2,0)</f>
        <v>725.4</v>
      </c>
      <c r="M39">
        <f>VLOOKUP(H39,$A$1:F$161,M$2,0)</f>
        <v>713.39</v>
      </c>
    </row>
    <row r="40" spans="1:13" x14ac:dyDescent="0.25">
      <c r="A40" t="s">
        <v>37</v>
      </c>
      <c r="B40">
        <v>679.38</v>
      </c>
      <c r="C40">
        <v>451.14</v>
      </c>
      <c r="D40">
        <v>1382.67</v>
      </c>
      <c r="E40">
        <v>725.4</v>
      </c>
      <c r="F40">
        <v>713.39</v>
      </c>
      <c r="H40" t="s">
        <v>63</v>
      </c>
      <c r="I40">
        <f>VLOOKUP(H40,$A$1:F$161,I$2,0)</f>
        <v>726.67</v>
      </c>
      <c r="J40">
        <f>VLOOKUP(H40,$A$1:F$161,J$2,0)</f>
        <v>451.14</v>
      </c>
      <c r="K40">
        <f>VLOOKUP(H40,$A$1:F$161,K$2,0)</f>
        <v>1382.67</v>
      </c>
      <c r="L40">
        <f>VLOOKUP(H40,$A$1:F$161,L$2,0)</f>
        <v>700.4</v>
      </c>
      <c r="M40">
        <f>VLOOKUP(H40,$A$1:F$161,M$2,0)</f>
        <v>646.64</v>
      </c>
    </row>
    <row r="41" spans="1:13" x14ac:dyDescent="0.25">
      <c r="A41" t="s">
        <v>38</v>
      </c>
      <c r="B41">
        <v>1237.96</v>
      </c>
      <c r="C41">
        <v>1114.1600000000001</v>
      </c>
      <c r="D41">
        <v>809.14</v>
      </c>
      <c r="E41">
        <v>732.9</v>
      </c>
      <c r="F41">
        <v>704.79</v>
      </c>
      <c r="H41" t="s">
        <v>64</v>
      </c>
      <c r="I41" t="str">
        <f>VLOOKUP(H41,$A$1:F$161,I$2,0)</f>
        <v>-</v>
      </c>
      <c r="J41">
        <f>VLOOKUP(H41,$A$1:F$161,J$2,0)</f>
        <v>25</v>
      </c>
      <c r="K41">
        <f>VLOOKUP(H41,$A$1:F$161,K$2,0)</f>
        <v>25</v>
      </c>
      <c r="L41">
        <f>VLOOKUP(H41,$A$1:F$161,L$2,0)</f>
        <v>25</v>
      </c>
      <c r="M41">
        <f>VLOOKUP(H41,$A$1:F$161,M$2,0)</f>
        <v>66.75</v>
      </c>
    </row>
    <row r="42" spans="1:13" x14ac:dyDescent="0.25">
      <c r="A42" t="s">
        <v>39</v>
      </c>
      <c r="B42">
        <v>454.55</v>
      </c>
      <c r="C42">
        <v>281.24</v>
      </c>
      <c r="D42">
        <v>379.63</v>
      </c>
      <c r="E42">
        <v>431.46</v>
      </c>
      <c r="F42">
        <v>321.33999999999997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40</v>
      </c>
      <c r="B43">
        <v>136.18</v>
      </c>
      <c r="C43">
        <v>834.74</v>
      </c>
      <c r="D43">
        <v>525.6</v>
      </c>
      <c r="E43">
        <v>124.71</v>
      </c>
      <c r="F43">
        <v>87.02</v>
      </c>
      <c r="H43" t="s">
        <v>68</v>
      </c>
      <c r="I43">
        <f>VLOOKUP(H43,$A$1:F$161,I$2,0)</f>
        <v>10808.03</v>
      </c>
      <c r="J43">
        <f>VLOOKUP(H43,$A$1:F$161,J$2,0)</f>
        <v>9507.81</v>
      </c>
      <c r="K43">
        <f>VLOOKUP(H43,$A$1:F$161,K$2,0)</f>
        <v>8622.8700000000008</v>
      </c>
      <c r="L43">
        <f>VLOOKUP(H43,$A$1:F$161,L$2,0)</f>
        <v>8437.2999999999993</v>
      </c>
      <c r="M43">
        <f>VLOOKUP(H43,$A$1:F$161,M$2,0)</f>
        <v>7680.31</v>
      </c>
    </row>
    <row r="44" spans="1:13" x14ac:dyDescent="0.25">
      <c r="A44" t="s">
        <v>41</v>
      </c>
      <c r="B44">
        <v>0</v>
      </c>
      <c r="C44">
        <v>1.75</v>
      </c>
      <c r="D44">
        <v>1.22</v>
      </c>
      <c r="E44">
        <v>4.5599999999999996</v>
      </c>
      <c r="F44">
        <v>1.41</v>
      </c>
      <c r="H44" t="s">
        <v>70</v>
      </c>
      <c r="I44">
        <f>VLOOKUP(H44,$A$1:F$161,I$2,0)</f>
        <v>10808.03</v>
      </c>
      <c r="J44">
        <f>VLOOKUP(H44,$A$1:F$161,J$2,0)</f>
        <v>9492.76</v>
      </c>
      <c r="K44">
        <f>VLOOKUP(H44,$A$1:F$161,K$2,0)</f>
        <v>8603.92</v>
      </c>
      <c r="L44">
        <f>VLOOKUP(H44,$A$1:F$161,L$2,0)</f>
        <v>8419.24</v>
      </c>
      <c r="M44">
        <f>VLOOKUP(H44,$A$1:F$161,M$2,0)</f>
        <v>7653.82</v>
      </c>
    </row>
    <row r="45" spans="1:13" x14ac:dyDescent="0.25">
      <c r="A45" t="s">
        <v>42</v>
      </c>
      <c r="B45">
        <v>126.09</v>
      </c>
      <c r="C45">
        <v>146.96</v>
      </c>
      <c r="D45">
        <v>166.93</v>
      </c>
      <c r="E45">
        <v>105.32</v>
      </c>
      <c r="F45">
        <v>130.88999999999999</v>
      </c>
      <c r="H45" t="s">
        <v>71</v>
      </c>
      <c r="I45">
        <f>VLOOKUP(H45,$A$1:F$161,I$2,0)</f>
        <v>80.650000000000006</v>
      </c>
      <c r="J45">
        <f>VLOOKUP(H45,$A$1:F$161,J$2,0)</f>
        <v>53.84</v>
      </c>
      <c r="K45">
        <f>VLOOKUP(H45,$A$1:F$161,K$2,0)</f>
        <v>80.72</v>
      </c>
      <c r="L45">
        <f>VLOOKUP(H45,$A$1:F$161,L$2,0)</f>
        <v>95.75</v>
      </c>
      <c r="M45">
        <f>VLOOKUP(H45,$A$1:F$161,M$2,0)</f>
        <v>68.03</v>
      </c>
    </row>
    <row r="46" spans="1:13" x14ac:dyDescent="0.25">
      <c r="A46" t="s">
        <v>43</v>
      </c>
      <c r="B46">
        <v>2634.16</v>
      </c>
      <c r="C46">
        <v>2829.99</v>
      </c>
      <c r="D46">
        <v>3265.19</v>
      </c>
      <c r="E46">
        <v>2124.35</v>
      </c>
      <c r="F46">
        <v>1958.84</v>
      </c>
      <c r="H46" t="s">
        <v>72</v>
      </c>
      <c r="I46">
        <f>VLOOKUP(H46,$A$1:F$161,I$2,0)</f>
        <v>10888.68</v>
      </c>
      <c r="J46">
        <f>VLOOKUP(H46,$A$1:F$161,J$2,0)</f>
        <v>9546.6</v>
      </c>
      <c r="K46">
        <f>VLOOKUP(H46,$A$1:F$161,K$2,0)</f>
        <v>8684.64</v>
      </c>
      <c r="L46">
        <f>VLOOKUP(H46,$A$1:F$161,L$2,0)</f>
        <v>8514.99</v>
      </c>
      <c r="M46">
        <f>VLOOKUP(H46,$A$1:F$161,M$2,0)</f>
        <v>7721.85</v>
      </c>
    </row>
    <row r="47" spans="1:13" x14ac:dyDescent="0.25">
      <c r="A47" t="s">
        <v>44</v>
      </c>
      <c r="B47">
        <v>8592</v>
      </c>
      <c r="C47">
        <v>7504.16</v>
      </c>
      <c r="D47">
        <v>6100.11</v>
      </c>
      <c r="E47">
        <v>5578.78</v>
      </c>
      <c r="F47">
        <v>5812.7</v>
      </c>
      <c r="H47" t="s">
        <v>73</v>
      </c>
      <c r="I47">
        <f>VLOOKUP(H47,$A$1:F$161,I$2,0)</f>
        <v>393.16</v>
      </c>
      <c r="J47">
        <f>VLOOKUP(H47,$A$1:F$161,J$2,0)</f>
        <v>325.29000000000002</v>
      </c>
      <c r="K47">
        <f>VLOOKUP(H47,$A$1:F$161,K$2,0)</f>
        <v>305.29000000000002</v>
      </c>
      <c r="L47">
        <f>VLOOKUP(H47,$A$1:F$161,L$2,0)</f>
        <v>296.17</v>
      </c>
      <c r="M47">
        <f>VLOOKUP(H47,$A$1:F$161,M$2,0)</f>
        <v>305.18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11281.84</v>
      </c>
      <c r="J48">
        <f>VLOOKUP(H48,$A$1:F$161,J$2,0)</f>
        <v>9871.89</v>
      </c>
      <c r="K48">
        <f>VLOOKUP(H48,$A$1:F$161,K$2,0)</f>
        <v>8989.93</v>
      </c>
      <c r="L48">
        <f>VLOOKUP(H48,$A$1:F$161,L$2,0)</f>
        <v>8811.16</v>
      </c>
      <c r="M48">
        <f>VLOOKUP(H48,$A$1:F$161,M$2,0)</f>
        <v>8027.03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440.96</v>
      </c>
      <c r="C50">
        <v>586.95000000000005</v>
      </c>
      <c r="D50">
        <v>298.27999999999997</v>
      </c>
      <c r="E50">
        <v>618.30999999999995</v>
      </c>
      <c r="F50">
        <v>684.68</v>
      </c>
      <c r="H50" t="s">
        <v>76</v>
      </c>
      <c r="I50">
        <f>VLOOKUP(H50,$A$1:F$161,I$2,0)</f>
        <v>4766.12</v>
      </c>
      <c r="J50">
        <f>VLOOKUP(H50,$A$1:F$161,J$2,0)</f>
        <v>3998.58</v>
      </c>
      <c r="K50">
        <f>VLOOKUP(H50,$A$1:F$161,K$2,0)</f>
        <v>3731.71</v>
      </c>
      <c r="L50">
        <f>VLOOKUP(H50,$A$1:F$161,L$2,0)</f>
        <v>3475.35</v>
      </c>
      <c r="M50">
        <f>VLOOKUP(H50,$A$1:F$161,M$2,0)</f>
        <v>3220.05</v>
      </c>
    </row>
    <row r="51" spans="1:13" ht="24" customHeight="1" x14ac:dyDescent="0.25">
      <c r="A51" t="s">
        <v>48</v>
      </c>
      <c r="H51" t="s">
        <v>77</v>
      </c>
      <c r="I51">
        <f>VLOOKUP(H51,$A$1:F$161,I$2,0)</f>
        <v>882.12</v>
      </c>
      <c r="J51">
        <f>VLOOKUP(H51,$A$1:F$161,J$2,0)</f>
        <v>982.53</v>
      </c>
      <c r="K51">
        <f>VLOOKUP(H51,$A$1:F$161,K$2,0)</f>
        <v>674.62</v>
      </c>
      <c r="L51">
        <f>VLOOKUP(H51,$A$1:F$161,L$2,0)</f>
        <v>802.98</v>
      </c>
      <c r="M51">
        <f>VLOOKUP(H51,$A$1:F$161,M$2,0)</f>
        <v>665.8</v>
      </c>
    </row>
    <row r="52" spans="1:13" ht="24" customHeight="1" x14ac:dyDescent="0.25">
      <c r="A52" t="s">
        <v>49</v>
      </c>
      <c r="H52" t="s">
        <v>78</v>
      </c>
      <c r="I52">
        <f>VLOOKUP(H52,$A$1:F$161,I$2,0)</f>
        <v>-8.5500000000000007</v>
      </c>
      <c r="J52">
        <f>VLOOKUP(H52,$A$1:F$161,J$2,0)</f>
        <v>-207.2</v>
      </c>
      <c r="K52">
        <f>VLOOKUP(H52,$A$1:F$161,K$2,0)</f>
        <v>-65.040000000000006</v>
      </c>
      <c r="L52">
        <f>VLOOKUP(H52,$A$1:F$161,L$2,0)</f>
        <v>12.64</v>
      </c>
      <c r="M52">
        <f>VLOOKUP(H52,$A$1:F$161,M$2,0)</f>
        <v>-65.930000000000007</v>
      </c>
    </row>
    <row r="53" spans="1:13" x14ac:dyDescent="0.25">
      <c r="A53" t="s">
        <v>50</v>
      </c>
      <c r="B53">
        <v>100.69</v>
      </c>
      <c r="C53">
        <v>107.71</v>
      </c>
      <c r="D53">
        <v>86.2</v>
      </c>
      <c r="E53">
        <v>84.46</v>
      </c>
      <c r="F53">
        <v>80.39</v>
      </c>
      <c r="H53" t="s">
        <v>79</v>
      </c>
      <c r="I53">
        <f>VLOOKUP(H53,$A$1:F$161,I$2,0)</f>
        <v>1079.95</v>
      </c>
      <c r="J53">
        <f>VLOOKUP(H53,$A$1:F$161,J$2,0)</f>
        <v>1033.46</v>
      </c>
      <c r="K53">
        <f>VLOOKUP(H53,$A$1:F$161,K$2,0)</f>
        <v>947.74</v>
      </c>
      <c r="L53">
        <f>VLOOKUP(H53,$A$1:F$161,L$2,0)</f>
        <v>937.91</v>
      </c>
      <c r="M53">
        <f>VLOOKUP(H53,$A$1:F$161,M$2,0)</f>
        <v>792.79</v>
      </c>
    </row>
    <row r="54" spans="1:13" ht="48" customHeight="1" x14ac:dyDescent="0.25">
      <c r="A54" t="s">
        <v>51</v>
      </c>
      <c r="H54" t="s">
        <v>80</v>
      </c>
      <c r="I54">
        <f>VLOOKUP(H54,$A$1:F$161,I$2,0)</f>
        <v>38.6</v>
      </c>
      <c r="J54">
        <f>VLOOKUP(H54,$A$1:F$161,J$2,0)</f>
        <v>30.81</v>
      </c>
      <c r="K54">
        <f>VLOOKUP(H54,$A$1:F$161,K$2,0)</f>
        <v>49.54</v>
      </c>
      <c r="L54">
        <f>VLOOKUP(H54,$A$1:F$161,L$2,0)</f>
        <v>59.58</v>
      </c>
      <c r="M54">
        <f>VLOOKUP(H54,$A$1:F$161,M$2,0)</f>
        <v>53.05</v>
      </c>
    </row>
    <row r="55" spans="1:13" x14ac:dyDescent="0.25">
      <c r="A55" t="s">
        <v>52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54</v>
      </c>
      <c r="H56" t="s">
        <v>82</v>
      </c>
      <c r="I56">
        <f>VLOOKUP(H56,$A$1:F$161,I$2,0)</f>
        <v>252.89</v>
      </c>
      <c r="J56">
        <f>VLOOKUP(H56,$A$1:F$161,J$2,0)</f>
        <v>240.13</v>
      </c>
      <c r="K56">
        <f>VLOOKUP(H56,$A$1:F$161,K$2,0)</f>
        <v>220.45</v>
      </c>
      <c r="L56">
        <f>VLOOKUP(H56,$A$1:F$161,L$2,0)</f>
        <v>176.9</v>
      </c>
      <c r="M56">
        <f>VLOOKUP(H56,$A$1:F$161,M$2,0)</f>
        <v>162.18</v>
      </c>
    </row>
    <row r="57" spans="1:13" x14ac:dyDescent="0.25">
      <c r="A57" t="s">
        <v>55</v>
      </c>
      <c r="B57" t="s">
        <v>53</v>
      </c>
      <c r="C57" t="s">
        <v>53</v>
      </c>
      <c r="D57" t="s">
        <v>53</v>
      </c>
      <c r="E57" t="s">
        <v>53</v>
      </c>
      <c r="F57">
        <v>202.65</v>
      </c>
      <c r="H57" t="s">
        <v>83</v>
      </c>
      <c r="I57">
        <f>VLOOKUP(H57,$A$1:F$161,I$2,0)</f>
        <v>1915.23</v>
      </c>
      <c r="J57">
        <f>VLOOKUP(H57,$A$1:F$161,J$2,0)</f>
        <v>1736.55</v>
      </c>
      <c r="K57">
        <f>VLOOKUP(H57,$A$1:F$161,K$2,0)</f>
        <v>1603.26</v>
      </c>
      <c r="L57">
        <f>VLOOKUP(H57,$A$1:F$161,L$2,0)</f>
        <v>1546.55</v>
      </c>
      <c r="M57">
        <f>VLOOKUP(H57,$A$1:F$161,M$2,0)</f>
        <v>1491.7</v>
      </c>
    </row>
    <row r="58" spans="1:13" x14ac:dyDescent="0.25">
      <c r="A58" t="s">
        <v>56</v>
      </c>
      <c r="B58">
        <v>292.52</v>
      </c>
      <c r="C58">
        <v>282.19</v>
      </c>
      <c r="D58">
        <v>244.62</v>
      </c>
      <c r="E58">
        <v>250.65</v>
      </c>
      <c r="F58" t="s">
        <v>53</v>
      </c>
      <c r="H58" t="s">
        <v>84</v>
      </c>
      <c r="I58">
        <f>VLOOKUP(H58,$A$1:F$161,I$2,0)</f>
        <v>8926.36</v>
      </c>
      <c r="J58">
        <f>VLOOKUP(H58,$A$1:F$161,J$2,0)</f>
        <v>7814.86</v>
      </c>
      <c r="K58">
        <f>VLOOKUP(H58,$A$1:F$161,K$2,0)</f>
        <v>7162.28</v>
      </c>
      <c r="L58">
        <f>VLOOKUP(H58,$A$1:F$161,L$2,0)</f>
        <v>7011.91</v>
      </c>
      <c r="M58">
        <f>VLOOKUP(H58,$A$1:F$161,M$2,0)</f>
        <v>6319.64</v>
      </c>
    </row>
    <row r="59" spans="1:13" ht="15" customHeight="1" x14ac:dyDescent="0.25">
      <c r="A59" t="s">
        <v>57</v>
      </c>
      <c r="H59" t="s">
        <v>85</v>
      </c>
      <c r="I59">
        <f>VLOOKUP(H59,$A$1:F$161,I$2,0)</f>
        <v>2355.48</v>
      </c>
      <c r="J59">
        <f>VLOOKUP(H59,$A$1:F$161,J$2,0)</f>
        <v>2057.0300000000002</v>
      </c>
      <c r="K59">
        <f>VLOOKUP(H59,$A$1:F$161,K$2,0)</f>
        <v>1827.65</v>
      </c>
      <c r="L59">
        <f>VLOOKUP(H59,$A$1:F$161,L$2,0)</f>
        <v>1799.25</v>
      </c>
      <c r="M59">
        <f>VLOOKUP(H59,$A$1:F$161,M$2,0)</f>
        <v>1707.39</v>
      </c>
    </row>
    <row r="60" spans="1:13" x14ac:dyDescent="0.25">
      <c r="A60" t="s">
        <v>58</v>
      </c>
      <c r="B60">
        <v>163.22999999999999</v>
      </c>
      <c r="C60">
        <v>163.22999999999999</v>
      </c>
      <c r="D60">
        <v>163.22999999999999</v>
      </c>
      <c r="E60">
        <v>163.22999999999999</v>
      </c>
      <c r="F60">
        <v>163.22999999999999</v>
      </c>
      <c r="H60" t="s">
        <v>87</v>
      </c>
      <c r="I60">
        <f>VLOOKUP(H60,$A$1:F$161,I$2,0)</f>
        <v>2270.48</v>
      </c>
      <c r="J60">
        <f>VLOOKUP(H60,$A$1:F$161,J$2,0)</f>
        <v>2057.0300000000002</v>
      </c>
      <c r="K60">
        <f>VLOOKUP(H60,$A$1:F$161,K$2,0)</f>
        <v>1727.65</v>
      </c>
      <c r="L60">
        <f>VLOOKUP(H60,$A$1:F$161,L$2,0)</f>
        <v>1723.91</v>
      </c>
      <c r="M60">
        <f>VLOOKUP(H60,$A$1:F$161,M$2,0)</f>
        <v>1692.85</v>
      </c>
    </row>
    <row r="61" spans="1:13" ht="24" customHeight="1" x14ac:dyDescent="0.25">
      <c r="A61" t="s">
        <v>59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60</v>
      </c>
      <c r="B62">
        <v>4229.01</v>
      </c>
      <c r="C62">
        <v>3024.07</v>
      </c>
      <c r="D62">
        <v>985.47</v>
      </c>
      <c r="E62">
        <v>2138</v>
      </c>
      <c r="F62">
        <v>2595.9299999999998</v>
      </c>
      <c r="H62" t="s">
        <v>89</v>
      </c>
      <c r="I62">
        <f>VLOOKUP(H62,$A$1:F$161,I$2,0)</f>
        <v>442.17</v>
      </c>
      <c r="J62">
        <f>VLOOKUP(H62,$A$1:F$161,J$2,0)</f>
        <v>505.18</v>
      </c>
      <c r="K62">
        <f>VLOOKUP(H62,$A$1:F$161,K$2,0)</f>
        <v>465.42</v>
      </c>
      <c r="L62">
        <f>VLOOKUP(H62,$A$1:F$161,L$2,0)</f>
        <v>406.99</v>
      </c>
      <c r="M62">
        <f>VLOOKUP(H62,$A$1:F$161,M$2,0)</f>
        <v>371.34</v>
      </c>
    </row>
    <row r="63" spans="1:13" x14ac:dyDescent="0.25">
      <c r="A63" t="s">
        <v>61</v>
      </c>
      <c r="B63">
        <v>98.7</v>
      </c>
      <c r="C63">
        <v>98.69</v>
      </c>
      <c r="D63">
        <v>98.69</v>
      </c>
      <c r="E63">
        <v>98.74</v>
      </c>
      <c r="F63">
        <v>123.76</v>
      </c>
      <c r="H63" t="s">
        <v>90</v>
      </c>
      <c r="I63">
        <f>VLOOKUP(H63,$A$1:F$161,I$2,0)</f>
        <v>84.21</v>
      </c>
      <c r="J63">
        <f>VLOOKUP(H63,$A$1:F$161,J$2,0)</f>
        <v>-144.11000000000001</v>
      </c>
      <c r="K63">
        <f>VLOOKUP(H63,$A$1:F$161,K$2,0)</f>
        <v>-185.7</v>
      </c>
      <c r="L63">
        <f>VLOOKUP(H63,$A$1:F$161,L$2,0)</f>
        <v>-128.37</v>
      </c>
      <c r="M63">
        <f>VLOOKUP(H63,$A$1:F$161,M$2,0)</f>
        <v>-35.99</v>
      </c>
    </row>
    <row r="64" spans="1:13" ht="24" customHeight="1" x14ac:dyDescent="0.25">
      <c r="A64" t="s">
        <v>62</v>
      </c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A65" t="s">
        <v>63</v>
      </c>
      <c r="B65">
        <v>726.67</v>
      </c>
      <c r="C65">
        <v>451.14</v>
      </c>
      <c r="D65">
        <v>1382.67</v>
      </c>
      <c r="E65">
        <v>700.4</v>
      </c>
      <c r="F65">
        <v>646.64</v>
      </c>
      <c r="H65" t="s">
        <v>91</v>
      </c>
      <c r="I65">
        <f>VLOOKUP(H65,$A$1:F$161,I$2,0)</f>
        <v>526.38</v>
      </c>
      <c r="J65">
        <f>VLOOKUP(H65,$A$1:F$161,J$2,0)</f>
        <v>361.07</v>
      </c>
      <c r="K65">
        <f>VLOOKUP(H65,$A$1:F$161,K$2,0)</f>
        <v>279.72000000000003</v>
      </c>
      <c r="L65">
        <f>VLOOKUP(H65,$A$1:F$161,L$2,0)</f>
        <v>278.62</v>
      </c>
      <c r="M65">
        <f>VLOOKUP(H65,$A$1:F$161,M$2,0)</f>
        <v>335.35</v>
      </c>
    </row>
    <row r="66" spans="1:13" x14ac:dyDescent="0.25">
      <c r="A66" t="s">
        <v>64</v>
      </c>
      <c r="B66" t="s">
        <v>53</v>
      </c>
      <c r="C66">
        <v>25</v>
      </c>
      <c r="D66">
        <v>25</v>
      </c>
      <c r="E66">
        <v>25</v>
      </c>
      <c r="F66">
        <v>66.75</v>
      </c>
      <c r="H66" t="s">
        <v>92</v>
      </c>
      <c r="I66">
        <f>VLOOKUP(H66,$A$1:F$161,I$2,0)</f>
        <v>1744.1</v>
      </c>
      <c r="J66">
        <f>VLOOKUP(H66,$A$1:F$161,J$2,0)</f>
        <v>1695.96</v>
      </c>
      <c r="K66">
        <f>VLOOKUP(H66,$A$1:F$161,K$2,0)</f>
        <v>1447.93</v>
      </c>
      <c r="L66">
        <f>VLOOKUP(H66,$A$1:F$161,L$2,0)</f>
        <v>1445.29</v>
      </c>
      <c r="M66">
        <f>VLOOKUP(H66,$A$1:F$161,M$2,0)</f>
        <v>1357.5</v>
      </c>
    </row>
    <row r="67" spans="1:13" x14ac:dyDescent="0.25">
      <c r="H67" t="s">
        <v>93</v>
      </c>
      <c r="I67">
        <f>VLOOKUP(H67,$A$1:F$161,I$2,0)</f>
        <v>1744.1</v>
      </c>
      <c r="J67">
        <f>VLOOKUP(H67,$A$1:F$161,J$2,0)</f>
        <v>1695.96</v>
      </c>
      <c r="K67">
        <f>VLOOKUP(H67,$A$1:F$161,K$2,0)</f>
        <v>1447.93</v>
      </c>
      <c r="L67">
        <f>VLOOKUP(H67,$A$1:F$161,L$2,0)</f>
        <v>1445.29</v>
      </c>
      <c r="M67">
        <f>VLOOKUP(H67,$A$1:F$161,M$2,0)</f>
        <v>1357.5</v>
      </c>
    </row>
    <row r="68" spans="1:13" x14ac:dyDescent="0.25">
      <c r="H68" t="s">
        <v>94</v>
      </c>
      <c r="I68">
        <f>VLOOKUP(H68,$A$1:F$161,I$2,0)</f>
        <v>1744.1</v>
      </c>
      <c r="J68">
        <f>VLOOKUP(H68,$A$1:F$161,J$2,0)</f>
        <v>1695.96</v>
      </c>
      <c r="K68">
        <f>VLOOKUP(H68,$A$1:F$161,K$2,0)</f>
        <v>1447.93</v>
      </c>
      <c r="L68">
        <f>VLOOKUP(H68,$A$1:F$161,L$2,0)</f>
        <v>1445.29</v>
      </c>
      <c r="M68">
        <f>VLOOKUP(H68,$A$1:F$161,M$2,0)</f>
        <v>1357.5</v>
      </c>
    </row>
    <row r="69" spans="1:13" x14ac:dyDescent="0.25">
      <c r="H69" t="s">
        <v>101</v>
      </c>
      <c r="I69">
        <f>VLOOKUP(H69,$A$1:F$161,I$2,0)</f>
        <v>972.32</v>
      </c>
      <c r="J69">
        <f>VLOOKUP(H69,$A$1:F$161,J$2,0)</f>
        <v>592.09</v>
      </c>
      <c r="K69">
        <f>VLOOKUP(H69,$A$1:F$161,K$2,0)</f>
        <v>617.78</v>
      </c>
      <c r="L69">
        <f>VLOOKUP(H69,$A$1:F$161,L$2,0)</f>
        <v>1324.71</v>
      </c>
      <c r="M69">
        <f>VLOOKUP(H69,$A$1:F$161,M$2,0)</f>
        <v>396.34</v>
      </c>
    </row>
    <row r="70" spans="1:13" ht="15" customHeight="1" x14ac:dyDescent="0.25">
      <c r="A70" t="s">
        <v>65</v>
      </c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</v>
      </c>
      <c r="L70">
        <f>VLOOKUP(H70,$A$1:F$161,L$2,0)</f>
        <v>272.3</v>
      </c>
      <c r="M70">
        <f>VLOOKUP(H70,$A$1:F$161,M$2,0)</f>
        <v>80.69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129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10808.03</v>
      </c>
      <c r="C97">
        <v>9507.81</v>
      </c>
      <c r="D97">
        <v>8622.8700000000008</v>
      </c>
      <c r="E97">
        <v>8437.2999999999993</v>
      </c>
      <c r="F97">
        <v>7680.31</v>
      </c>
    </row>
    <row r="98" spans="1:6" x14ac:dyDescent="0.25">
      <c r="A98" t="s">
        <v>69</v>
      </c>
      <c r="B98">
        <v>0</v>
      </c>
      <c r="C98">
        <v>15.05</v>
      </c>
      <c r="D98">
        <v>18.95</v>
      </c>
      <c r="E98">
        <v>18.059999999999999</v>
      </c>
      <c r="F98">
        <v>26.49</v>
      </c>
    </row>
    <row r="99" spans="1:6" x14ac:dyDescent="0.25">
      <c r="A99" t="s">
        <v>70</v>
      </c>
      <c r="B99">
        <v>10808.03</v>
      </c>
      <c r="C99">
        <v>9492.76</v>
      </c>
      <c r="D99">
        <v>8603.92</v>
      </c>
      <c r="E99">
        <v>8419.24</v>
      </c>
      <c r="F99">
        <v>7653.82</v>
      </c>
    </row>
    <row r="100" spans="1:6" x14ac:dyDescent="0.25">
      <c r="A100" t="s">
        <v>71</v>
      </c>
      <c r="B100">
        <v>80.650000000000006</v>
      </c>
      <c r="C100">
        <v>53.84</v>
      </c>
      <c r="D100">
        <v>80.72</v>
      </c>
      <c r="E100">
        <v>95.75</v>
      </c>
      <c r="F100">
        <v>68.03</v>
      </c>
    </row>
    <row r="101" spans="1:6" x14ac:dyDescent="0.25">
      <c r="A101" t="s">
        <v>72</v>
      </c>
      <c r="B101">
        <v>10888.68</v>
      </c>
      <c r="C101">
        <v>9546.6</v>
      </c>
      <c r="D101">
        <v>8684.64</v>
      </c>
      <c r="E101">
        <v>8514.99</v>
      </c>
      <c r="F101">
        <v>7721.85</v>
      </c>
    </row>
    <row r="102" spans="1:6" x14ac:dyDescent="0.25">
      <c r="A102" t="s">
        <v>73</v>
      </c>
      <c r="B102">
        <v>393.16</v>
      </c>
      <c r="C102">
        <v>325.29000000000002</v>
      </c>
      <c r="D102">
        <v>305.29000000000002</v>
      </c>
      <c r="E102">
        <v>296.17</v>
      </c>
      <c r="F102">
        <v>305.18</v>
      </c>
    </row>
    <row r="103" spans="1:6" x14ac:dyDescent="0.25">
      <c r="A103" t="s">
        <v>74</v>
      </c>
      <c r="B103">
        <v>11281.84</v>
      </c>
      <c r="C103">
        <v>9871.89</v>
      </c>
      <c r="D103">
        <v>8989.93</v>
      </c>
      <c r="E103">
        <v>8811.16</v>
      </c>
      <c r="F103">
        <v>8027.03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4766.12</v>
      </c>
      <c r="C105">
        <v>3998.58</v>
      </c>
      <c r="D105">
        <v>3731.71</v>
      </c>
      <c r="E105">
        <v>3475.35</v>
      </c>
      <c r="F105">
        <v>3220.05</v>
      </c>
    </row>
    <row r="106" spans="1:6" x14ac:dyDescent="0.25">
      <c r="A106" t="s">
        <v>77</v>
      </c>
      <c r="B106">
        <v>882.12</v>
      </c>
      <c r="C106">
        <v>982.53</v>
      </c>
      <c r="D106">
        <v>674.62</v>
      </c>
      <c r="E106">
        <v>802.98</v>
      </c>
      <c r="F106">
        <v>665.8</v>
      </c>
    </row>
    <row r="107" spans="1:6" x14ac:dyDescent="0.25">
      <c r="A107" t="s">
        <v>78</v>
      </c>
      <c r="B107">
        <v>-8.5500000000000007</v>
      </c>
      <c r="C107">
        <v>-207.2</v>
      </c>
      <c r="D107">
        <v>-65.040000000000006</v>
      </c>
      <c r="E107">
        <v>12.64</v>
      </c>
      <c r="F107">
        <v>-65.930000000000007</v>
      </c>
    </row>
    <row r="108" spans="1:6" x14ac:dyDescent="0.25">
      <c r="A108" t="s">
        <v>79</v>
      </c>
      <c r="B108">
        <v>1079.95</v>
      </c>
      <c r="C108">
        <v>1033.46</v>
      </c>
      <c r="D108">
        <v>947.74</v>
      </c>
      <c r="E108">
        <v>937.91</v>
      </c>
      <c r="F108">
        <v>792.79</v>
      </c>
    </row>
    <row r="109" spans="1:6" x14ac:dyDescent="0.25">
      <c r="A109" t="s">
        <v>80</v>
      </c>
      <c r="B109">
        <v>38.6</v>
      </c>
      <c r="C109">
        <v>30.81</v>
      </c>
      <c r="D109">
        <v>49.54</v>
      </c>
      <c r="E109">
        <v>59.58</v>
      </c>
      <c r="F109">
        <v>53.05</v>
      </c>
    </row>
    <row r="110" spans="1:6" x14ac:dyDescent="0.25">
      <c r="A110" t="s">
        <v>82</v>
      </c>
      <c r="B110">
        <v>252.89</v>
      </c>
      <c r="C110">
        <v>240.13</v>
      </c>
      <c r="D110">
        <v>220.45</v>
      </c>
      <c r="E110">
        <v>176.9</v>
      </c>
      <c r="F110">
        <v>162.18</v>
      </c>
    </row>
    <row r="111" spans="1:6" x14ac:dyDescent="0.25">
      <c r="A111" t="s">
        <v>83</v>
      </c>
      <c r="B111">
        <v>1915.23</v>
      </c>
      <c r="C111">
        <v>1736.55</v>
      </c>
      <c r="D111">
        <v>1603.26</v>
      </c>
      <c r="E111">
        <v>1546.55</v>
      </c>
      <c r="F111">
        <v>1491.7</v>
      </c>
    </row>
    <row r="112" spans="1:6" x14ac:dyDescent="0.25">
      <c r="A112" t="s">
        <v>84</v>
      </c>
      <c r="B112">
        <v>8926.36</v>
      </c>
      <c r="C112">
        <v>7814.86</v>
      </c>
      <c r="D112">
        <v>7162.28</v>
      </c>
      <c r="E112">
        <v>7011.91</v>
      </c>
      <c r="F112">
        <v>6319.64</v>
      </c>
    </row>
    <row r="113" spans="1:6" x14ac:dyDescent="0.25">
      <c r="A113" t="s">
        <v>85</v>
      </c>
      <c r="B113">
        <v>2355.48</v>
      </c>
      <c r="C113">
        <v>2057.0300000000002</v>
      </c>
      <c r="D113">
        <v>1827.65</v>
      </c>
      <c r="E113">
        <v>1799.25</v>
      </c>
      <c r="F113">
        <v>1707.39</v>
      </c>
    </row>
    <row r="114" spans="1:6" x14ac:dyDescent="0.25">
      <c r="A114" t="s">
        <v>86</v>
      </c>
      <c r="B114">
        <v>-85</v>
      </c>
      <c r="C114">
        <v>0</v>
      </c>
      <c r="D114">
        <v>-100</v>
      </c>
      <c r="E114">
        <v>-75.34</v>
      </c>
      <c r="F114">
        <v>-14.54</v>
      </c>
    </row>
    <row r="115" spans="1:6" x14ac:dyDescent="0.25">
      <c r="A115" t="s">
        <v>87</v>
      </c>
      <c r="B115">
        <v>2270.48</v>
      </c>
      <c r="C115">
        <v>2057.0300000000002</v>
      </c>
      <c r="D115">
        <v>1727.65</v>
      </c>
      <c r="E115">
        <v>1723.91</v>
      </c>
      <c r="F115">
        <v>1692.85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442.17</v>
      </c>
      <c r="C117">
        <v>505.18</v>
      </c>
      <c r="D117">
        <v>465.42</v>
      </c>
      <c r="E117">
        <v>406.99</v>
      </c>
      <c r="F117">
        <v>371.34</v>
      </c>
    </row>
    <row r="118" spans="1:6" x14ac:dyDescent="0.25">
      <c r="A118" t="s">
        <v>90</v>
      </c>
      <c r="B118">
        <v>84.21</v>
      </c>
      <c r="C118">
        <v>-144.11000000000001</v>
      </c>
      <c r="D118">
        <v>-185.7</v>
      </c>
      <c r="E118">
        <v>-128.37</v>
      </c>
      <c r="F118">
        <v>-35.99</v>
      </c>
    </row>
    <row r="119" spans="1:6" x14ac:dyDescent="0.25">
      <c r="A119" t="s">
        <v>91</v>
      </c>
      <c r="B119">
        <v>526.38</v>
      </c>
      <c r="C119">
        <v>361.07</v>
      </c>
      <c r="D119">
        <v>279.72000000000003</v>
      </c>
      <c r="E119">
        <v>278.62</v>
      </c>
      <c r="F119">
        <v>335.35</v>
      </c>
    </row>
    <row r="120" spans="1:6" x14ac:dyDescent="0.25">
      <c r="A120" t="s">
        <v>92</v>
      </c>
      <c r="B120">
        <v>1744.1</v>
      </c>
      <c r="C120">
        <v>1695.96</v>
      </c>
      <c r="D120">
        <v>1447.93</v>
      </c>
      <c r="E120">
        <v>1445.29</v>
      </c>
      <c r="F120">
        <v>1357.5</v>
      </c>
    </row>
    <row r="121" spans="1:6" x14ac:dyDescent="0.25">
      <c r="A121" t="s">
        <v>93</v>
      </c>
      <c r="B121">
        <v>1744.1</v>
      </c>
      <c r="C121">
        <v>1695.96</v>
      </c>
      <c r="D121">
        <v>1447.93</v>
      </c>
      <c r="E121">
        <v>1445.29</v>
      </c>
      <c r="F121">
        <v>1357.5</v>
      </c>
    </row>
    <row r="122" spans="1:6" x14ac:dyDescent="0.25">
      <c r="A122" t="s">
        <v>94</v>
      </c>
      <c r="B122">
        <v>1744.1</v>
      </c>
      <c r="C122">
        <v>1695.96</v>
      </c>
      <c r="D122">
        <v>1447.93</v>
      </c>
      <c r="E122">
        <v>1445.29</v>
      </c>
      <c r="F122">
        <v>1357.5</v>
      </c>
    </row>
    <row r="123" spans="1:6" x14ac:dyDescent="0.25">
      <c r="A123" t="s">
        <v>116</v>
      </c>
      <c r="B123">
        <v>-3.08</v>
      </c>
      <c r="C123">
        <v>-1.65</v>
      </c>
      <c r="D123">
        <v>-2.96</v>
      </c>
      <c r="E123">
        <v>-3.92</v>
      </c>
      <c r="F123">
        <v>-3.35</v>
      </c>
    </row>
    <row r="124" spans="1:6" x14ac:dyDescent="0.25">
      <c r="A124" t="s">
        <v>130</v>
      </c>
      <c r="B124">
        <v>-1.8</v>
      </c>
      <c r="C124">
        <v>-1.01</v>
      </c>
      <c r="D124">
        <v>-0.01</v>
      </c>
      <c r="E124">
        <v>0.96</v>
      </c>
      <c r="F124">
        <v>0.24</v>
      </c>
    </row>
    <row r="125" spans="1:6" x14ac:dyDescent="0.25">
      <c r="A125" t="s">
        <v>113</v>
      </c>
      <c r="B125">
        <v>1739.22</v>
      </c>
      <c r="C125">
        <v>1693.3</v>
      </c>
      <c r="D125">
        <v>1444.96</v>
      </c>
      <c r="E125">
        <v>1442.33</v>
      </c>
      <c r="F125">
        <v>1354.39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10</v>
      </c>
      <c r="C128">
        <v>10</v>
      </c>
      <c r="D128">
        <v>8</v>
      </c>
      <c r="E128">
        <v>8</v>
      </c>
      <c r="F128">
        <v>8</v>
      </c>
    </row>
    <row r="129" spans="1:6" x14ac:dyDescent="0.25">
      <c r="A129" t="s">
        <v>97</v>
      </c>
      <c r="B129">
        <v>10</v>
      </c>
      <c r="C129">
        <v>10</v>
      </c>
      <c r="D129">
        <v>8</v>
      </c>
      <c r="E129">
        <v>8</v>
      </c>
      <c r="F129">
        <v>8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972.32</v>
      </c>
      <c r="C131">
        <v>592.09</v>
      </c>
      <c r="D131">
        <v>617.78</v>
      </c>
      <c r="E131">
        <v>1324.71</v>
      </c>
      <c r="F131">
        <v>396.34</v>
      </c>
    </row>
    <row r="132" spans="1:6" x14ac:dyDescent="0.25">
      <c r="A132" t="s">
        <v>102</v>
      </c>
      <c r="B132">
        <v>0</v>
      </c>
      <c r="C132">
        <v>0</v>
      </c>
      <c r="D132">
        <v>0</v>
      </c>
      <c r="E132">
        <v>272.3</v>
      </c>
      <c r="F132">
        <v>80.69</v>
      </c>
    </row>
    <row r="136" spans="1:6" ht="15" customHeight="1" x14ac:dyDescent="0.25">
      <c r="A136" t="s">
        <v>65</v>
      </c>
    </row>
  </sheetData>
  <hyperlinks>
    <hyperlink ref="B1" r:id="rId1" display="javascript:void(0);" xr:uid="{64EB9097-F223-4B16-BC11-6D1F07DF84F1}"/>
    <hyperlink ref="B90" r:id="rId2" display="javascript:void(0);" xr:uid="{ED6C6CC2-99B9-412C-8F29-4BAC3924A73E}"/>
  </hyperlinks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6EC5F-2FD4-49BC-987C-813339A27A8F}">
  <sheetPr codeName="Sheet10"/>
  <dimension ref="A1:M135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131</v>
      </c>
      <c r="B1" t="s">
        <v>1</v>
      </c>
      <c r="H1" t="str">
        <f>A1</f>
        <v>Godrej Consumer Products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102.26</v>
      </c>
      <c r="J4">
        <f>VLOOKUP(H4,$A$1:F$161,J$2,0)</f>
        <v>102.25</v>
      </c>
      <c r="K4">
        <f>VLOOKUP(H4,$A$1:F$161,K$2,0)</f>
        <v>102.23</v>
      </c>
      <c r="L4">
        <f>VLOOKUP(H4,$A$1:F$161,L$2,0)</f>
        <v>102.22</v>
      </c>
      <c r="M4">
        <f>VLOOKUP(H4,$A$1:F$161,M$2,0)</f>
        <v>68.13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102.26</v>
      </c>
      <c r="J5">
        <f>VLOOKUP(H5,$A$1:F$161,J$2,0)</f>
        <v>102.25</v>
      </c>
      <c r="K5">
        <f>VLOOKUP(H5,$A$1:F$161,K$2,0)</f>
        <v>102.23</v>
      </c>
      <c r="L5">
        <f>VLOOKUP(H5,$A$1:F$161,L$2,0)</f>
        <v>102.22</v>
      </c>
      <c r="M5">
        <f>VLOOKUP(H5,$A$1:F$161,M$2,0)</f>
        <v>68.13</v>
      </c>
    </row>
    <row r="6" spans="1:13" x14ac:dyDescent="0.25">
      <c r="H6" t="s">
        <v>10</v>
      </c>
      <c r="I6">
        <f>VLOOKUP(H6,$A$1:F$161,I$2,0)</f>
        <v>11453.67</v>
      </c>
      <c r="J6">
        <f>VLOOKUP(H6,$A$1:F$161,J$2,0)</f>
        <v>9336.65</v>
      </c>
      <c r="K6">
        <f>VLOOKUP(H6,$A$1:F$161,K$2,0)</f>
        <v>7796.13</v>
      </c>
      <c r="L6">
        <f>VLOOKUP(H6,$A$1:F$161,L$2,0)</f>
        <v>7164.7</v>
      </c>
      <c r="M6">
        <f>VLOOKUP(H6,$A$1:F$161,M$2,0)</f>
        <v>6190.18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11453.67</v>
      </c>
      <c r="J7">
        <f>VLOOKUP(H7,$A$1:F$161,J$2,0)</f>
        <v>9336.65</v>
      </c>
      <c r="K7">
        <f>VLOOKUP(H7,$A$1:F$161,K$2,0)</f>
        <v>7796.13</v>
      </c>
      <c r="L7">
        <f>VLOOKUP(H7,$A$1:F$161,L$2,0)</f>
        <v>7164.7</v>
      </c>
      <c r="M7">
        <f>VLOOKUP(H7,$A$1:F$161,M$2,0)</f>
        <v>6190.18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11555.93</v>
      </c>
      <c r="J8">
        <f>VLOOKUP(H8,$A$1:F$161,J$2,0)</f>
        <v>9438.9</v>
      </c>
      <c r="K8">
        <f>VLOOKUP(H8,$A$1:F$161,K$2,0)</f>
        <v>7898.36</v>
      </c>
      <c r="L8">
        <f>VLOOKUP(H8,$A$1:F$161,L$2,0)</f>
        <v>7266.92</v>
      </c>
      <c r="M8">
        <f>VLOOKUP(H8,$A$1:F$161,M$2,0)</f>
        <v>6258.31</v>
      </c>
    </row>
    <row r="9" spans="1:13" x14ac:dyDescent="0.25">
      <c r="A9" t="s">
        <v>8</v>
      </c>
      <c r="B9">
        <v>102.26</v>
      </c>
      <c r="C9">
        <v>102.25</v>
      </c>
      <c r="D9">
        <v>102.23</v>
      </c>
      <c r="E9">
        <v>102.22</v>
      </c>
      <c r="F9">
        <v>68.13</v>
      </c>
      <c r="H9" t="s">
        <v>14</v>
      </c>
      <c r="I9">
        <f>VLOOKUP(H9,$A$1:F$161,I$2,0)</f>
        <v>380.85</v>
      </c>
      <c r="J9">
        <f>VLOOKUP(H9,$A$1:F$161,J$2,0)</f>
        <v>480.11</v>
      </c>
      <c r="K9">
        <f>VLOOKUP(H9,$A$1:F$161,K$2,0)</f>
        <v>2145.04</v>
      </c>
      <c r="L9">
        <f>VLOOKUP(H9,$A$1:F$161,L$2,0)</f>
        <v>2604.7800000000002</v>
      </c>
      <c r="M9">
        <f>VLOOKUP(H9,$A$1:F$161,M$2,0)</f>
        <v>2380.3200000000002</v>
      </c>
    </row>
    <row r="10" spans="1:13" x14ac:dyDescent="0.25">
      <c r="A10" t="s">
        <v>9</v>
      </c>
      <c r="B10">
        <v>102.26</v>
      </c>
      <c r="C10">
        <v>102.25</v>
      </c>
      <c r="D10">
        <v>102.23</v>
      </c>
      <c r="E10">
        <v>102.22</v>
      </c>
      <c r="F10">
        <v>68.13</v>
      </c>
      <c r="H10" t="s">
        <v>16</v>
      </c>
      <c r="I10">
        <f>VLOOKUP(H10,$A$1:F$161,I$2,0)</f>
        <v>66.73</v>
      </c>
      <c r="J10">
        <f>VLOOKUP(H10,$A$1:F$161,J$2,0)</f>
        <v>74.37</v>
      </c>
      <c r="K10">
        <f>VLOOKUP(H10,$A$1:F$161,K$2,0)</f>
        <v>173.34</v>
      </c>
      <c r="L10">
        <f>VLOOKUP(H10,$A$1:F$161,L$2,0)</f>
        <v>221.82</v>
      </c>
      <c r="M10">
        <f>VLOOKUP(H10,$A$1:F$161,M$2,0)</f>
        <v>756.32</v>
      </c>
    </row>
    <row r="11" spans="1:13" x14ac:dyDescent="0.25">
      <c r="A11" t="s">
        <v>10</v>
      </c>
      <c r="B11">
        <v>11453.67</v>
      </c>
      <c r="C11">
        <v>9336.65</v>
      </c>
      <c r="D11">
        <v>7796.13</v>
      </c>
      <c r="E11">
        <v>7164.7</v>
      </c>
      <c r="F11">
        <v>6190.18</v>
      </c>
      <c r="H11" t="s">
        <v>17</v>
      </c>
      <c r="I11">
        <f>VLOOKUP(H11,$A$1:F$161,I$2,0)</f>
        <v>107</v>
      </c>
      <c r="J11">
        <f>VLOOKUP(H11,$A$1:F$161,J$2,0)</f>
        <v>114.72</v>
      </c>
      <c r="K11">
        <f>VLOOKUP(H11,$A$1:F$161,K$2,0)</f>
        <v>116.98</v>
      </c>
      <c r="L11">
        <f>VLOOKUP(H11,$A$1:F$161,L$2,0)</f>
        <v>108.25</v>
      </c>
      <c r="M11">
        <f>VLOOKUP(H11,$A$1:F$161,M$2,0)</f>
        <v>98.24</v>
      </c>
    </row>
    <row r="12" spans="1:13" x14ac:dyDescent="0.25">
      <c r="A12" t="s">
        <v>11</v>
      </c>
      <c r="B12">
        <v>11453.67</v>
      </c>
      <c r="C12">
        <v>9336.65</v>
      </c>
      <c r="D12">
        <v>7796.13</v>
      </c>
      <c r="E12">
        <v>7164.7</v>
      </c>
      <c r="F12">
        <v>6190.18</v>
      </c>
      <c r="H12" t="s">
        <v>18</v>
      </c>
      <c r="I12">
        <f>VLOOKUP(H12,$A$1:F$161,I$2,0)</f>
        <v>606.52</v>
      </c>
      <c r="J12">
        <f>VLOOKUP(H12,$A$1:F$161,J$2,0)</f>
        <v>708.23</v>
      </c>
      <c r="K12">
        <f>VLOOKUP(H12,$A$1:F$161,K$2,0)</f>
        <v>2512.09</v>
      </c>
      <c r="L12">
        <f>VLOOKUP(H12,$A$1:F$161,L$2,0)</f>
        <v>3011.38</v>
      </c>
      <c r="M12">
        <f>VLOOKUP(H12,$A$1:F$161,M$2,0)</f>
        <v>3539.6</v>
      </c>
    </row>
    <row r="13" spans="1:13" x14ac:dyDescent="0.25">
      <c r="A13" t="s">
        <v>12</v>
      </c>
      <c r="B13">
        <v>11555.93</v>
      </c>
      <c r="C13">
        <v>9438.9</v>
      </c>
      <c r="D13">
        <v>7898.36</v>
      </c>
      <c r="E13">
        <v>7266.92</v>
      </c>
      <c r="F13">
        <v>6258.31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2163.06</v>
      </c>
      <c r="J14">
        <f>VLOOKUP(H14,$A$1:F$161,J$2,0)</f>
        <v>2159.64</v>
      </c>
      <c r="K14">
        <f>VLOOKUP(H14,$A$1:F$161,K$2,0)</f>
        <v>2480.4899999999998</v>
      </c>
      <c r="L14">
        <f>VLOOKUP(H14,$A$1:F$161,L$2,0)</f>
        <v>2539.88</v>
      </c>
      <c r="M14">
        <f>VLOOKUP(H14,$A$1:F$161,M$2,0)</f>
        <v>2356.85</v>
      </c>
    </row>
    <row r="15" spans="1:13" x14ac:dyDescent="0.25">
      <c r="A15" t="s">
        <v>14</v>
      </c>
      <c r="B15">
        <v>380.85</v>
      </c>
      <c r="C15">
        <v>480.11</v>
      </c>
      <c r="D15">
        <v>2145.04</v>
      </c>
      <c r="E15">
        <v>2604.7800000000002</v>
      </c>
      <c r="F15">
        <v>2380.3200000000002</v>
      </c>
      <c r="H15" t="s">
        <v>22</v>
      </c>
      <c r="I15">
        <f>VLOOKUP(H15,$A$1:F$161,I$2,0)</f>
        <v>505.53</v>
      </c>
      <c r="J15">
        <f>VLOOKUP(H15,$A$1:F$161,J$2,0)</f>
        <v>1624.24</v>
      </c>
      <c r="K15">
        <f>VLOOKUP(H15,$A$1:F$161,K$2,0)</f>
        <v>1491.41</v>
      </c>
      <c r="L15">
        <f>VLOOKUP(H15,$A$1:F$161,L$2,0)</f>
        <v>1030.1099999999999</v>
      </c>
      <c r="M15">
        <f>VLOOKUP(H15,$A$1:F$161,M$2,0)</f>
        <v>1619.62</v>
      </c>
    </row>
    <row r="16" spans="1:13" x14ac:dyDescent="0.25">
      <c r="A16" t="s">
        <v>15</v>
      </c>
      <c r="B16">
        <v>51.94</v>
      </c>
      <c r="C16">
        <v>39.03</v>
      </c>
      <c r="D16">
        <v>76.73</v>
      </c>
      <c r="E16">
        <v>76.53</v>
      </c>
      <c r="F16">
        <v>304.72000000000003</v>
      </c>
      <c r="H16" t="s">
        <v>23</v>
      </c>
      <c r="I16">
        <f>VLOOKUP(H16,$A$1:F$161,I$2,0)</f>
        <v>76.209999999999994</v>
      </c>
      <c r="J16">
        <f>VLOOKUP(H16,$A$1:F$161,J$2,0)</f>
        <v>72.400000000000006</v>
      </c>
      <c r="K16">
        <f>VLOOKUP(H16,$A$1:F$161,K$2,0)</f>
        <v>55.96</v>
      </c>
      <c r="L16">
        <f>VLOOKUP(H16,$A$1:F$161,L$2,0)</f>
        <v>50.85</v>
      </c>
      <c r="M16">
        <f>VLOOKUP(H16,$A$1:F$161,M$2,0)</f>
        <v>47.82</v>
      </c>
    </row>
    <row r="17" spans="1:13" x14ac:dyDescent="0.25">
      <c r="A17" t="s">
        <v>16</v>
      </c>
      <c r="B17">
        <v>66.73</v>
      </c>
      <c r="C17">
        <v>74.37</v>
      </c>
      <c r="D17">
        <v>173.34</v>
      </c>
      <c r="E17">
        <v>221.82</v>
      </c>
      <c r="F17">
        <v>756.32</v>
      </c>
      <c r="H17" t="s">
        <v>24</v>
      </c>
      <c r="I17">
        <f>VLOOKUP(H17,$A$1:F$161,I$2,0)</f>
        <v>3971.61</v>
      </c>
      <c r="J17">
        <f>VLOOKUP(H17,$A$1:F$161,J$2,0)</f>
        <v>4135.6899999999996</v>
      </c>
      <c r="K17">
        <f>VLOOKUP(H17,$A$1:F$161,K$2,0)</f>
        <v>4546.5600000000004</v>
      </c>
      <c r="L17">
        <f>VLOOKUP(H17,$A$1:F$161,L$2,0)</f>
        <v>3891.78</v>
      </c>
      <c r="M17">
        <f>VLOOKUP(H17,$A$1:F$161,M$2,0)</f>
        <v>4164.8</v>
      </c>
    </row>
    <row r="18" spans="1:13" x14ac:dyDescent="0.25">
      <c r="A18" t="s">
        <v>17</v>
      </c>
      <c r="B18">
        <v>107</v>
      </c>
      <c r="C18">
        <v>114.72</v>
      </c>
      <c r="D18">
        <v>116.98</v>
      </c>
      <c r="E18">
        <v>108.25</v>
      </c>
      <c r="F18">
        <v>98.24</v>
      </c>
      <c r="H18" t="s">
        <v>25</v>
      </c>
      <c r="I18">
        <f>VLOOKUP(H18,$A$1:F$161,I$2,0)</f>
        <v>16134.06</v>
      </c>
      <c r="J18">
        <f>VLOOKUP(H18,$A$1:F$161,J$2,0)</f>
        <v>14282.82</v>
      </c>
      <c r="K18">
        <f>VLOOKUP(H18,$A$1:F$161,K$2,0)</f>
        <v>14957.01</v>
      </c>
      <c r="L18">
        <f>VLOOKUP(H18,$A$1:F$161,L$2,0)</f>
        <v>14170.08</v>
      </c>
      <c r="M18">
        <f>VLOOKUP(H18,$A$1:F$161,M$2,0)</f>
        <v>13962.71</v>
      </c>
    </row>
    <row r="19" spans="1:13" x14ac:dyDescent="0.25">
      <c r="A19" t="s">
        <v>18</v>
      </c>
      <c r="B19">
        <v>606.52</v>
      </c>
      <c r="C19">
        <v>708.23</v>
      </c>
      <c r="D19">
        <v>2512.09</v>
      </c>
      <c r="E19">
        <v>3011.38</v>
      </c>
      <c r="F19">
        <v>3539.6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1226.81</v>
      </c>
      <c r="C21">
        <v>279.41000000000003</v>
      </c>
      <c r="D21">
        <v>518.70000000000005</v>
      </c>
      <c r="E21">
        <v>270.94</v>
      </c>
      <c r="F21">
        <v>140.51</v>
      </c>
      <c r="H21" t="s">
        <v>28</v>
      </c>
      <c r="I21">
        <f>VLOOKUP(H21,$A$1:F$161,I$2,0)</f>
        <v>1373.36</v>
      </c>
      <c r="J21">
        <f>VLOOKUP(H21,$A$1:F$161,J$2,0)</f>
        <v>1301.3499999999999</v>
      </c>
      <c r="K21">
        <f>VLOOKUP(H21,$A$1:F$161,K$2,0)</f>
        <v>1256.92</v>
      </c>
      <c r="L21">
        <f>VLOOKUP(H21,$A$1:F$161,L$2,0)</f>
        <v>1192.29</v>
      </c>
      <c r="M21">
        <f>VLOOKUP(H21,$A$1:F$161,M$2,0)</f>
        <v>1066.3599999999999</v>
      </c>
    </row>
    <row r="22" spans="1:13" x14ac:dyDescent="0.25">
      <c r="A22" t="s">
        <v>21</v>
      </c>
      <c r="B22">
        <v>2163.06</v>
      </c>
      <c r="C22">
        <v>2159.64</v>
      </c>
      <c r="D22">
        <v>2480.4899999999998</v>
      </c>
      <c r="E22">
        <v>2539.88</v>
      </c>
      <c r="F22">
        <v>2356.85</v>
      </c>
      <c r="H22" t="s">
        <v>29</v>
      </c>
      <c r="I22">
        <f>VLOOKUP(H22,$A$1:F$161,I$2,0)</f>
        <v>114.75</v>
      </c>
      <c r="J22">
        <f>VLOOKUP(H22,$A$1:F$161,J$2,0)</f>
        <v>52.97</v>
      </c>
      <c r="K22">
        <f>VLOOKUP(H22,$A$1:F$161,K$2,0)</f>
        <v>55.67</v>
      </c>
      <c r="L22">
        <f>VLOOKUP(H22,$A$1:F$161,L$2,0)</f>
        <v>50.9</v>
      </c>
      <c r="M22">
        <f>VLOOKUP(H22,$A$1:F$161,M$2,0)</f>
        <v>82.08</v>
      </c>
    </row>
    <row r="23" spans="1:13" x14ac:dyDescent="0.25">
      <c r="A23" t="s">
        <v>22</v>
      </c>
      <c r="B23">
        <v>505.53</v>
      </c>
      <c r="C23">
        <v>1624.24</v>
      </c>
      <c r="D23">
        <v>1491.41</v>
      </c>
      <c r="E23">
        <v>1030.1099999999999</v>
      </c>
      <c r="F23">
        <v>1619.62</v>
      </c>
      <c r="H23" t="s">
        <v>30</v>
      </c>
      <c r="I23">
        <f>VLOOKUP(H23,$A$1:F$161,I$2,0)</f>
        <v>3958.95</v>
      </c>
      <c r="J23">
        <f>VLOOKUP(H23,$A$1:F$161,J$2,0)</f>
        <v>3832.35</v>
      </c>
      <c r="K23">
        <f>VLOOKUP(H23,$A$1:F$161,K$2,0)</f>
        <v>3949.12</v>
      </c>
      <c r="L23">
        <f>VLOOKUP(H23,$A$1:F$161,L$2,0)</f>
        <v>3804.29</v>
      </c>
      <c r="M23">
        <f>VLOOKUP(H23,$A$1:F$161,M$2,0)</f>
        <v>3680.01</v>
      </c>
    </row>
    <row r="24" spans="1:13" x14ac:dyDescent="0.25">
      <c r="A24" t="s">
        <v>23</v>
      </c>
      <c r="B24">
        <v>76.209999999999994</v>
      </c>
      <c r="C24">
        <v>72.400000000000006</v>
      </c>
      <c r="D24">
        <v>55.96</v>
      </c>
      <c r="E24">
        <v>50.85</v>
      </c>
      <c r="F24">
        <v>47.82</v>
      </c>
      <c r="H24" t="s">
        <v>32</v>
      </c>
      <c r="I24">
        <f>VLOOKUP(H24,$A$1:F$161,I$2,0)</f>
        <v>731.51</v>
      </c>
      <c r="J24">
        <f>VLOOKUP(H24,$A$1:F$161,J$2,0)</f>
        <v>676.79</v>
      </c>
      <c r="K24">
        <f>VLOOKUP(H24,$A$1:F$161,K$2,0)</f>
        <v>646.79</v>
      </c>
      <c r="L24">
        <f>VLOOKUP(H24,$A$1:F$161,L$2,0)</f>
        <v>549.32000000000005</v>
      </c>
      <c r="M24">
        <f>VLOOKUP(H24,$A$1:F$161,M$2,0)</f>
        <v>100.04</v>
      </c>
    </row>
    <row r="25" spans="1:13" x14ac:dyDescent="0.25">
      <c r="A25" t="s">
        <v>24</v>
      </c>
      <c r="B25">
        <v>3971.61</v>
      </c>
      <c r="C25">
        <v>4135.6899999999996</v>
      </c>
      <c r="D25">
        <v>4546.5600000000004</v>
      </c>
      <c r="E25">
        <v>3891.78</v>
      </c>
      <c r="F25">
        <v>4164.8</v>
      </c>
      <c r="H25" t="s">
        <v>33</v>
      </c>
      <c r="I25">
        <f>VLOOKUP(H25,$A$1:F$161,I$2,0)</f>
        <v>0.03</v>
      </c>
      <c r="J25">
        <f>VLOOKUP(H25,$A$1:F$161,J$2,0)</f>
        <v>21.78</v>
      </c>
      <c r="K25">
        <f>VLOOKUP(H25,$A$1:F$161,K$2,0)</f>
        <v>22.63</v>
      </c>
      <c r="L25">
        <f>VLOOKUP(H25,$A$1:F$161,L$2,0)</f>
        <v>18.77</v>
      </c>
      <c r="M25">
        <f>VLOOKUP(H25,$A$1:F$161,M$2,0)</f>
        <v>18.87</v>
      </c>
    </row>
    <row r="26" spans="1:13" x14ac:dyDescent="0.25">
      <c r="A26" t="s">
        <v>25</v>
      </c>
      <c r="B26">
        <v>16134.06</v>
      </c>
      <c r="C26">
        <v>14282.82</v>
      </c>
      <c r="D26">
        <v>14957.01</v>
      </c>
      <c r="E26">
        <v>14170.08</v>
      </c>
      <c r="F26">
        <v>13962.71</v>
      </c>
      <c r="H26" t="s">
        <v>34</v>
      </c>
      <c r="I26">
        <f>VLOOKUP(H26,$A$1:F$161,I$2,0)</f>
        <v>208.39</v>
      </c>
      <c r="J26">
        <f>VLOOKUP(H26,$A$1:F$161,J$2,0)</f>
        <v>127.71</v>
      </c>
      <c r="K26">
        <f>VLOOKUP(H26,$A$1:F$161,K$2,0)</f>
        <v>156.01</v>
      </c>
      <c r="L26">
        <f>VLOOKUP(H26,$A$1:F$161,L$2,0)</f>
        <v>156.59</v>
      </c>
      <c r="M26">
        <f>VLOOKUP(H26,$A$1:F$161,M$2,0)</f>
        <v>135.72</v>
      </c>
    </row>
    <row r="27" spans="1:13" x14ac:dyDescent="0.25">
      <c r="A27" t="s">
        <v>26</v>
      </c>
      <c r="H27" t="s">
        <v>35</v>
      </c>
      <c r="I27">
        <f>VLOOKUP(H27,$A$1:F$161,I$2,0)</f>
        <v>10446.790000000001</v>
      </c>
      <c r="J27">
        <f>VLOOKUP(H27,$A$1:F$161,J$2,0)</f>
        <v>9810.41</v>
      </c>
      <c r="K27">
        <f>VLOOKUP(H27,$A$1:F$161,K$2,0)</f>
        <v>10148.67</v>
      </c>
      <c r="L27">
        <f>VLOOKUP(H27,$A$1:F$161,L$2,0)</f>
        <v>9481.67</v>
      </c>
      <c r="M27">
        <f>VLOOKUP(H27,$A$1:F$161,M$2,0)</f>
        <v>8795.0300000000007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1373.36</v>
      </c>
      <c r="C29">
        <v>1301.3499999999999</v>
      </c>
      <c r="D29">
        <v>1256.92</v>
      </c>
      <c r="E29">
        <v>1192.29</v>
      </c>
      <c r="F29">
        <v>1066.3599999999999</v>
      </c>
      <c r="H29" t="s">
        <v>38</v>
      </c>
      <c r="I29">
        <f>VLOOKUP(H29,$A$1:F$161,I$2,0)</f>
        <v>2129.85</v>
      </c>
      <c r="J29">
        <f>VLOOKUP(H29,$A$1:F$161,J$2,0)</f>
        <v>1716.25</v>
      </c>
      <c r="K29">
        <f>VLOOKUP(H29,$A$1:F$161,K$2,0)</f>
        <v>1703.12</v>
      </c>
      <c r="L29">
        <f>VLOOKUP(H29,$A$1:F$161,L$2,0)</f>
        <v>1558.59</v>
      </c>
      <c r="M29">
        <f>VLOOKUP(H29,$A$1:F$161,M$2,0)</f>
        <v>1577.72</v>
      </c>
    </row>
    <row r="30" spans="1:13" x14ac:dyDescent="0.25">
      <c r="A30" t="s">
        <v>106</v>
      </c>
      <c r="B30">
        <v>2469.15</v>
      </c>
      <c r="C30">
        <v>2473.5700000000002</v>
      </c>
      <c r="D30">
        <v>2635.16</v>
      </c>
      <c r="E30">
        <v>2559.94</v>
      </c>
      <c r="F30">
        <v>2529.77</v>
      </c>
      <c r="H30" t="s">
        <v>39</v>
      </c>
      <c r="I30">
        <f>VLOOKUP(H30,$A$1:F$161,I$2,0)</f>
        <v>1116.32</v>
      </c>
      <c r="J30">
        <f>VLOOKUP(H30,$A$1:F$161,J$2,0)</f>
        <v>1004.5</v>
      </c>
      <c r="K30">
        <f>VLOOKUP(H30,$A$1:F$161,K$2,0)</f>
        <v>1157.25</v>
      </c>
      <c r="L30">
        <f>VLOOKUP(H30,$A$1:F$161,L$2,0)</f>
        <v>1292.9000000000001</v>
      </c>
      <c r="M30">
        <f>VLOOKUP(H30,$A$1:F$161,M$2,0)</f>
        <v>1245.5</v>
      </c>
    </row>
    <row r="31" spans="1:13" x14ac:dyDescent="0.25">
      <c r="A31" t="s">
        <v>29</v>
      </c>
      <c r="B31">
        <v>114.75</v>
      </c>
      <c r="C31">
        <v>52.97</v>
      </c>
      <c r="D31">
        <v>55.67</v>
      </c>
      <c r="E31">
        <v>50.9</v>
      </c>
      <c r="F31">
        <v>82.08</v>
      </c>
      <c r="H31" t="s">
        <v>40</v>
      </c>
      <c r="I31">
        <f>VLOOKUP(H31,$A$1:F$161,I$2,0)</f>
        <v>1107.77</v>
      </c>
      <c r="J31">
        <f>VLOOKUP(H31,$A$1:F$161,J$2,0)</f>
        <v>672.21</v>
      </c>
      <c r="K31">
        <f>VLOOKUP(H31,$A$1:F$161,K$2,0)</f>
        <v>770.16</v>
      </c>
      <c r="L31">
        <f>VLOOKUP(H31,$A$1:F$161,L$2,0)</f>
        <v>894.72</v>
      </c>
      <c r="M31">
        <f>VLOOKUP(H31,$A$1:F$161,M$2,0)</f>
        <v>960.21</v>
      </c>
    </row>
    <row r="32" spans="1:13" x14ac:dyDescent="0.25">
      <c r="A32" t="s">
        <v>120</v>
      </c>
      <c r="B32">
        <v>1.69</v>
      </c>
      <c r="C32">
        <v>4.46</v>
      </c>
      <c r="D32">
        <v>1.37</v>
      </c>
      <c r="E32">
        <v>1.1599999999999999</v>
      </c>
      <c r="F32">
        <v>1.8</v>
      </c>
      <c r="H32" t="s">
        <v>41</v>
      </c>
      <c r="I32">
        <f>VLOOKUP(H32,$A$1:F$161,I$2,0)</f>
        <v>0.05</v>
      </c>
      <c r="J32">
        <f>VLOOKUP(H32,$A$1:F$161,J$2,0)</f>
        <v>4.6399999999999997</v>
      </c>
      <c r="K32">
        <f>VLOOKUP(H32,$A$1:F$161,K$2,0)</f>
        <v>3.27</v>
      </c>
      <c r="L32">
        <f>VLOOKUP(H32,$A$1:F$161,L$2,0)</f>
        <v>3.73</v>
      </c>
      <c r="M32">
        <f>VLOOKUP(H32,$A$1:F$161,M$2,0)</f>
        <v>2.89</v>
      </c>
    </row>
    <row r="33" spans="1:13" x14ac:dyDescent="0.25">
      <c r="A33" t="s">
        <v>30</v>
      </c>
      <c r="B33">
        <v>3958.95</v>
      </c>
      <c r="C33">
        <v>3832.35</v>
      </c>
      <c r="D33">
        <v>3949.12</v>
      </c>
      <c r="E33">
        <v>3804.29</v>
      </c>
      <c r="F33">
        <v>3680.01</v>
      </c>
      <c r="H33" t="s">
        <v>42</v>
      </c>
      <c r="I33">
        <f>VLOOKUP(H33,$A$1:F$161,I$2,0)</f>
        <v>488.97</v>
      </c>
      <c r="J33">
        <f>VLOOKUP(H33,$A$1:F$161,J$2,0)</f>
        <v>417.64</v>
      </c>
      <c r="K33">
        <f>VLOOKUP(H33,$A$1:F$161,K$2,0)</f>
        <v>537.36</v>
      </c>
      <c r="L33">
        <f>VLOOKUP(H33,$A$1:F$161,L$2,0)</f>
        <v>457.16</v>
      </c>
      <c r="M33">
        <f>VLOOKUP(H33,$A$1:F$161,M$2,0)</f>
        <v>525.6</v>
      </c>
    </row>
    <row r="34" spans="1:13" x14ac:dyDescent="0.25">
      <c r="A34" t="s">
        <v>31</v>
      </c>
      <c r="B34">
        <v>171.12</v>
      </c>
      <c r="C34">
        <v>21.93</v>
      </c>
      <c r="D34">
        <v>34.799999999999997</v>
      </c>
      <c r="E34">
        <v>34.67</v>
      </c>
      <c r="F34">
        <v>141.52000000000001</v>
      </c>
      <c r="H34" t="s">
        <v>43</v>
      </c>
      <c r="I34">
        <f>VLOOKUP(H34,$A$1:F$161,I$2,0)</f>
        <v>5687.27</v>
      </c>
      <c r="J34">
        <f>VLOOKUP(H34,$A$1:F$161,J$2,0)</f>
        <v>4472.41</v>
      </c>
      <c r="K34">
        <f>VLOOKUP(H34,$A$1:F$161,K$2,0)</f>
        <v>4808.34</v>
      </c>
      <c r="L34">
        <f>VLOOKUP(H34,$A$1:F$161,L$2,0)</f>
        <v>4688.41</v>
      </c>
      <c r="M34">
        <f>VLOOKUP(H34,$A$1:F$161,M$2,0)</f>
        <v>5167.68</v>
      </c>
    </row>
    <row r="35" spans="1:13" x14ac:dyDescent="0.25">
      <c r="A35" t="s">
        <v>32</v>
      </c>
      <c r="B35">
        <v>731.51</v>
      </c>
      <c r="C35">
        <v>676.79</v>
      </c>
      <c r="D35">
        <v>646.79</v>
      </c>
      <c r="E35">
        <v>549.32000000000005</v>
      </c>
      <c r="F35">
        <v>100.04</v>
      </c>
      <c r="H35" t="s">
        <v>44</v>
      </c>
      <c r="I35">
        <f>VLOOKUP(H35,$A$1:F$161,I$2,0)</f>
        <v>16134.06</v>
      </c>
      <c r="J35">
        <f>VLOOKUP(H35,$A$1:F$161,J$2,0)</f>
        <v>14282.82</v>
      </c>
      <c r="K35">
        <f>VLOOKUP(H35,$A$1:F$161,K$2,0)</f>
        <v>14957.01</v>
      </c>
      <c r="L35">
        <f>VLOOKUP(H35,$A$1:F$161,L$2,0)</f>
        <v>14170.08</v>
      </c>
      <c r="M35">
        <f>VLOOKUP(H35,$A$1:F$161,M$2,0)</f>
        <v>13962.71</v>
      </c>
    </row>
    <row r="36" spans="1:13" x14ac:dyDescent="0.25">
      <c r="A36" t="s">
        <v>33</v>
      </c>
      <c r="B36">
        <v>0.03</v>
      </c>
      <c r="C36">
        <v>21.78</v>
      </c>
      <c r="D36">
        <v>22.63</v>
      </c>
      <c r="E36">
        <v>18.77</v>
      </c>
      <c r="F36">
        <v>18.87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34</v>
      </c>
      <c r="B37">
        <v>208.39</v>
      </c>
      <c r="C37">
        <v>127.71</v>
      </c>
      <c r="D37">
        <v>156.01</v>
      </c>
      <c r="E37">
        <v>156.59</v>
      </c>
      <c r="F37">
        <v>135.72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35</v>
      </c>
      <c r="B38">
        <v>10446.790000000001</v>
      </c>
      <c r="C38">
        <v>9810.41</v>
      </c>
      <c r="D38">
        <v>10148.67</v>
      </c>
      <c r="E38">
        <v>9481.67</v>
      </c>
      <c r="F38">
        <v>8795.0300000000007</v>
      </c>
      <c r="H38" t="s">
        <v>47</v>
      </c>
      <c r="I38">
        <f>VLOOKUP(H38,$A$1:F$161,I$2,0)</f>
        <v>950.96</v>
      </c>
      <c r="J38">
        <f>VLOOKUP(H38,$A$1:F$161,J$2,0)</f>
        <v>1106.01</v>
      </c>
      <c r="K38">
        <f>VLOOKUP(H38,$A$1:F$161,K$2,0)</f>
        <v>1089.97</v>
      </c>
      <c r="L38">
        <f>VLOOKUP(H38,$A$1:F$161,L$2,0)</f>
        <v>911.53</v>
      </c>
      <c r="M38">
        <f>VLOOKUP(H38,$A$1:F$161,M$2,0)</f>
        <v>872.44</v>
      </c>
    </row>
    <row r="39" spans="1:13" ht="15" customHeight="1" x14ac:dyDescent="0.25">
      <c r="A39" t="s">
        <v>36</v>
      </c>
      <c r="H39" t="s">
        <v>62</v>
      </c>
      <c r="I39">
        <f>VLOOKUP(H39,$A$1:F$161,I$2,0)</f>
        <v>844.31</v>
      </c>
      <c r="J39">
        <f>VLOOKUP(H39,$A$1:F$161,J$2,0)</f>
        <v>657.17</v>
      </c>
      <c r="K39">
        <f>VLOOKUP(H39,$A$1:F$161,K$2,0)</f>
        <v>637.17999999999995</v>
      </c>
      <c r="L39">
        <f>VLOOKUP(H39,$A$1:F$161,L$2,0)</f>
        <v>481.31</v>
      </c>
      <c r="M39">
        <f>VLOOKUP(H39,$A$1:F$161,M$2,0)</f>
        <v>855.76</v>
      </c>
    </row>
    <row r="40" spans="1:13" x14ac:dyDescent="0.25">
      <c r="A40" t="s">
        <v>37</v>
      </c>
      <c r="B40">
        <v>844.31</v>
      </c>
      <c r="C40">
        <v>657.17</v>
      </c>
      <c r="D40">
        <v>637.17999999999995</v>
      </c>
      <c r="E40">
        <v>481.31</v>
      </c>
      <c r="F40">
        <v>855.76</v>
      </c>
      <c r="H40" t="s">
        <v>63</v>
      </c>
      <c r="I40">
        <f>VLOOKUP(H40,$A$1:F$161,I$2,0)</f>
        <v>127.19</v>
      </c>
      <c r="J40">
        <f>VLOOKUP(H40,$A$1:F$161,J$2,0)</f>
        <v>55.3</v>
      </c>
      <c r="K40">
        <f>VLOOKUP(H40,$A$1:F$161,K$2,0)</f>
        <v>80.099999999999994</v>
      </c>
      <c r="L40">
        <f>VLOOKUP(H40,$A$1:F$161,L$2,0)</f>
        <v>329.94</v>
      </c>
      <c r="M40">
        <f>VLOOKUP(H40,$A$1:F$161,M$2,0)</f>
        <v>339.38</v>
      </c>
    </row>
    <row r="41" spans="1:13" x14ac:dyDescent="0.25">
      <c r="A41" t="s">
        <v>38</v>
      </c>
      <c r="B41">
        <v>2129.85</v>
      </c>
      <c r="C41">
        <v>1716.25</v>
      </c>
      <c r="D41">
        <v>1703.12</v>
      </c>
      <c r="E41">
        <v>1558.59</v>
      </c>
      <c r="F41">
        <v>1577.72</v>
      </c>
      <c r="H41" t="s">
        <v>64</v>
      </c>
      <c r="I41">
        <f>VLOOKUP(H41,$A$1:F$161,I$2,0)</f>
        <v>717.12</v>
      </c>
      <c r="J41">
        <f>VLOOKUP(H41,$A$1:F$161,J$2,0)</f>
        <v>601.87</v>
      </c>
      <c r="K41">
        <f>VLOOKUP(H41,$A$1:F$161,K$2,0)</f>
        <v>557.12</v>
      </c>
      <c r="L41">
        <f>VLOOKUP(H41,$A$1:F$161,L$2,0)</f>
        <v>152.04</v>
      </c>
      <c r="M41">
        <f>VLOOKUP(H41,$A$1:F$161,M$2,0)</f>
        <v>519.75</v>
      </c>
    </row>
    <row r="42" spans="1:13" x14ac:dyDescent="0.25">
      <c r="A42" t="s">
        <v>39</v>
      </c>
      <c r="B42">
        <v>1116.32</v>
      </c>
      <c r="C42">
        <v>1004.5</v>
      </c>
      <c r="D42">
        <v>1157.25</v>
      </c>
      <c r="E42">
        <v>1292.9000000000001</v>
      </c>
      <c r="F42">
        <v>1245.5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40</v>
      </c>
      <c r="B43">
        <v>1107.77</v>
      </c>
      <c r="C43">
        <v>672.21</v>
      </c>
      <c r="D43">
        <v>770.16</v>
      </c>
      <c r="E43">
        <v>894.72</v>
      </c>
      <c r="F43">
        <v>960.21</v>
      </c>
      <c r="H43" t="s">
        <v>68</v>
      </c>
      <c r="I43">
        <f>VLOOKUP(H43,$A$1:F$161,I$2,0)</f>
        <v>12174.22</v>
      </c>
      <c r="J43">
        <f>VLOOKUP(H43,$A$1:F$161,J$2,0)</f>
        <v>10936.01</v>
      </c>
      <c r="K43">
        <f>VLOOKUP(H43,$A$1:F$161,K$2,0)</f>
        <v>9826.51</v>
      </c>
      <c r="L43">
        <f>VLOOKUP(H43,$A$1:F$161,L$2,0)</f>
        <v>10221.07</v>
      </c>
      <c r="M43">
        <f>VLOOKUP(H43,$A$1:F$161,M$2,0)</f>
        <v>9861.74</v>
      </c>
    </row>
    <row r="44" spans="1:13" x14ac:dyDescent="0.25">
      <c r="A44" t="s">
        <v>41</v>
      </c>
      <c r="B44">
        <v>0.05</v>
      </c>
      <c r="C44">
        <v>4.6399999999999997</v>
      </c>
      <c r="D44">
        <v>3.27</v>
      </c>
      <c r="E44">
        <v>3.73</v>
      </c>
      <c r="F44">
        <v>2.89</v>
      </c>
      <c r="H44" t="s">
        <v>70</v>
      </c>
      <c r="I44">
        <f>VLOOKUP(H44,$A$1:F$161,I$2,0)</f>
        <v>12174.22</v>
      </c>
      <c r="J44">
        <f>VLOOKUP(H44,$A$1:F$161,J$2,0)</f>
        <v>10936.01</v>
      </c>
      <c r="K44">
        <f>VLOOKUP(H44,$A$1:F$161,K$2,0)</f>
        <v>9826.51</v>
      </c>
      <c r="L44">
        <f>VLOOKUP(H44,$A$1:F$161,L$2,0)</f>
        <v>10221.07</v>
      </c>
      <c r="M44">
        <f>VLOOKUP(H44,$A$1:F$161,M$2,0)</f>
        <v>9768.02</v>
      </c>
    </row>
    <row r="45" spans="1:13" x14ac:dyDescent="0.25">
      <c r="A45" t="s">
        <v>42</v>
      </c>
      <c r="B45">
        <v>488.97</v>
      </c>
      <c r="C45">
        <v>417.64</v>
      </c>
      <c r="D45">
        <v>537.36</v>
      </c>
      <c r="E45">
        <v>457.16</v>
      </c>
      <c r="F45">
        <v>525.6</v>
      </c>
      <c r="H45" t="s">
        <v>71</v>
      </c>
      <c r="I45">
        <f>VLOOKUP(H45,$A$1:F$161,I$2,0)</f>
        <v>102.28</v>
      </c>
      <c r="J45">
        <f>VLOOKUP(H45,$A$1:F$161,J$2,0)</f>
        <v>92.61</v>
      </c>
      <c r="K45">
        <f>VLOOKUP(H45,$A$1:F$161,K$2,0)</f>
        <v>84.29</v>
      </c>
      <c r="L45">
        <f>VLOOKUP(H45,$A$1:F$161,L$2,0)</f>
        <v>93.27</v>
      </c>
      <c r="M45">
        <f>VLOOKUP(H45,$A$1:F$161,M$2,0)</f>
        <v>75.25</v>
      </c>
    </row>
    <row r="46" spans="1:13" x14ac:dyDescent="0.25">
      <c r="A46" t="s">
        <v>43</v>
      </c>
      <c r="B46">
        <v>5687.27</v>
      </c>
      <c r="C46">
        <v>4472.41</v>
      </c>
      <c r="D46">
        <v>4808.34</v>
      </c>
      <c r="E46">
        <v>4688.41</v>
      </c>
      <c r="F46">
        <v>5167.68</v>
      </c>
      <c r="H46" t="s">
        <v>72</v>
      </c>
      <c r="I46">
        <f>VLOOKUP(H46,$A$1:F$161,I$2,0)</f>
        <v>12276.5</v>
      </c>
      <c r="J46">
        <f>VLOOKUP(H46,$A$1:F$161,J$2,0)</f>
        <v>11028.62</v>
      </c>
      <c r="K46">
        <f>VLOOKUP(H46,$A$1:F$161,K$2,0)</f>
        <v>9910.7999999999993</v>
      </c>
      <c r="L46">
        <f>VLOOKUP(H46,$A$1:F$161,L$2,0)</f>
        <v>10314.34</v>
      </c>
      <c r="M46">
        <f>VLOOKUP(H46,$A$1:F$161,M$2,0)</f>
        <v>9843.27</v>
      </c>
    </row>
    <row r="47" spans="1:13" x14ac:dyDescent="0.25">
      <c r="A47" t="s">
        <v>44</v>
      </c>
      <c r="B47">
        <v>16134.06</v>
      </c>
      <c r="C47">
        <v>14282.82</v>
      </c>
      <c r="D47">
        <v>14957.01</v>
      </c>
      <c r="E47">
        <v>14170.08</v>
      </c>
      <c r="F47">
        <v>13962.71</v>
      </c>
      <c r="H47" t="s">
        <v>73</v>
      </c>
      <c r="I47">
        <f>VLOOKUP(H47,$A$1:F$161,I$2,0)</f>
        <v>89.71</v>
      </c>
      <c r="J47">
        <f>VLOOKUP(H47,$A$1:F$161,J$2,0)</f>
        <v>67.069999999999993</v>
      </c>
      <c r="K47">
        <f>VLOOKUP(H47,$A$1:F$161,K$2,0)</f>
        <v>112.3</v>
      </c>
      <c r="L47">
        <f>VLOOKUP(H47,$A$1:F$161,L$2,0)</f>
        <v>108.76</v>
      </c>
      <c r="M47">
        <f>VLOOKUP(H47,$A$1:F$161,M$2,0)</f>
        <v>107.55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12366.21</v>
      </c>
      <c r="J48">
        <f>VLOOKUP(H48,$A$1:F$161,J$2,0)</f>
        <v>11095.69</v>
      </c>
      <c r="K48">
        <f>VLOOKUP(H48,$A$1:F$161,K$2,0)</f>
        <v>10023.1</v>
      </c>
      <c r="L48">
        <f>VLOOKUP(H48,$A$1:F$161,L$2,0)</f>
        <v>10423.1</v>
      </c>
      <c r="M48">
        <f>VLOOKUP(H48,$A$1:F$161,M$2,0)</f>
        <v>9950.82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950.96</v>
      </c>
      <c r="C50">
        <v>1106.01</v>
      </c>
      <c r="D50">
        <v>1089.97</v>
      </c>
      <c r="E50">
        <v>911.53</v>
      </c>
      <c r="F50">
        <v>872.44</v>
      </c>
      <c r="H50" t="s">
        <v>76</v>
      </c>
      <c r="I50">
        <f>VLOOKUP(H50,$A$1:F$161,I$2,0)</f>
        <v>5782.98</v>
      </c>
      <c r="J50">
        <f>VLOOKUP(H50,$A$1:F$161,J$2,0)</f>
        <v>4606.76</v>
      </c>
      <c r="K50">
        <f>VLOOKUP(H50,$A$1:F$161,K$2,0)</f>
        <v>4121.75</v>
      </c>
      <c r="L50">
        <f>VLOOKUP(H50,$A$1:F$161,L$2,0)</f>
        <v>4062.43</v>
      </c>
      <c r="M50">
        <f>VLOOKUP(H50,$A$1:F$161,M$2,0)</f>
        <v>3646.23</v>
      </c>
    </row>
    <row r="51" spans="1:13" ht="15" customHeight="1" x14ac:dyDescent="0.25">
      <c r="A51" t="s">
        <v>57</v>
      </c>
      <c r="H51" t="s">
        <v>77</v>
      </c>
      <c r="I51">
        <f>VLOOKUP(H51,$A$1:F$161,I$2,0)</f>
        <v>353.65</v>
      </c>
      <c r="J51">
        <f>VLOOKUP(H51,$A$1:F$161,J$2,0)</f>
        <v>365.01</v>
      </c>
      <c r="K51">
        <f>VLOOKUP(H51,$A$1:F$161,K$2,0)</f>
        <v>313.08</v>
      </c>
      <c r="L51">
        <f>VLOOKUP(H51,$A$1:F$161,L$2,0)</f>
        <v>337.36</v>
      </c>
      <c r="M51">
        <f>VLOOKUP(H51,$A$1:F$161,M$2,0)</f>
        <v>572.13</v>
      </c>
    </row>
    <row r="52" spans="1:13" x14ac:dyDescent="0.25">
      <c r="A52" t="s">
        <v>58</v>
      </c>
      <c r="B52">
        <v>68.13</v>
      </c>
      <c r="C52">
        <v>68.13</v>
      </c>
      <c r="D52">
        <v>68.13</v>
      </c>
      <c r="E52">
        <v>68.13</v>
      </c>
      <c r="F52">
        <v>34.06</v>
      </c>
      <c r="H52" t="s">
        <v>78</v>
      </c>
      <c r="I52">
        <f>VLOOKUP(H52,$A$1:F$161,I$2,0)</f>
        <v>-61.54</v>
      </c>
      <c r="J52">
        <f>VLOOKUP(H52,$A$1:F$161,J$2,0)</f>
        <v>-42.35</v>
      </c>
      <c r="K52">
        <f>VLOOKUP(H52,$A$1:F$161,K$2,0)</f>
        <v>-173.15</v>
      </c>
      <c r="L52">
        <f>VLOOKUP(H52,$A$1:F$161,L$2,0)</f>
        <v>154.54</v>
      </c>
      <c r="M52">
        <f>VLOOKUP(H52,$A$1:F$161,M$2,0)</f>
        <v>56</v>
      </c>
    </row>
    <row r="53" spans="1:13" ht="24" customHeight="1" x14ac:dyDescent="0.25">
      <c r="A53" t="s">
        <v>59</v>
      </c>
      <c r="H53" t="s">
        <v>79</v>
      </c>
      <c r="I53">
        <f>VLOOKUP(H53,$A$1:F$161,I$2,0)</f>
        <v>1104.1400000000001</v>
      </c>
      <c r="J53">
        <f>VLOOKUP(H53,$A$1:F$161,J$2,0)</f>
        <v>1123.3399999999999</v>
      </c>
      <c r="K53">
        <f>VLOOKUP(H53,$A$1:F$161,K$2,0)</f>
        <v>1018.82</v>
      </c>
      <c r="L53">
        <f>VLOOKUP(H53,$A$1:F$161,L$2,0)</f>
        <v>1068.4100000000001</v>
      </c>
      <c r="M53">
        <f>VLOOKUP(H53,$A$1:F$161,M$2,0)</f>
        <v>1057.4100000000001</v>
      </c>
    </row>
    <row r="54" spans="1:13" x14ac:dyDescent="0.25">
      <c r="A54" t="s">
        <v>60</v>
      </c>
      <c r="B54">
        <v>145.91999999999999</v>
      </c>
      <c r="C54">
        <v>2.5099999999999998</v>
      </c>
      <c r="D54">
        <v>0</v>
      </c>
      <c r="E54">
        <v>0</v>
      </c>
      <c r="F54">
        <v>84.79</v>
      </c>
      <c r="H54" t="s">
        <v>80</v>
      </c>
      <c r="I54">
        <f>VLOOKUP(H54,$A$1:F$161,I$2,0)</f>
        <v>110.16</v>
      </c>
      <c r="J54">
        <f>VLOOKUP(H54,$A$1:F$161,J$2,0)</f>
        <v>126.63</v>
      </c>
      <c r="K54">
        <f>VLOOKUP(H54,$A$1:F$161,K$2,0)</f>
        <v>217.41</v>
      </c>
      <c r="L54">
        <f>VLOOKUP(H54,$A$1:F$161,L$2,0)</f>
        <v>224.25</v>
      </c>
      <c r="M54">
        <f>VLOOKUP(H54,$A$1:F$161,M$2,0)</f>
        <v>160.74</v>
      </c>
    </row>
    <row r="55" spans="1:13" x14ac:dyDescent="0.25">
      <c r="A55" t="s">
        <v>61</v>
      </c>
      <c r="B55">
        <v>25.2</v>
      </c>
      <c r="C55">
        <v>0</v>
      </c>
      <c r="D55">
        <v>0</v>
      </c>
      <c r="E55">
        <v>0</v>
      </c>
      <c r="F55">
        <v>56.86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62</v>
      </c>
      <c r="H56" t="s">
        <v>82</v>
      </c>
      <c r="I56">
        <f>VLOOKUP(H56,$A$1:F$161,I$2,0)</f>
        <v>209.93</v>
      </c>
      <c r="J56">
        <f>VLOOKUP(H56,$A$1:F$161,J$2,0)</f>
        <v>203.85</v>
      </c>
      <c r="K56">
        <f>VLOOKUP(H56,$A$1:F$161,K$2,0)</f>
        <v>197.28</v>
      </c>
      <c r="L56">
        <f>VLOOKUP(H56,$A$1:F$161,L$2,0)</f>
        <v>169.98</v>
      </c>
      <c r="M56">
        <f>VLOOKUP(H56,$A$1:F$161,M$2,0)</f>
        <v>155.68</v>
      </c>
    </row>
    <row r="57" spans="1:13" x14ac:dyDescent="0.25">
      <c r="A57" t="s">
        <v>63</v>
      </c>
      <c r="B57">
        <v>127.19</v>
      </c>
      <c r="C57">
        <v>55.3</v>
      </c>
      <c r="D57">
        <v>80.099999999999994</v>
      </c>
      <c r="E57">
        <v>329.94</v>
      </c>
      <c r="F57">
        <v>339.38</v>
      </c>
      <c r="H57" t="s">
        <v>83</v>
      </c>
      <c r="I57">
        <f>VLOOKUP(H57,$A$1:F$161,I$2,0)</f>
        <v>2702.16</v>
      </c>
      <c r="J57">
        <f>VLOOKUP(H57,$A$1:F$161,J$2,0)</f>
        <v>2587.61</v>
      </c>
      <c r="K57">
        <f>VLOOKUP(H57,$A$1:F$161,K$2,0)</f>
        <v>2487.27</v>
      </c>
      <c r="L57">
        <f>VLOOKUP(H57,$A$1:F$161,L$2,0)</f>
        <v>2573.9899999999998</v>
      </c>
      <c r="M57">
        <f>VLOOKUP(H57,$A$1:F$161,M$2,0)</f>
        <v>2444.39</v>
      </c>
    </row>
    <row r="58" spans="1:13" x14ac:dyDescent="0.25">
      <c r="A58" t="s">
        <v>64</v>
      </c>
      <c r="B58">
        <v>717.12</v>
      </c>
      <c r="C58">
        <v>601.87</v>
      </c>
      <c r="D58">
        <v>557.12</v>
      </c>
      <c r="E58">
        <v>152.04</v>
      </c>
      <c r="F58">
        <v>519.75</v>
      </c>
      <c r="H58" t="s">
        <v>84</v>
      </c>
      <c r="I58">
        <f>VLOOKUP(H58,$A$1:F$161,I$2,0)</f>
        <v>10201.48</v>
      </c>
      <c r="J58">
        <f>VLOOKUP(H58,$A$1:F$161,J$2,0)</f>
        <v>8970.85</v>
      </c>
      <c r="K58">
        <f>VLOOKUP(H58,$A$1:F$161,K$2,0)</f>
        <v>8182.46</v>
      </c>
      <c r="L58">
        <f>VLOOKUP(H58,$A$1:F$161,L$2,0)</f>
        <v>8590.9599999999991</v>
      </c>
      <c r="M58">
        <f>VLOOKUP(H58,$A$1:F$161,M$2,0)</f>
        <v>8092.58</v>
      </c>
    </row>
    <row r="59" spans="1:13" x14ac:dyDescent="0.25">
      <c r="H59" t="s">
        <v>85</v>
      </c>
      <c r="I59">
        <f>VLOOKUP(H59,$A$1:F$161,I$2,0)</f>
        <v>2164.73</v>
      </c>
      <c r="J59">
        <f>VLOOKUP(H59,$A$1:F$161,J$2,0)</f>
        <v>2124.84</v>
      </c>
      <c r="K59">
        <f>VLOOKUP(H59,$A$1:F$161,K$2,0)</f>
        <v>1840.64</v>
      </c>
      <c r="L59">
        <f>VLOOKUP(H59,$A$1:F$161,L$2,0)</f>
        <v>1832.14</v>
      </c>
      <c r="M59">
        <f>VLOOKUP(H59,$A$1:F$161,M$2,0)</f>
        <v>1858.24</v>
      </c>
    </row>
    <row r="60" spans="1:13" x14ac:dyDescent="0.25">
      <c r="H60" t="s">
        <v>87</v>
      </c>
      <c r="I60">
        <f>VLOOKUP(H60,$A$1:F$161,I$2,0)</f>
        <v>2154.98</v>
      </c>
      <c r="J60">
        <f>VLOOKUP(H60,$A$1:F$161,J$2,0)</f>
        <v>2080.37</v>
      </c>
      <c r="K60">
        <f>VLOOKUP(H60,$A$1:F$161,K$2,0)</f>
        <v>1759.59</v>
      </c>
      <c r="L60">
        <f>VLOOKUP(H60,$A$1:F$161,L$2,0)</f>
        <v>2084.6999999999998</v>
      </c>
      <c r="M60">
        <f>VLOOKUP(H60,$A$1:F$161,M$2,0)</f>
        <v>2037.8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ht="15" customHeight="1" x14ac:dyDescent="0.25">
      <c r="A62" t="s">
        <v>65</v>
      </c>
      <c r="H62" t="s">
        <v>89</v>
      </c>
      <c r="I62">
        <f>VLOOKUP(H62,$A$1:F$161,I$2,0)</f>
        <v>397.31</v>
      </c>
      <c r="J62">
        <f>VLOOKUP(H62,$A$1:F$161,J$2,0)</f>
        <v>408.14</v>
      </c>
      <c r="K62">
        <f>VLOOKUP(H62,$A$1:F$161,K$2,0)</f>
        <v>378.66</v>
      </c>
      <c r="L62">
        <f>VLOOKUP(H62,$A$1:F$161,L$2,0)</f>
        <v>417.9</v>
      </c>
      <c r="M62">
        <f>VLOOKUP(H62,$A$1:F$161,M$2,0)</f>
        <v>392.5</v>
      </c>
    </row>
    <row r="63" spans="1:13" x14ac:dyDescent="0.25">
      <c r="H63" t="s">
        <v>90</v>
      </c>
      <c r="I63">
        <f>VLOOKUP(H63,$A$1:F$161,I$2,0)</f>
        <v>-25.44</v>
      </c>
      <c r="J63">
        <f>VLOOKUP(H63,$A$1:F$161,J$2,0)</f>
        <v>-48.6</v>
      </c>
      <c r="K63">
        <f>VLOOKUP(H63,$A$1:F$161,K$2,0)</f>
        <v>-114.84</v>
      </c>
      <c r="L63">
        <f>VLOOKUP(H63,$A$1:F$161,L$2,0)</f>
        <v>-674.1</v>
      </c>
      <c r="M63">
        <f>VLOOKUP(H63,$A$1:F$161,M$2,0)</f>
        <v>12.2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371.87</v>
      </c>
      <c r="J65">
        <f>VLOOKUP(H65,$A$1:F$161,J$2,0)</f>
        <v>359.54</v>
      </c>
      <c r="K65">
        <f>VLOOKUP(H65,$A$1:F$161,K$2,0)</f>
        <v>263.82</v>
      </c>
      <c r="L65">
        <f>VLOOKUP(H65,$A$1:F$161,L$2,0)</f>
        <v>-256.2</v>
      </c>
      <c r="M65">
        <f>VLOOKUP(H65,$A$1:F$161,M$2,0)</f>
        <v>404.7</v>
      </c>
    </row>
    <row r="66" spans="8:13" x14ac:dyDescent="0.25">
      <c r="H66" t="s">
        <v>92</v>
      </c>
      <c r="I66">
        <f>VLOOKUP(H66,$A$1:F$161,I$2,0)</f>
        <v>1783.11</v>
      </c>
      <c r="J66">
        <f>VLOOKUP(H66,$A$1:F$161,J$2,0)</f>
        <v>1720.83</v>
      </c>
      <c r="K66">
        <f>VLOOKUP(H66,$A$1:F$161,K$2,0)</f>
        <v>1495.77</v>
      </c>
      <c r="L66">
        <f>VLOOKUP(H66,$A$1:F$161,L$2,0)</f>
        <v>2340.9</v>
      </c>
      <c r="M66">
        <f>VLOOKUP(H66,$A$1:F$161,M$2,0)</f>
        <v>1633.1</v>
      </c>
    </row>
    <row r="67" spans="8:13" x14ac:dyDescent="0.25">
      <c r="H67" t="s">
        <v>93</v>
      </c>
      <c r="I67">
        <f>VLOOKUP(H67,$A$1:F$161,I$2,0)</f>
        <v>1783.11</v>
      </c>
      <c r="J67">
        <f>VLOOKUP(H67,$A$1:F$161,J$2,0)</f>
        <v>1720.83</v>
      </c>
      <c r="K67">
        <f>VLOOKUP(H67,$A$1:F$161,K$2,0)</f>
        <v>1495.77</v>
      </c>
      <c r="L67">
        <f>VLOOKUP(H67,$A$1:F$161,L$2,0)</f>
        <v>2340.9</v>
      </c>
      <c r="M67">
        <f>VLOOKUP(H67,$A$1:F$161,M$2,0)</f>
        <v>1633.1</v>
      </c>
    </row>
    <row r="68" spans="8:13" x14ac:dyDescent="0.25">
      <c r="H68" t="s">
        <v>94</v>
      </c>
      <c r="I68">
        <f>VLOOKUP(H68,$A$1:F$161,I$2,0)</f>
        <v>1783.11</v>
      </c>
      <c r="J68">
        <f>VLOOKUP(H68,$A$1:F$161,J$2,0)</f>
        <v>1720.83</v>
      </c>
      <c r="K68">
        <f>VLOOKUP(H68,$A$1:F$161,K$2,0)</f>
        <v>1495.77</v>
      </c>
      <c r="L68">
        <f>VLOOKUP(H68,$A$1:F$161,L$2,0)</f>
        <v>2340.9</v>
      </c>
      <c r="M68">
        <f>VLOOKUP(H68,$A$1:F$161,M$2,0)</f>
        <v>1633.1</v>
      </c>
    </row>
    <row r="69" spans="8:13" x14ac:dyDescent="0.25">
      <c r="H69" t="s">
        <v>101</v>
      </c>
      <c r="I69">
        <f>VLOOKUP(H69,$A$1:F$161,I$2,0)</f>
        <v>0</v>
      </c>
      <c r="J69">
        <f>VLOOKUP(H69,$A$1:F$161,J$2,0)</f>
        <v>0</v>
      </c>
      <c r="K69">
        <f>VLOOKUP(H69,$A$1:F$161,K$2,0)</f>
        <v>817.82</v>
      </c>
      <c r="L69">
        <f>VLOOKUP(H69,$A$1:F$161,L$2,0)</f>
        <v>1226.52</v>
      </c>
      <c r="M69">
        <f>VLOOKUP(H69,$A$1:F$161,M$2,0)</f>
        <v>613.12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168.11</v>
      </c>
      <c r="L70">
        <f>VLOOKUP(H70,$A$1:F$161,L$2,0)</f>
        <v>252.11</v>
      </c>
      <c r="M70">
        <f>VLOOKUP(H70,$A$1:F$161,M$2,0)</f>
        <v>124.82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131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12174.22</v>
      </c>
      <c r="C97">
        <v>10936.01</v>
      </c>
      <c r="D97">
        <v>9826.51</v>
      </c>
      <c r="E97">
        <v>10221.07</v>
      </c>
      <c r="F97">
        <v>9861.74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93.72</v>
      </c>
    </row>
    <row r="99" spans="1:6" x14ac:dyDescent="0.25">
      <c r="A99" t="s">
        <v>70</v>
      </c>
      <c r="B99">
        <v>12174.22</v>
      </c>
      <c r="C99">
        <v>10936.01</v>
      </c>
      <c r="D99">
        <v>9826.51</v>
      </c>
      <c r="E99">
        <v>10221.07</v>
      </c>
      <c r="F99">
        <v>9768.02</v>
      </c>
    </row>
    <row r="100" spans="1:6" x14ac:dyDescent="0.25">
      <c r="A100" t="s">
        <v>71</v>
      </c>
      <c r="B100">
        <v>102.28</v>
      </c>
      <c r="C100">
        <v>92.61</v>
      </c>
      <c r="D100">
        <v>84.29</v>
      </c>
      <c r="E100">
        <v>93.27</v>
      </c>
      <c r="F100">
        <v>75.25</v>
      </c>
    </row>
    <row r="101" spans="1:6" x14ac:dyDescent="0.25">
      <c r="A101" t="s">
        <v>72</v>
      </c>
      <c r="B101">
        <v>12276.5</v>
      </c>
      <c r="C101">
        <v>11028.62</v>
      </c>
      <c r="D101">
        <v>9910.7999999999993</v>
      </c>
      <c r="E101">
        <v>10314.34</v>
      </c>
      <c r="F101">
        <v>9843.27</v>
      </c>
    </row>
    <row r="102" spans="1:6" x14ac:dyDescent="0.25">
      <c r="A102" t="s">
        <v>73</v>
      </c>
      <c r="B102">
        <v>89.71</v>
      </c>
      <c r="C102">
        <v>67.069999999999993</v>
      </c>
      <c r="D102">
        <v>112.3</v>
      </c>
      <c r="E102">
        <v>108.76</v>
      </c>
      <c r="F102">
        <v>107.55</v>
      </c>
    </row>
    <row r="103" spans="1:6" x14ac:dyDescent="0.25">
      <c r="A103" t="s">
        <v>74</v>
      </c>
      <c r="B103">
        <v>12366.21</v>
      </c>
      <c r="C103">
        <v>11095.69</v>
      </c>
      <c r="D103">
        <v>10023.1</v>
      </c>
      <c r="E103">
        <v>10423.1</v>
      </c>
      <c r="F103">
        <v>9950.82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5782.98</v>
      </c>
      <c r="C105">
        <v>4606.76</v>
      </c>
      <c r="D105">
        <v>4121.75</v>
      </c>
      <c r="E105">
        <v>4062.43</v>
      </c>
      <c r="F105">
        <v>3646.23</v>
      </c>
    </row>
    <row r="106" spans="1:6" x14ac:dyDescent="0.25">
      <c r="A106" t="s">
        <v>77</v>
      </c>
      <c r="B106">
        <v>353.65</v>
      </c>
      <c r="C106">
        <v>365.01</v>
      </c>
      <c r="D106">
        <v>313.08</v>
      </c>
      <c r="E106">
        <v>337.36</v>
      </c>
      <c r="F106">
        <v>572.13</v>
      </c>
    </row>
    <row r="107" spans="1:6" x14ac:dyDescent="0.25">
      <c r="A107" t="s">
        <v>78</v>
      </c>
      <c r="B107">
        <v>-61.54</v>
      </c>
      <c r="C107">
        <v>-42.35</v>
      </c>
      <c r="D107">
        <v>-173.15</v>
      </c>
      <c r="E107">
        <v>154.54</v>
      </c>
      <c r="F107">
        <v>56</v>
      </c>
    </row>
    <row r="108" spans="1:6" x14ac:dyDescent="0.25">
      <c r="A108" t="s">
        <v>79</v>
      </c>
      <c r="B108">
        <v>1104.1400000000001</v>
      </c>
      <c r="C108">
        <v>1123.3399999999999</v>
      </c>
      <c r="D108">
        <v>1018.82</v>
      </c>
      <c r="E108">
        <v>1068.4100000000001</v>
      </c>
      <c r="F108">
        <v>1057.4100000000001</v>
      </c>
    </row>
    <row r="109" spans="1:6" x14ac:dyDescent="0.25">
      <c r="A109" t="s">
        <v>80</v>
      </c>
      <c r="B109">
        <v>110.16</v>
      </c>
      <c r="C109">
        <v>126.63</v>
      </c>
      <c r="D109">
        <v>217.41</v>
      </c>
      <c r="E109">
        <v>224.25</v>
      </c>
      <c r="F109">
        <v>160.74</v>
      </c>
    </row>
    <row r="110" spans="1:6" x14ac:dyDescent="0.25">
      <c r="A110" t="s">
        <v>82</v>
      </c>
      <c r="B110">
        <v>209.93</v>
      </c>
      <c r="C110">
        <v>203.85</v>
      </c>
      <c r="D110">
        <v>197.28</v>
      </c>
      <c r="E110">
        <v>169.98</v>
      </c>
      <c r="F110">
        <v>155.68</v>
      </c>
    </row>
    <row r="111" spans="1:6" x14ac:dyDescent="0.25">
      <c r="A111" t="s">
        <v>83</v>
      </c>
      <c r="B111">
        <v>2702.16</v>
      </c>
      <c r="C111">
        <v>2587.61</v>
      </c>
      <c r="D111">
        <v>2487.27</v>
      </c>
      <c r="E111">
        <v>2573.9899999999998</v>
      </c>
      <c r="F111">
        <v>2444.39</v>
      </c>
    </row>
    <row r="112" spans="1:6" x14ac:dyDescent="0.25">
      <c r="A112" t="s">
        <v>84</v>
      </c>
      <c r="B112">
        <v>10201.48</v>
      </c>
      <c r="C112">
        <v>8970.85</v>
      </c>
      <c r="D112">
        <v>8182.46</v>
      </c>
      <c r="E112">
        <v>8590.9599999999991</v>
      </c>
      <c r="F112">
        <v>8092.58</v>
      </c>
    </row>
    <row r="113" spans="1:6" x14ac:dyDescent="0.25">
      <c r="A113" t="s">
        <v>85</v>
      </c>
      <c r="B113">
        <v>2164.73</v>
      </c>
      <c r="C113">
        <v>2124.84</v>
      </c>
      <c r="D113">
        <v>1840.64</v>
      </c>
      <c r="E113">
        <v>1832.14</v>
      </c>
      <c r="F113">
        <v>1858.24</v>
      </c>
    </row>
    <row r="114" spans="1:6" x14ac:dyDescent="0.25">
      <c r="A114" t="s">
        <v>86</v>
      </c>
      <c r="B114">
        <v>-9.75</v>
      </c>
      <c r="C114">
        <v>-44.47</v>
      </c>
      <c r="D114">
        <v>-81.05</v>
      </c>
      <c r="E114">
        <v>252.56</v>
      </c>
      <c r="F114">
        <v>179.56</v>
      </c>
    </row>
    <row r="115" spans="1:6" x14ac:dyDescent="0.25">
      <c r="A115" t="s">
        <v>87</v>
      </c>
      <c r="B115">
        <v>2154.98</v>
      </c>
      <c r="C115">
        <v>2080.37</v>
      </c>
      <c r="D115">
        <v>1759.59</v>
      </c>
      <c r="E115">
        <v>2084.6999999999998</v>
      </c>
      <c r="F115">
        <v>2037.8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397.31</v>
      </c>
      <c r="C117">
        <v>408.14</v>
      </c>
      <c r="D117">
        <v>378.66</v>
      </c>
      <c r="E117">
        <v>417.9</v>
      </c>
      <c r="F117">
        <v>392.5</v>
      </c>
    </row>
    <row r="118" spans="1:6" x14ac:dyDescent="0.25">
      <c r="A118" t="s">
        <v>90</v>
      </c>
      <c r="B118">
        <v>-25.44</v>
      </c>
      <c r="C118">
        <v>-48.6</v>
      </c>
      <c r="D118">
        <v>-114.84</v>
      </c>
      <c r="E118">
        <v>-674.1</v>
      </c>
      <c r="F118">
        <v>12.2</v>
      </c>
    </row>
    <row r="119" spans="1:6" x14ac:dyDescent="0.25">
      <c r="A119" t="s">
        <v>91</v>
      </c>
      <c r="B119">
        <v>371.87</v>
      </c>
      <c r="C119">
        <v>359.54</v>
      </c>
      <c r="D119">
        <v>263.82</v>
      </c>
      <c r="E119">
        <v>-256.2</v>
      </c>
      <c r="F119">
        <v>404.7</v>
      </c>
    </row>
    <row r="120" spans="1:6" x14ac:dyDescent="0.25">
      <c r="A120" t="s">
        <v>92</v>
      </c>
      <c r="B120">
        <v>1783.11</v>
      </c>
      <c r="C120">
        <v>1720.83</v>
      </c>
      <c r="D120">
        <v>1495.77</v>
      </c>
      <c r="E120">
        <v>2340.9</v>
      </c>
      <c r="F120">
        <v>1633.1</v>
      </c>
    </row>
    <row r="121" spans="1:6" x14ac:dyDescent="0.25">
      <c r="A121" t="s">
        <v>93</v>
      </c>
      <c r="B121">
        <v>1783.11</v>
      </c>
      <c r="C121">
        <v>1720.83</v>
      </c>
      <c r="D121">
        <v>1495.77</v>
      </c>
      <c r="E121">
        <v>2340.9</v>
      </c>
      <c r="F121">
        <v>1633.1</v>
      </c>
    </row>
    <row r="122" spans="1:6" x14ac:dyDescent="0.25">
      <c r="A122" t="s">
        <v>94</v>
      </c>
      <c r="B122">
        <v>1783.11</v>
      </c>
      <c r="C122">
        <v>1720.83</v>
      </c>
      <c r="D122">
        <v>1495.77</v>
      </c>
      <c r="E122">
        <v>2340.9</v>
      </c>
      <c r="F122">
        <v>1633.1</v>
      </c>
    </row>
    <row r="123" spans="1:6" x14ac:dyDescent="0.25">
      <c r="A123" t="s">
        <v>130</v>
      </c>
      <c r="B123">
        <v>0.28000000000000003</v>
      </c>
      <c r="C123">
        <v>-0.01</v>
      </c>
      <c r="D123">
        <v>0.81</v>
      </c>
      <c r="E123">
        <v>0.63</v>
      </c>
      <c r="F123">
        <v>1.08</v>
      </c>
    </row>
    <row r="124" spans="1:6" x14ac:dyDescent="0.25">
      <c r="A124" t="s">
        <v>113</v>
      </c>
      <c r="B124">
        <v>1783.39</v>
      </c>
      <c r="C124">
        <v>1720.82</v>
      </c>
      <c r="D124">
        <v>1496.58</v>
      </c>
      <c r="E124">
        <v>2341.5300000000002</v>
      </c>
      <c r="F124">
        <v>1634.18</v>
      </c>
    </row>
    <row r="125" spans="1:6" ht="24" customHeight="1" x14ac:dyDescent="0.25">
      <c r="A125" t="s">
        <v>45</v>
      </c>
    </row>
    <row r="126" spans="1:6" ht="24" customHeight="1" x14ac:dyDescent="0.25">
      <c r="A126" t="s">
        <v>95</v>
      </c>
    </row>
    <row r="127" spans="1:6" x14ac:dyDescent="0.25">
      <c r="A127" t="s">
        <v>96</v>
      </c>
      <c r="B127">
        <v>17</v>
      </c>
      <c r="C127">
        <v>17</v>
      </c>
      <c r="D127">
        <v>15</v>
      </c>
      <c r="E127">
        <v>23</v>
      </c>
      <c r="F127">
        <v>24</v>
      </c>
    </row>
    <row r="128" spans="1:6" x14ac:dyDescent="0.25">
      <c r="A128" t="s">
        <v>97</v>
      </c>
      <c r="B128">
        <v>17</v>
      </c>
      <c r="C128">
        <v>17</v>
      </c>
      <c r="D128">
        <v>15</v>
      </c>
      <c r="E128">
        <v>23</v>
      </c>
      <c r="F128">
        <v>24</v>
      </c>
    </row>
    <row r="129" spans="1:6" ht="36" customHeight="1" x14ac:dyDescent="0.25">
      <c r="A129" t="s">
        <v>100</v>
      </c>
    </row>
    <row r="130" spans="1:6" x14ac:dyDescent="0.25">
      <c r="A130" t="s">
        <v>101</v>
      </c>
      <c r="B130">
        <v>0</v>
      </c>
      <c r="C130">
        <v>0</v>
      </c>
      <c r="D130">
        <v>817.82</v>
      </c>
      <c r="E130">
        <v>1226.52</v>
      </c>
      <c r="F130">
        <v>613.12</v>
      </c>
    </row>
    <row r="131" spans="1:6" x14ac:dyDescent="0.25">
      <c r="A131" t="s">
        <v>102</v>
      </c>
      <c r="B131">
        <v>0</v>
      </c>
      <c r="C131">
        <v>0</v>
      </c>
      <c r="D131">
        <v>168.11</v>
      </c>
      <c r="E131">
        <v>252.11</v>
      </c>
      <c r="F131">
        <v>124.82</v>
      </c>
    </row>
    <row r="135" spans="1:6" ht="15" customHeight="1" x14ac:dyDescent="0.25">
      <c r="A135" t="s">
        <v>65</v>
      </c>
    </row>
  </sheetData>
  <hyperlinks>
    <hyperlink ref="B1" r:id="rId1" display="javascript:void(0);" xr:uid="{F850E754-9029-407E-9104-CA7EA3BA7685}"/>
    <hyperlink ref="B90" r:id="rId2" display="javascript:void(0);" xr:uid="{2350C591-39F9-4785-B181-2E636B42F916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B56BB-A09E-4108-9D2F-9CB391799C8C}">
  <sheetPr codeName="Sheet11"/>
  <dimension ref="A1:M137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132</v>
      </c>
      <c r="B1" t="s">
        <v>1</v>
      </c>
      <c r="H1" t="str">
        <f>A1</f>
        <v>Marico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129</v>
      </c>
      <c r="J4">
        <f>VLOOKUP(H4,$A$1:F$161,J$2,0)</f>
        <v>129</v>
      </c>
      <c r="K4">
        <f>VLOOKUP(H4,$A$1:F$161,K$2,0)</f>
        <v>129</v>
      </c>
      <c r="L4">
        <f>VLOOKUP(H4,$A$1:F$161,L$2,0)</f>
        <v>129</v>
      </c>
      <c r="M4">
        <f>VLOOKUP(H4,$A$1:F$161,M$2,0)</f>
        <v>129.05000000000001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129</v>
      </c>
      <c r="J5">
        <f>VLOOKUP(H5,$A$1:F$161,J$2,0)</f>
        <v>129</v>
      </c>
      <c r="K5">
        <f>VLOOKUP(H5,$A$1:F$161,K$2,0)</f>
        <v>129</v>
      </c>
      <c r="L5">
        <f>VLOOKUP(H5,$A$1:F$161,L$2,0)</f>
        <v>129</v>
      </c>
      <c r="M5">
        <f>VLOOKUP(H5,$A$1:F$161,M$2,0)</f>
        <v>129.05000000000001</v>
      </c>
    </row>
    <row r="6" spans="1:13" x14ac:dyDescent="0.25">
      <c r="H6" t="s">
        <v>10</v>
      </c>
      <c r="I6">
        <f>VLOOKUP(H6,$A$1:F$161,I$2,0)</f>
        <v>3192</v>
      </c>
      <c r="J6">
        <f>VLOOKUP(H6,$A$1:F$161,J$2,0)</f>
        <v>3082</v>
      </c>
      <c r="K6">
        <f>VLOOKUP(H6,$A$1:F$161,K$2,0)</f>
        <v>2869</v>
      </c>
      <c r="L6">
        <f>VLOOKUP(H6,$A$1:F$161,L$2,0)</f>
        <v>2827</v>
      </c>
      <c r="M6">
        <f>VLOOKUP(H6,$A$1:F$161,M$2,0)</f>
        <v>2413.7800000000002</v>
      </c>
    </row>
    <row r="7" spans="1:13" ht="24" customHeight="1" x14ac:dyDescent="0.25">
      <c r="A7" t="s">
        <v>6</v>
      </c>
      <c r="H7" t="s">
        <v>11</v>
      </c>
      <c r="I7">
        <f>VLOOKUP(H7,$A$1:F$161,I$2,0)</f>
        <v>3192</v>
      </c>
      <c r="J7">
        <f>VLOOKUP(H7,$A$1:F$161,J$2,0)</f>
        <v>3082</v>
      </c>
      <c r="K7">
        <f>VLOOKUP(H7,$A$1:F$161,K$2,0)</f>
        <v>2869</v>
      </c>
      <c r="L7">
        <f>VLOOKUP(H7,$A$1:F$161,L$2,0)</f>
        <v>2827</v>
      </c>
      <c r="M7">
        <f>VLOOKUP(H7,$A$1:F$161,M$2,0)</f>
        <v>2413.7800000000002</v>
      </c>
    </row>
    <row r="8" spans="1:13" ht="24" customHeight="1" x14ac:dyDescent="0.25">
      <c r="A8" t="s">
        <v>7</v>
      </c>
      <c r="H8" t="s">
        <v>12</v>
      </c>
      <c r="I8">
        <f>VLOOKUP(H8,$A$1:F$161,I$2,0)</f>
        <v>3348</v>
      </c>
      <c r="J8">
        <f>VLOOKUP(H8,$A$1:F$161,J$2,0)</f>
        <v>3240</v>
      </c>
      <c r="K8">
        <f>VLOOKUP(H8,$A$1:F$161,K$2,0)</f>
        <v>3023</v>
      </c>
      <c r="L8">
        <f>VLOOKUP(H8,$A$1:F$161,L$2,0)</f>
        <v>2975</v>
      </c>
      <c r="M8">
        <f>VLOOKUP(H8,$A$1:F$161,M$2,0)</f>
        <v>2542.83</v>
      </c>
    </row>
    <row r="9" spans="1:13" x14ac:dyDescent="0.25">
      <c r="A9" t="s">
        <v>8</v>
      </c>
      <c r="B9">
        <v>129</v>
      </c>
      <c r="C9">
        <v>129</v>
      </c>
      <c r="D9">
        <v>129</v>
      </c>
      <c r="E9">
        <v>129</v>
      </c>
      <c r="F9">
        <v>129.05000000000001</v>
      </c>
      <c r="H9" t="s">
        <v>14</v>
      </c>
      <c r="I9">
        <f>VLOOKUP(H9,$A$1:F$161,I$2,0)</f>
        <v>0</v>
      </c>
      <c r="J9">
        <f>VLOOKUP(H9,$A$1:F$161,J$2,0)</f>
        <v>8</v>
      </c>
      <c r="K9">
        <f>VLOOKUP(H9,$A$1:F$161,K$2,0)</f>
        <v>10</v>
      </c>
      <c r="L9">
        <f>VLOOKUP(H9,$A$1:F$161,L$2,0)</f>
        <v>14</v>
      </c>
      <c r="M9">
        <f>VLOOKUP(H9,$A$1:F$161,M$2,0)</f>
        <v>19.829999999999998</v>
      </c>
    </row>
    <row r="10" spans="1:13" x14ac:dyDescent="0.25">
      <c r="A10" t="s">
        <v>9</v>
      </c>
      <c r="B10">
        <v>129</v>
      </c>
      <c r="C10">
        <v>129</v>
      </c>
      <c r="D10">
        <v>129</v>
      </c>
      <c r="E10">
        <v>129</v>
      </c>
      <c r="F10">
        <v>129.05000000000001</v>
      </c>
      <c r="H10" t="s">
        <v>16</v>
      </c>
      <c r="I10">
        <f>VLOOKUP(H10,$A$1:F$161,I$2,0)</f>
        <v>118</v>
      </c>
      <c r="J10">
        <f>VLOOKUP(H10,$A$1:F$161,J$2,0)</f>
        <v>146</v>
      </c>
      <c r="K10">
        <f>VLOOKUP(H10,$A$1:F$161,K$2,0)</f>
        <v>165</v>
      </c>
      <c r="L10">
        <f>VLOOKUP(H10,$A$1:F$161,L$2,0)</f>
        <v>171</v>
      </c>
      <c r="M10">
        <f>VLOOKUP(H10,$A$1:F$161,M$2,0)</f>
        <v>19.2</v>
      </c>
    </row>
    <row r="11" spans="1:13" x14ac:dyDescent="0.25">
      <c r="A11" t="s">
        <v>10</v>
      </c>
      <c r="B11">
        <v>3192</v>
      </c>
      <c r="C11">
        <v>3082</v>
      </c>
      <c r="D11">
        <v>2869</v>
      </c>
      <c r="E11">
        <v>2827</v>
      </c>
      <c r="F11">
        <v>2413.7800000000002</v>
      </c>
      <c r="H11" t="s">
        <v>17</v>
      </c>
      <c r="I11">
        <f>VLOOKUP(H11,$A$1:F$161,I$2,0)</f>
        <v>1</v>
      </c>
      <c r="J11">
        <f>VLOOKUP(H11,$A$1:F$161,J$2,0)</f>
        <v>1</v>
      </c>
      <c r="K11">
        <f>VLOOKUP(H11,$A$1:F$161,K$2,0)</f>
        <v>0</v>
      </c>
      <c r="L11">
        <f>VLOOKUP(H11,$A$1:F$161,L$2,0)</f>
        <v>0</v>
      </c>
      <c r="M11">
        <f>VLOOKUP(H11,$A$1:F$161,M$2,0)</f>
        <v>0</v>
      </c>
    </row>
    <row r="12" spans="1:13" x14ac:dyDescent="0.25">
      <c r="A12" t="s">
        <v>11</v>
      </c>
      <c r="B12">
        <v>3192</v>
      </c>
      <c r="C12">
        <v>3082</v>
      </c>
      <c r="D12">
        <v>2869</v>
      </c>
      <c r="E12">
        <v>2827</v>
      </c>
      <c r="F12">
        <v>2413.7800000000002</v>
      </c>
      <c r="H12" t="s">
        <v>18</v>
      </c>
      <c r="I12">
        <f>VLOOKUP(H12,$A$1:F$161,I$2,0)</f>
        <v>228</v>
      </c>
      <c r="J12">
        <f>VLOOKUP(H12,$A$1:F$161,J$2,0)</f>
        <v>239</v>
      </c>
      <c r="K12">
        <f>VLOOKUP(H12,$A$1:F$161,K$2,0)</f>
        <v>181</v>
      </c>
      <c r="L12">
        <f>VLOOKUP(H12,$A$1:F$161,L$2,0)</f>
        <v>198</v>
      </c>
      <c r="M12">
        <f>VLOOKUP(H12,$A$1:F$161,M$2,0)</f>
        <v>68.47</v>
      </c>
    </row>
    <row r="13" spans="1:13" x14ac:dyDescent="0.25">
      <c r="A13" t="s">
        <v>118</v>
      </c>
      <c r="B13">
        <v>27</v>
      </c>
      <c r="C13">
        <v>29</v>
      </c>
      <c r="D13">
        <v>25</v>
      </c>
      <c r="E13">
        <v>19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3348</v>
      </c>
      <c r="C14">
        <v>3240</v>
      </c>
      <c r="D14">
        <v>3023</v>
      </c>
      <c r="E14">
        <v>2975</v>
      </c>
      <c r="F14">
        <v>2542.83</v>
      </c>
      <c r="H14" t="s">
        <v>21</v>
      </c>
      <c r="I14">
        <f>VLOOKUP(H14,$A$1:F$161,I$2,0)</f>
        <v>1344</v>
      </c>
      <c r="J14">
        <f>VLOOKUP(H14,$A$1:F$161,J$2,0)</f>
        <v>1134</v>
      </c>
      <c r="K14">
        <f>VLOOKUP(H14,$A$1:F$161,K$2,0)</f>
        <v>950</v>
      </c>
      <c r="L14">
        <f>VLOOKUP(H14,$A$1:F$161,L$2,0)</f>
        <v>944</v>
      </c>
      <c r="M14">
        <f>VLOOKUP(H14,$A$1:F$161,M$2,0)</f>
        <v>821.65</v>
      </c>
    </row>
    <row r="15" spans="1:13" x14ac:dyDescent="0.25">
      <c r="A15" t="s">
        <v>116</v>
      </c>
      <c r="B15">
        <v>57</v>
      </c>
      <c r="C15">
        <v>18</v>
      </c>
      <c r="D15">
        <v>13</v>
      </c>
      <c r="E15">
        <v>12</v>
      </c>
      <c r="F15">
        <v>12.51</v>
      </c>
      <c r="H15" t="s">
        <v>22</v>
      </c>
      <c r="I15">
        <f>VLOOKUP(H15,$A$1:F$161,I$2,0)</f>
        <v>443</v>
      </c>
      <c r="J15">
        <f>VLOOKUP(H15,$A$1:F$161,J$2,0)</f>
        <v>519</v>
      </c>
      <c r="K15">
        <f>VLOOKUP(H15,$A$1:F$161,K$2,0)</f>
        <v>417</v>
      </c>
      <c r="L15">
        <f>VLOOKUP(H15,$A$1:F$161,L$2,0)</f>
        <v>388</v>
      </c>
      <c r="M15">
        <f>VLOOKUP(H15,$A$1:F$161,M$2,0)</f>
        <v>289.39999999999998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21</v>
      </c>
      <c r="J16">
        <f>VLOOKUP(H16,$A$1:F$161,J$2,0)</f>
        <v>20</v>
      </c>
      <c r="K16">
        <f>VLOOKUP(H16,$A$1:F$161,K$2,0)</f>
        <v>61</v>
      </c>
      <c r="L16">
        <f>VLOOKUP(H16,$A$1:F$161,L$2,0)</f>
        <v>57</v>
      </c>
      <c r="M16">
        <f>VLOOKUP(H16,$A$1:F$161,M$2,0)</f>
        <v>57.18</v>
      </c>
    </row>
    <row r="17" spans="1:13" x14ac:dyDescent="0.25">
      <c r="A17" t="s">
        <v>14</v>
      </c>
      <c r="B17">
        <v>0</v>
      </c>
      <c r="C17">
        <v>8</v>
      </c>
      <c r="D17">
        <v>10</v>
      </c>
      <c r="E17">
        <v>14</v>
      </c>
      <c r="F17">
        <v>19.829999999999998</v>
      </c>
      <c r="H17" t="s">
        <v>24</v>
      </c>
      <c r="I17">
        <f>VLOOKUP(H17,$A$1:F$161,I$2,0)</f>
        <v>2153</v>
      </c>
      <c r="J17">
        <f>VLOOKUP(H17,$A$1:F$161,J$2,0)</f>
        <v>2013</v>
      </c>
      <c r="K17">
        <f>VLOOKUP(H17,$A$1:F$161,K$2,0)</f>
        <v>1753</v>
      </c>
      <c r="L17">
        <f>VLOOKUP(H17,$A$1:F$161,L$2,0)</f>
        <v>1724</v>
      </c>
      <c r="M17">
        <f>VLOOKUP(H17,$A$1:F$161,M$2,0)</f>
        <v>1457.68</v>
      </c>
    </row>
    <row r="18" spans="1:13" x14ac:dyDescent="0.25">
      <c r="A18" t="s">
        <v>15</v>
      </c>
      <c r="B18">
        <v>109</v>
      </c>
      <c r="C18">
        <v>84</v>
      </c>
      <c r="D18">
        <v>6</v>
      </c>
      <c r="E18">
        <v>13</v>
      </c>
      <c r="F18">
        <v>29.44</v>
      </c>
      <c r="H18" t="s">
        <v>25</v>
      </c>
      <c r="I18">
        <f>VLOOKUP(H18,$A$1:F$161,I$2,0)</f>
        <v>5786</v>
      </c>
      <c r="J18">
        <f>VLOOKUP(H18,$A$1:F$161,J$2,0)</f>
        <v>5510</v>
      </c>
      <c r="K18">
        <f>VLOOKUP(H18,$A$1:F$161,K$2,0)</f>
        <v>4970</v>
      </c>
      <c r="L18">
        <f>VLOOKUP(H18,$A$1:F$161,L$2,0)</f>
        <v>4909</v>
      </c>
      <c r="M18">
        <f>VLOOKUP(H18,$A$1:F$161,M$2,0)</f>
        <v>4081.49</v>
      </c>
    </row>
    <row r="19" spans="1:13" x14ac:dyDescent="0.25">
      <c r="A19" t="s">
        <v>16</v>
      </c>
      <c r="B19">
        <v>118</v>
      </c>
      <c r="C19">
        <v>146</v>
      </c>
      <c r="D19">
        <v>165</v>
      </c>
      <c r="E19">
        <v>171</v>
      </c>
      <c r="F19">
        <v>19.2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1</v>
      </c>
      <c r="C20">
        <v>1</v>
      </c>
      <c r="D20">
        <v>0</v>
      </c>
      <c r="E20">
        <v>0</v>
      </c>
      <c r="F20">
        <v>0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228</v>
      </c>
      <c r="C21">
        <v>239</v>
      </c>
      <c r="D21">
        <v>181</v>
      </c>
      <c r="E21">
        <v>198</v>
      </c>
      <c r="F21">
        <v>68.47</v>
      </c>
      <c r="H21" t="s">
        <v>28</v>
      </c>
      <c r="I21">
        <f>VLOOKUP(H21,$A$1:F$161,I$2,0)</f>
        <v>800</v>
      </c>
      <c r="J21">
        <f>VLOOKUP(H21,$A$1:F$161,J$2,0)</f>
        <v>769</v>
      </c>
      <c r="K21">
        <f>VLOOKUP(H21,$A$1:F$161,K$2,0)</f>
        <v>817</v>
      </c>
      <c r="L21">
        <f>VLOOKUP(H21,$A$1:F$161,L$2,0)</f>
        <v>742</v>
      </c>
      <c r="M21">
        <f>VLOOKUP(H21,$A$1:F$161,M$2,0)</f>
        <v>564.05999999999995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39</v>
      </c>
      <c r="J22">
        <f>VLOOKUP(H22,$A$1:F$161,J$2,0)</f>
        <v>24</v>
      </c>
      <c r="K22">
        <f>VLOOKUP(H22,$A$1:F$161,K$2,0)</f>
        <v>58</v>
      </c>
      <c r="L22">
        <f>VLOOKUP(H22,$A$1:F$161,L$2,0)</f>
        <v>45</v>
      </c>
      <c r="M22">
        <f>VLOOKUP(H22,$A$1:F$161,M$2,0)</f>
        <v>26.82</v>
      </c>
    </row>
    <row r="23" spans="1:13" x14ac:dyDescent="0.25">
      <c r="A23" t="s">
        <v>20</v>
      </c>
      <c r="B23">
        <v>345</v>
      </c>
      <c r="C23">
        <v>340</v>
      </c>
      <c r="D23">
        <v>325</v>
      </c>
      <c r="E23">
        <v>335</v>
      </c>
      <c r="F23">
        <v>289.45</v>
      </c>
      <c r="H23" t="s">
        <v>30</v>
      </c>
      <c r="I23">
        <f>VLOOKUP(H23,$A$1:F$161,I$2,0)</f>
        <v>1145</v>
      </c>
      <c r="J23">
        <f>VLOOKUP(H23,$A$1:F$161,J$2,0)</f>
        <v>1023</v>
      </c>
      <c r="K23">
        <f>VLOOKUP(H23,$A$1:F$161,K$2,0)</f>
        <v>916</v>
      </c>
      <c r="L23">
        <f>VLOOKUP(H23,$A$1:F$161,L$2,0)</f>
        <v>842</v>
      </c>
      <c r="M23">
        <f>VLOOKUP(H23,$A$1:F$161,M$2,0)</f>
        <v>651.35</v>
      </c>
    </row>
    <row r="24" spans="1:13" x14ac:dyDescent="0.25">
      <c r="A24" t="s">
        <v>21</v>
      </c>
      <c r="B24">
        <v>1344</v>
      </c>
      <c r="C24">
        <v>1134</v>
      </c>
      <c r="D24">
        <v>950</v>
      </c>
      <c r="E24">
        <v>944</v>
      </c>
      <c r="F24">
        <v>821.65</v>
      </c>
      <c r="H24" t="s">
        <v>32</v>
      </c>
      <c r="I24">
        <f>VLOOKUP(H24,$A$1:F$161,I$2,0)</f>
        <v>187</v>
      </c>
      <c r="J24">
        <f>VLOOKUP(H24,$A$1:F$161,J$2,0)</f>
        <v>186</v>
      </c>
      <c r="K24">
        <f>VLOOKUP(H24,$A$1:F$161,K$2,0)</f>
        <v>159</v>
      </c>
      <c r="L24">
        <f>VLOOKUP(H24,$A$1:F$161,L$2,0)</f>
        <v>202</v>
      </c>
      <c r="M24">
        <f>VLOOKUP(H24,$A$1:F$161,M$2,0)</f>
        <v>9.24</v>
      </c>
    </row>
    <row r="25" spans="1:13" x14ac:dyDescent="0.25">
      <c r="A25" t="s">
        <v>22</v>
      </c>
      <c r="B25">
        <v>443</v>
      </c>
      <c r="C25">
        <v>519</v>
      </c>
      <c r="D25">
        <v>417</v>
      </c>
      <c r="E25">
        <v>388</v>
      </c>
      <c r="F25">
        <v>289.39999999999998</v>
      </c>
      <c r="H25" t="s">
        <v>33</v>
      </c>
      <c r="I25">
        <f>VLOOKUP(H25,$A$1:F$161,I$2,0)</f>
        <v>4</v>
      </c>
      <c r="J25">
        <f>VLOOKUP(H25,$A$1:F$161,J$2,0)</f>
        <v>18</v>
      </c>
      <c r="K25">
        <f>VLOOKUP(H25,$A$1:F$161,K$2,0)</f>
        <v>20</v>
      </c>
      <c r="L25">
        <f>VLOOKUP(H25,$A$1:F$161,L$2,0)</f>
        <v>18</v>
      </c>
      <c r="M25">
        <f>VLOOKUP(H25,$A$1:F$161,M$2,0)</f>
        <v>4.13</v>
      </c>
    </row>
    <row r="26" spans="1:13" x14ac:dyDescent="0.25">
      <c r="A26" t="s">
        <v>23</v>
      </c>
      <c r="B26">
        <v>21</v>
      </c>
      <c r="C26">
        <v>20</v>
      </c>
      <c r="D26">
        <v>61</v>
      </c>
      <c r="E26">
        <v>57</v>
      </c>
      <c r="F26">
        <v>57.18</v>
      </c>
      <c r="H26" t="s">
        <v>34</v>
      </c>
      <c r="I26">
        <f>VLOOKUP(H26,$A$1:F$161,I$2,0)</f>
        <v>104</v>
      </c>
      <c r="J26">
        <f>VLOOKUP(H26,$A$1:F$161,J$2,0)</f>
        <v>108</v>
      </c>
      <c r="K26">
        <f>VLOOKUP(H26,$A$1:F$161,K$2,0)</f>
        <v>83</v>
      </c>
      <c r="L26">
        <f>VLOOKUP(H26,$A$1:F$161,L$2,0)</f>
        <v>85</v>
      </c>
      <c r="M26">
        <f>VLOOKUP(H26,$A$1:F$161,M$2,0)</f>
        <v>80.52</v>
      </c>
    </row>
    <row r="27" spans="1:13" x14ac:dyDescent="0.25">
      <c r="A27" t="s">
        <v>24</v>
      </c>
      <c r="B27">
        <v>2153</v>
      </c>
      <c r="C27">
        <v>2013</v>
      </c>
      <c r="D27">
        <v>1753</v>
      </c>
      <c r="E27">
        <v>1724</v>
      </c>
      <c r="F27">
        <v>1457.68</v>
      </c>
      <c r="H27" t="s">
        <v>35</v>
      </c>
      <c r="I27">
        <f>VLOOKUP(H27,$A$1:F$161,I$2,0)</f>
        <v>2281</v>
      </c>
      <c r="J27">
        <f>VLOOKUP(H27,$A$1:F$161,J$2,0)</f>
        <v>2174</v>
      </c>
      <c r="K27">
        <f>VLOOKUP(H27,$A$1:F$161,K$2,0)</f>
        <v>1821</v>
      </c>
      <c r="L27">
        <f>VLOOKUP(H27,$A$1:F$161,L$2,0)</f>
        <v>1709</v>
      </c>
      <c r="M27">
        <f>VLOOKUP(H27,$A$1:F$161,M$2,0)</f>
        <v>1288.06</v>
      </c>
    </row>
    <row r="28" spans="1:13" x14ac:dyDescent="0.25">
      <c r="A28" t="s">
        <v>25</v>
      </c>
      <c r="B28">
        <v>5786</v>
      </c>
      <c r="C28">
        <v>5510</v>
      </c>
      <c r="D28">
        <v>4970</v>
      </c>
      <c r="E28">
        <v>4909</v>
      </c>
      <c r="F28">
        <v>4081.49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1412</v>
      </c>
      <c r="J29">
        <f>VLOOKUP(H29,$A$1:F$161,J$2,0)</f>
        <v>1126</v>
      </c>
      <c r="K29">
        <f>VLOOKUP(H29,$A$1:F$161,K$2,0)</f>
        <v>1380</v>
      </c>
      <c r="L29">
        <f>VLOOKUP(H29,$A$1:F$161,L$2,0)</f>
        <v>1411</v>
      </c>
      <c r="M29">
        <f>VLOOKUP(H29,$A$1:F$161,M$2,0)</f>
        <v>1510.88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652</v>
      </c>
      <c r="J30">
        <f>VLOOKUP(H30,$A$1:F$161,J$2,0)</f>
        <v>388</v>
      </c>
      <c r="K30">
        <f>VLOOKUP(H30,$A$1:F$161,K$2,0)</f>
        <v>539</v>
      </c>
      <c r="L30">
        <f>VLOOKUP(H30,$A$1:F$161,L$2,0)</f>
        <v>517</v>
      </c>
      <c r="M30">
        <f>VLOOKUP(H30,$A$1:F$161,M$2,0)</f>
        <v>340.56</v>
      </c>
    </row>
    <row r="31" spans="1:13" x14ac:dyDescent="0.25">
      <c r="A31" t="s">
        <v>28</v>
      </c>
      <c r="B31">
        <v>800</v>
      </c>
      <c r="C31">
        <v>769</v>
      </c>
      <c r="D31">
        <v>817</v>
      </c>
      <c r="E31">
        <v>742</v>
      </c>
      <c r="F31">
        <v>564.05999999999995</v>
      </c>
      <c r="H31" t="s">
        <v>40</v>
      </c>
      <c r="I31">
        <f>VLOOKUP(H31,$A$1:F$161,I$2,0)</f>
        <v>579</v>
      </c>
      <c r="J31">
        <f>VLOOKUP(H31,$A$1:F$161,J$2,0)</f>
        <v>944</v>
      </c>
      <c r="K31">
        <f>VLOOKUP(H31,$A$1:F$161,K$2,0)</f>
        <v>279</v>
      </c>
      <c r="L31">
        <f>VLOOKUP(H31,$A$1:F$161,L$2,0)</f>
        <v>552</v>
      </c>
      <c r="M31">
        <f>VLOOKUP(H31,$A$1:F$161,M$2,0)</f>
        <v>200.12</v>
      </c>
    </row>
    <row r="32" spans="1:13" x14ac:dyDescent="0.25">
      <c r="A32" t="s">
        <v>106</v>
      </c>
      <c r="B32">
        <v>306</v>
      </c>
      <c r="C32">
        <v>230</v>
      </c>
      <c r="D32">
        <v>41</v>
      </c>
      <c r="E32">
        <v>55</v>
      </c>
      <c r="F32">
        <v>60.47</v>
      </c>
      <c r="H32" t="s">
        <v>41</v>
      </c>
      <c r="I32">
        <f>VLOOKUP(H32,$A$1:F$161,I$2,0)</f>
        <v>5</v>
      </c>
      <c r="J32">
        <f>VLOOKUP(H32,$A$1:F$161,J$2,0)</f>
        <v>6</v>
      </c>
      <c r="K32">
        <f>VLOOKUP(H32,$A$1:F$161,K$2,0)</f>
        <v>5</v>
      </c>
      <c r="L32">
        <f>VLOOKUP(H32,$A$1:F$161,L$2,0)</f>
        <v>5</v>
      </c>
      <c r="M32">
        <f>VLOOKUP(H32,$A$1:F$161,M$2,0)</f>
        <v>4.3499999999999996</v>
      </c>
    </row>
    <row r="33" spans="1:13" x14ac:dyDescent="0.25">
      <c r="A33" t="s">
        <v>29</v>
      </c>
      <c r="B33">
        <v>39</v>
      </c>
      <c r="C33">
        <v>24</v>
      </c>
      <c r="D33">
        <v>58</v>
      </c>
      <c r="E33">
        <v>45</v>
      </c>
      <c r="F33">
        <v>26.82</v>
      </c>
      <c r="H33" t="s">
        <v>42</v>
      </c>
      <c r="I33">
        <f>VLOOKUP(H33,$A$1:F$161,I$2,0)</f>
        <v>216</v>
      </c>
      <c r="J33">
        <f>VLOOKUP(H33,$A$1:F$161,J$2,0)</f>
        <v>244</v>
      </c>
      <c r="K33">
        <f>VLOOKUP(H33,$A$1:F$161,K$2,0)</f>
        <v>318</v>
      </c>
      <c r="L33">
        <f>VLOOKUP(H33,$A$1:F$161,L$2,0)</f>
        <v>324</v>
      </c>
      <c r="M33">
        <f>VLOOKUP(H33,$A$1:F$161,M$2,0)</f>
        <v>251.74</v>
      </c>
    </row>
    <row r="34" spans="1:13" x14ac:dyDescent="0.25">
      <c r="A34" t="s">
        <v>30</v>
      </c>
      <c r="B34">
        <v>1145</v>
      </c>
      <c r="C34">
        <v>1023</v>
      </c>
      <c r="D34">
        <v>916</v>
      </c>
      <c r="E34">
        <v>842</v>
      </c>
      <c r="F34">
        <v>651.35</v>
      </c>
      <c r="H34" t="s">
        <v>43</v>
      </c>
      <c r="I34">
        <f>VLOOKUP(H34,$A$1:F$161,I$2,0)</f>
        <v>3505</v>
      </c>
      <c r="J34">
        <f>VLOOKUP(H34,$A$1:F$161,J$2,0)</f>
        <v>3336</v>
      </c>
      <c r="K34">
        <f>VLOOKUP(H34,$A$1:F$161,K$2,0)</f>
        <v>3149</v>
      </c>
      <c r="L34">
        <f>VLOOKUP(H34,$A$1:F$161,L$2,0)</f>
        <v>3200</v>
      </c>
      <c r="M34">
        <f>VLOOKUP(H34,$A$1:F$161,M$2,0)</f>
        <v>2793.43</v>
      </c>
    </row>
    <row r="35" spans="1:13" x14ac:dyDescent="0.25">
      <c r="A35" t="s">
        <v>31</v>
      </c>
      <c r="B35">
        <v>187</v>
      </c>
      <c r="C35">
        <v>226</v>
      </c>
      <c r="D35">
        <v>105</v>
      </c>
      <c r="E35">
        <v>59</v>
      </c>
      <c r="F35">
        <v>57.02</v>
      </c>
      <c r="H35" t="s">
        <v>44</v>
      </c>
      <c r="I35">
        <f>VLOOKUP(H35,$A$1:F$161,I$2,0)</f>
        <v>5786</v>
      </c>
      <c r="J35">
        <f>VLOOKUP(H35,$A$1:F$161,J$2,0)</f>
        <v>5510</v>
      </c>
      <c r="K35">
        <f>VLOOKUP(H35,$A$1:F$161,K$2,0)</f>
        <v>4970</v>
      </c>
      <c r="L35">
        <f>VLOOKUP(H35,$A$1:F$161,L$2,0)</f>
        <v>4909</v>
      </c>
      <c r="M35">
        <f>VLOOKUP(H35,$A$1:F$161,M$2,0)</f>
        <v>4081.49</v>
      </c>
    </row>
    <row r="36" spans="1:13" x14ac:dyDescent="0.25">
      <c r="A36" t="s">
        <v>32</v>
      </c>
      <c r="B36">
        <v>187</v>
      </c>
      <c r="C36">
        <v>186</v>
      </c>
      <c r="D36">
        <v>159</v>
      </c>
      <c r="E36">
        <v>202</v>
      </c>
      <c r="F36">
        <v>9.24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33</v>
      </c>
      <c r="B37">
        <v>4</v>
      </c>
      <c r="C37">
        <v>18</v>
      </c>
      <c r="D37">
        <v>20</v>
      </c>
      <c r="E37">
        <v>18</v>
      </c>
      <c r="F37">
        <v>4.13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34</v>
      </c>
      <c r="B38">
        <v>104</v>
      </c>
      <c r="C38">
        <v>108</v>
      </c>
      <c r="D38">
        <v>83</v>
      </c>
      <c r="E38">
        <v>85</v>
      </c>
      <c r="F38">
        <v>80.52</v>
      </c>
      <c r="H38" t="s">
        <v>47</v>
      </c>
      <c r="I38">
        <f>VLOOKUP(H38,$A$1:F$161,I$2,0)</f>
        <v>807</v>
      </c>
      <c r="J38">
        <f>VLOOKUP(H38,$A$1:F$161,J$2,0)</f>
        <v>632</v>
      </c>
      <c r="K38">
        <f>VLOOKUP(H38,$A$1:F$161,K$2,0)</f>
        <v>666</v>
      </c>
      <c r="L38">
        <f>VLOOKUP(H38,$A$1:F$161,L$2,0)</f>
        <v>608</v>
      </c>
      <c r="M38">
        <f>VLOOKUP(H38,$A$1:F$161,M$2,0)</f>
        <v>321.33999999999997</v>
      </c>
    </row>
    <row r="39" spans="1:13" x14ac:dyDescent="0.25">
      <c r="A39" t="s">
        <v>35</v>
      </c>
      <c r="B39">
        <v>2281</v>
      </c>
      <c r="C39">
        <v>2174</v>
      </c>
      <c r="D39">
        <v>1821</v>
      </c>
      <c r="E39">
        <v>1709</v>
      </c>
      <c r="F39">
        <v>1288.06</v>
      </c>
      <c r="H39" t="s">
        <v>62</v>
      </c>
      <c r="I39">
        <f>VLOOKUP(H39,$A$1:F$161,I$2,0)</f>
        <v>641</v>
      </c>
      <c r="J39">
        <f>VLOOKUP(H39,$A$1:F$161,J$2,0)</f>
        <v>628</v>
      </c>
      <c r="K39">
        <f>VLOOKUP(H39,$A$1:F$161,K$2,0)</f>
        <v>628</v>
      </c>
      <c r="L39">
        <f>VLOOKUP(H39,$A$1:F$161,L$2,0)</f>
        <v>391</v>
      </c>
      <c r="M39">
        <f>VLOOKUP(H39,$A$1:F$161,M$2,0)</f>
        <v>485.78</v>
      </c>
    </row>
    <row r="40" spans="1:13" ht="15" customHeight="1" x14ac:dyDescent="0.25">
      <c r="A40" t="s">
        <v>36</v>
      </c>
      <c r="H40" t="s">
        <v>63</v>
      </c>
      <c r="I40">
        <f>VLOOKUP(H40,$A$1:F$161,I$2,0)</f>
        <v>0</v>
      </c>
      <c r="J40">
        <f>VLOOKUP(H40,$A$1:F$161,J$2,0)</f>
        <v>0</v>
      </c>
      <c r="K40">
        <f>VLOOKUP(H40,$A$1:F$161,K$2,0)</f>
        <v>0</v>
      </c>
      <c r="L40">
        <f>VLOOKUP(H40,$A$1:F$161,L$2,0)</f>
        <v>0</v>
      </c>
      <c r="M40">
        <f>VLOOKUP(H40,$A$1:F$161,M$2,0)</f>
        <v>25.24</v>
      </c>
    </row>
    <row r="41" spans="1:13" x14ac:dyDescent="0.25">
      <c r="A41" t="s">
        <v>37</v>
      </c>
      <c r="B41">
        <v>641</v>
      </c>
      <c r="C41">
        <v>628</v>
      </c>
      <c r="D41">
        <v>628</v>
      </c>
      <c r="E41">
        <v>391</v>
      </c>
      <c r="F41">
        <v>485.78</v>
      </c>
      <c r="H41" t="s">
        <v>64</v>
      </c>
      <c r="I41">
        <f>VLOOKUP(H41,$A$1:F$161,I$2,0)</f>
        <v>641</v>
      </c>
      <c r="J41">
        <f>VLOOKUP(H41,$A$1:F$161,J$2,0)</f>
        <v>620</v>
      </c>
      <c r="K41">
        <f>VLOOKUP(H41,$A$1:F$161,K$2,0)</f>
        <v>513</v>
      </c>
      <c r="L41">
        <f>VLOOKUP(H41,$A$1:F$161,L$2,0)</f>
        <v>294</v>
      </c>
      <c r="M41">
        <f>VLOOKUP(H41,$A$1:F$161,M$2,0)</f>
        <v>352.55</v>
      </c>
    </row>
    <row r="42" spans="1:13" x14ac:dyDescent="0.25">
      <c r="A42" t="s">
        <v>38</v>
      </c>
      <c r="B42">
        <v>1412</v>
      </c>
      <c r="C42">
        <v>1126</v>
      </c>
      <c r="D42">
        <v>1380</v>
      </c>
      <c r="E42">
        <v>1411</v>
      </c>
      <c r="F42">
        <v>1510.88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39</v>
      </c>
      <c r="B43">
        <v>652</v>
      </c>
      <c r="C43">
        <v>388</v>
      </c>
      <c r="D43">
        <v>539</v>
      </c>
      <c r="E43">
        <v>517</v>
      </c>
      <c r="F43">
        <v>340.56</v>
      </c>
      <c r="H43" t="s">
        <v>68</v>
      </c>
      <c r="I43">
        <f>VLOOKUP(H43,$A$1:F$161,I$2,0)</f>
        <v>9452</v>
      </c>
      <c r="J43">
        <f>VLOOKUP(H43,$A$1:F$161,J$2,0)</f>
        <v>7991</v>
      </c>
      <c r="K43">
        <f>VLOOKUP(H43,$A$1:F$161,K$2,0)</f>
        <v>7254</v>
      </c>
      <c r="L43">
        <f>VLOOKUP(H43,$A$1:F$161,L$2,0)</f>
        <v>7273</v>
      </c>
      <c r="M43">
        <f>VLOOKUP(H43,$A$1:F$161,M$2,0)</f>
        <v>6300.77</v>
      </c>
    </row>
    <row r="44" spans="1:13" x14ac:dyDescent="0.25">
      <c r="A44" t="s">
        <v>40</v>
      </c>
      <c r="B44">
        <v>579</v>
      </c>
      <c r="C44">
        <v>944</v>
      </c>
      <c r="D44">
        <v>279</v>
      </c>
      <c r="E44">
        <v>552</v>
      </c>
      <c r="F44">
        <v>200.12</v>
      </c>
      <c r="H44" t="s">
        <v>70</v>
      </c>
      <c r="I44">
        <f>VLOOKUP(H44,$A$1:F$161,I$2,0)</f>
        <v>9452</v>
      </c>
      <c r="J44">
        <f>VLOOKUP(H44,$A$1:F$161,J$2,0)</f>
        <v>7991</v>
      </c>
      <c r="K44">
        <f>VLOOKUP(H44,$A$1:F$161,K$2,0)</f>
        <v>7254</v>
      </c>
      <c r="L44">
        <f>VLOOKUP(H44,$A$1:F$161,L$2,0)</f>
        <v>7273</v>
      </c>
      <c r="M44">
        <f>VLOOKUP(H44,$A$1:F$161,M$2,0)</f>
        <v>6289.86</v>
      </c>
    </row>
    <row r="45" spans="1:13" x14ac:dyDescent="0.25">
      <c r="A45" t="s">
        <v>41</v>
      </c>
      <c r="B45">
        <v>5</v>
      </c>
      <c r="C45">
        <v>6</v>
      </c>
      <c r="D45">
        <v>5</v>
      </c>
      <c r="E45">
        <v>5</v>
      </c>
      <c r="F45">
        <v>4.3499999999999996</v>
      </c>
      <c r="H45" t="s">
        <v>71</v>
      </c>
      <c r="I45">
        <f>VLOOKUP(H45,$A$1:F$161,I$2,0)</f>
        <v>60</v>
      </c>
      <c r="J45">
        <f>VLOOKUP(H45,$A$1:F$161,J$2,0)</f>
        <v>57</v>
      </c>
      <c r="K45">
        <f>VLOOKUP(H45,$A$1:F$161,K$2,0)</f>
        <v>61</v>
      </c>
      <c r="L45">
        <f>VLOOKUP(H45,$A$1:F$161,L$2,0)</f>
        <v>61</v>
      </c>
      <c r="M45">
        <f>VLOOKUP(H45,$A$1:F$161,M$2,0)</f>
        <v>32.32</v>
      </c>
    </row>
    <row r="46" spans="1:13" x14ac:dyDescent="0.25">
      <c r="A46" t="s">
        <v>42</v>
      </c>
      <c r="B46">
        <v>216</v>
      </c>
      <c r="C46">
        <v>244</v>
      </c>
      <c r="D46">
        <v>318</v>
      </c>
      <c r="E46">
        <v>324</v>
      </c>
      <c r="F46">
        <v>251.74</v>
      </c>
      <c r="H46" t="s">
        <v>72</v>
      </c>
      <c r="I46">
        <f>VLOOKUP(H46,$A$1:F$161,I$2,0)</f>
        <v>9512</v>
      </c>
      <c r="J46">
        <f>VLOOKUP(H46,$A$1:F$161,J$2,0)</f>
        <v>8048</v>
      </c>
      <c r="K46">
        <f>VLOOKUP(H46,$A$1:F$161,K$2,0)</f>
        <v>7315</v>
      </c>
      <c r="L46">
        <f>VLOOKUP(H46,$A$1:F$161,L$2,0)</f>
        <v>7334</v>
      </c>
      <c r="M46">
        <f>VLOOKUP(H46,$A$1:F$161,M$2,0)</f>
        <v>6322.18</v>
      </c>
    </row>
    <row r="47" spans="1:13" x14ac:dyDescent="0.25">
      <c r="A47" t="s">
        <v>43</v>
      </c>
      <c r="B47">
        <v>3505</v>
      </c>
      <c r="C47">
        <v>3336</v>
      </c>
      <c r="D47">
        <v>3149</v>
      </c>
      <c r="E47">
        <v>3200</v>
      </c>
      <c r="F47">
        <v>2793.43</v>
      </c>
      <c r="H47" t="s">
        <v>73</v>
      </c>
      <c r="I47">
        <f>VLOOKUP(H47,$A$1:F$161,I$2,0)</f>
        <v>98</v>
      </c>
      <c r="J47">
        <f>VLOOKUP(H47,$A$1:F$161,J$2,0)</f>
        <v>94</v>
      </c>
      <c r="K47">
        <f>VLOOKUP(H47,$A$1:F$161,K$2,0)</f>
        <v>124</v>
      </c>
      <c r="L47">
        <f>VLOOKUP(H47,$A$1:F$161,L$2,0)</f>
        <v>103</v>
      </c>
      <c r="M47">
        <f>VLOOKUP(H47,$A$1:F$161,M$2,0)</f>
        <v>84.63</v>
      </c>
    </row>
    <row r="48" spans="1:13" x14ac:dyDescent="0.25">
      <c r="A48" t="s">
        <v>44</v>
      </c>
      <c r="B48">
        <v>5786</v>
      </c>
      <c r="C48">
        <v>5510</v>
      </c>
      <c r="D48">
        <v>4970</v>
      </c>
      <c r="E48">
        <v>4909</v>
      </c>
      <c r="F48">
        <v>4081.49</v>
      </c>
      <c r="H48" t="s">
        <v>74</v>
      </c>
      <c r="I48">
        <f>VLOOKUP(H48,$A$1:F$161,I$2,0)</f>
        <v>9610</v>
      </c>
      <c r="J48">
        <f>VLOOKUP(H48,$A$1:F$161,J$2,0)</f>
        <v>8142</v>
      </c>
      <c r="K48">
        <f>VLOOKUP(H48,$A$1:F$161,K$2,0)</f>
        <v>7439</v>
      </c>
      <c r="L48">
        <f>VLOOKUP(H48,$A$1:F$161,L$2,0)</f>
        <v>7437</v>
      </c>
      <c r="M48">
        <f>VLOOKUP(H48,$A$1:F$161,M$2,0)</f>
        <v>6406.81</v>
      </c>
    </row>
    <row r="49" spans="1:13" ht="24" customHeight="1" x14ac:dyDescent="0.25">
      <c r="A49" t="s">
        <v>45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36" customHeight="1" x14ac:dyDescent="0.25">
      <c r="A50" t="s">
        <v>46</v>
      </c>
      <c r="H50" t="s">
        <v>76</v>
      </c>
      <c r="I50">
        <f>VLOOKUP(H50,$A$1:F$161,I$2,0)</f>
        <v>5061</v>
      </c>
      <c r="J50">
        <f>VLOOKUP(H50,$A$1:F$161,J$2,0)</f>
        <v>3884</v>
      </c>
      <c r="K50">
        <f>VLOOKUP(H50,$A$1:F$161,K$2,0)</f>
        <v>3424</v>
      </c>
      <c r="L50">
        <f>VLOOKUP(H50,$A$1:F$161,L$2,0)</f>
        <v>3995</v>
      </c>
      <c r="M50">
        <f>VLOOKUP(H50,$A$1:F$161,M$2,0)</f>
        <v>3371.67</v>
      </c>
    </row>
    <row r="51" spans="1:13" x14ac:dyDescent="0.25">
      <c r="A51" t="s">
        <v>47</v>
      </c>
      <c r="B51">
        <v>807</v>
      </c>
      <c r="C51">
        <v>632</v>
      </c>
      <c r="D51">
        <v>666</v>
      </c>
      <c r="E51">
        <v>608</v>
      </c>
      <c r="F51">
        <v>321.33999999999997</v>
      </c>
      <c r="H51" t="s">
        <v>77</v>
      </c>
      <c r="I51">
        <f>VLOOKUP(H51,$A$1:F$161,I$2,0)</f>
        <v>491</v>
      </c>
      <c r="J51">
        <f>VLOOKUP(H51,$A$1:F$161,J$2,0)</f>
        <v>339</v>
      </c>
      <c r="K51">
        <f>VLOOKUP(H51,$A$1:F$161,K$2,0)</f>
        <v>177</v>
      </c>
      <c r="L51">
        <f>VLOOKUP(H51,$A$1:F$161,L$2,0)</f>
        <v>145</v>
      </c>
      <c r="M51">
        <f>VLOOKUP(H51,$A$1:F$161,M$2,0)</f>
        <v>196.01</v>
      </c>
    </row>
    <row r="52" spans="1:13" ht="15" customHeight="1" x14ac:dyDescent="0.25">
      <c r="A52" t="s">
        <v>57</v>
      </c>
      <c r="H52" t="s">
        <v>78</v>
      </c>
      <c r="I52">
        <f>VLOOKUP(H52,$A$1:F$161,I$2,0)</f>
        <v>-116</v>
      </c>
      <c r="J52">
        <f>VLOOKUP(H52,$A$1:F$161,J$2,0)</f>
        <v>47</v>
      </c>
      <c r="K52">
        <f>VLOOKUP(H52,$A$1:F$161,K$2,0)</f>
        <v>140</v>
      </c>
      <c r="L52">
        <f>VLOOKUP(H52,$A$1:F$161,L$2,0)</f>
        <v>-123</v>
      </c>
      <c r="M52">
        <f>VLOOKUP(H52,$A$1:F$161,M$2,0)</f>
        <v>-219.5</v>
      </c>
    </row>
    <row r="53" spans="1:13" x14ac:dyDescent="0.25">
      <c r="A53" t="s">
        <v>58</v>
      </c>
      <c r="B53">
        <v>120.01</v>
      </c>
      <c r="C53">
        <v>120.01</v>
      </c>
      <c r="D53">
        <v>120.01</v>
      </c>
      <c r="E53">
        <v>120</v>
      </c>
      <c r="F53">
        <v>120.01</v>
      </c>
      <c r="H53" t="s">
        <v>79</v>
      </c>
      <c r="I53">
        <f>VLOOKUP(H53,$A$1:F$161,I$2,0)</f>
        <v>586</v>
      </c>
      <c r="J53">
        <f>VLOOKUP(H53,$A$1:F$161,J$2,0)</f>
        <v>570</v>
      </c>
      <c r="K53">
        <f>VLOOKUP(H53,$A$1:F$161,K$2,0)</f>
        <v>478</v>
      </c>
      <c r="L53">
        <f>VLOOKUP(H53,$A$1:F$161,L$2,0)</f>
        <v>466</v>
      </c>
      <c r="M53">
        <f>VLOOKUP(H53,$A$1:F$161,M$2,0)</f>
        <v>422.22</v>
      </c>
    </row>
    <row r="54" spans="1:13" ht="24" customHeight="1" x14ac:dyDescent="0.25">
      <c r="A54" t="s">
        <v>59</v>
      </c>
      <c r="H54" t="s">
        <v>80</v>
      </c>
      <c r="I54">
        <f>VLOOKUP(H54,$A$1:F$161,I$2,0)</f>
        <v>39</v>
      </c>
      <c r="J54">
        <f>VLOOKUP(H54,$A$1:F$161,J$2,0)</f>
        <v>34</v>
      </c>
      <c r="K54">
        <f>VLOOKUP(H54,$A$1:F$161,K$2,0)</f>
        <v>50</v>
      </c>
      <c r="L54">
        <f>VLOOKUP(H54,$A$1:F$161,L$2,0)</f>
        <v>40</v>
      </c>
      <c r="M54">
        <f>VLOOKUP(H54,$A$1:F$161,M$2,0)</f>
        <v>16.170000000000002</v>
      </c>
    </row>
    <row r="55" spans="1:13" x14ac:dyDescent="0.25">
      <c r="A55" t="s">
        <v>60</v>
      </c>
      <c r="B55">
        <v>0</v>
      </c>
      <c r="C55">
        <v>0</v>
      </c>
      <c r="D55">
        <v>0</v>
      </c>
      <c r="E55">
        <v>0</v>
      </c>
      <c r="F55">
        <v>38.72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61</v>
      </c>
      <c r="B56">
        <v>170</v>
      </c>
      <c r="C56">
        <v>209</v>
      </c>
      <c r="D56">
        <v>51</v>
      </c>
      <c r="E56">
        <v>0</v>
      </c>
      <c r="F56">
        <v>0.15</v>
      </c>
      <c r="H56" t="s">
        <v>82</v>
      </c>
      <c r="I56">
        <f>VLOOKUP(H56,$A$1:F$161,I$2,0)</f>
        <v>139</v>
      </c>
      <c r="J56">
        <f>VLOOKUP(H56,$A$1:F$161,J$2,0)</f>
        <v>139</v>
      </c>
      <c r="K56">
        <f>VLOOKUP(H56,$A$1:F$161,K$2,0)</f>
        <v>140</v>
      </c>
      <c r="L56">
        <f>VLOOKUP(H56,$A$1:F$161,L$2,0)</f>
        <v>131</v>
      </c>
      <c r="M56">
        <f>VLOOKUP(H56,$A$1:F$161,M$2,0)</f>
        <v>89.08</v>
      </c>
    </row>
    <row r="57" spans="1:13" ht="24" customHeight="1" x14ac:dyDescent="0.25">
      <c r="A57" t="s">
        <v>62</v>
      </c>
      <c r="H57" t="s">
        <v>83</v>
      </c>
      <c r="I57">
        <f>VLOOKUP(H57,$A$1:F$161,I$2,0)</f>
        <v>1809</v>
      </c>
      <c r="J57">
        <f>VLOOKUP(H57,$A$1:F$161,J$2,0)</f>
        <v>1617</v>
      </c>
      <c r="K57">
        <f>VLOOKUP(H57,$A$1:F$161,K$2,0)</f>
        <v>1627</v>
      </c>
      <c r="L57">
        <f>VLOOKUP(H57,$A$1:F$161,L$2,0)</f>
        <v>1525</v>
      </c>
      <c r="M57">
        <f>VLOOKUP(H57,$A$1:F$161,M$2,0)</f>
        <v>1414.02</v>
      </c>
    </row>
    <row r="58" spans="1:13" x14ac:dyDescent="0.25">
      <c r="A58" t="s">
        <v>63</v>
      </c>
      <c r="B58">
        <v>0</v>
      </c>
      <c r="C58">
        <v>0</v>
      </c>
      <c r="D58">
        <v>0</v>
      </c>
      <c r="E58">
        <v>0</v>
      </c>
      <c r="F58">
        <v>25.24</v>
      </c>
      <c r="H58" t="s">
        <v>84</v>
      </c>
      <c r="I58">
        <f>VLOOKUP(H58,$A$1:F$161,I$2,0)</f>
        <v>8009</v>
      </c>
      <c r="J58">
        <f>VLOOKUP(H58,$A$1:F$161,J$2,0)</f>
        <v>6630</v>
      </c>
      <c r="K58">
        <f>VLOOKUP(H58,$A$1:F$161,K$2,0)</f>
        <v>6036</v>
      </c>
      <c r="L58">
        <f>VLOOKUP(H58,$A$1:F$161,L$2,0)</f>
        <v>6179</v>
      </c>
      <c r="M58">
        <f>VLOOKUP(H58,$A$1:F$161,M$2,0)</f>
        <v>5289.67</v>
      </c>
    </row>
    <row r="59" spans="1:13" x14ac:dyDescent="0.25">
      <c r="A59" t="s">
        <v>64</v>
      </c>
      <c r="B59">
        <v>641</v>
      </c>
      <c r="C59">
        <v>620</v>
      </c>
      <c r="D59">
        <v>513</v>
      </c>
      <c r="E59">
        <v>294</v>
      </c>
      <c r="F59">
        <v>352.55</v>
      </c>
      <c r="H59" t="s">
        <v>85</v>
      </c>
      <c r="I59">
        <f>VLOOKUP(H59,$A$1:F$161,I$2,0)</f>
        <v>1601</v>
      </c>
      <c r="J59">
        <f>VLOOKUP(H59,$A$1:F$161,J$2,0)</f>
        <v>1512</v>
      </c>
      <c r="K59">
        <f>VLOOKUP(H59,$A$1:F$161,K$2,0)</f>
        <v>1403</v>
      </c>
      <c r="L59">
        <f>VLOOKUP(H59,$A$1:F$161,L$2,0)</f>
        <v>1258</v>
      </c>
      <c r="M59">
        <f>VLOOKUP(H59,$A$1:F$161,M$2,0)</f>
        <v>1117.1400000000001</v>
      </c>
    </row>
    <row r="60" spans="1:13" x14ac:dyDescent="0.25">
      <c r="H60" t="s">
        <v>87</v>
      </c>
      <c r="I60">
        <f>VLOOKUP(H60,$A$1:F$161,I$2,0)</f>
        <v>1601</v>
      </c>
      <c r="J60">
        <f>VLOOKUP(H60,$A$1:F$161,J$2,0)</f>
        <v>1525</v>
      </c>
      <c r="K60">
        <f>VLOOKUP(H60,$A$1:F$161,K$2,0)</f>
        <v>1374</v>
      </c>
      <c r="L60">
        <f>VLOOKUP(H60,$A$1:F$161,L$2,0)</f>
        <v>1258</v>
      </c>
      <c r="M60">
        <f>VLOOKUP(H60,$A$1:F$161,M$2,0)</f>
        <v>1117.1400000000001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343</v>
      </c>
      <c r="J62">
        <f>VLOOKUP(H62,$A$1:F$161,J$2,0)</f>
        <v>335</v>
      </c>
      <c r="K62">
        <f>VLOOKUP(H62,$A$1:F$161,K$2,0)</f>
        <v>347</v>
      </c>
      <c r="L62">
        <f>VLOOKUP(H62,$A$1:F$161,L$2,0)</f>
        <v>331</v>
      </c>
      <c r="M62">
        <f>VLOOKUP(H62,$A$1:F$161,M$2,0)</f>
        <v>284.12</v>
      </c>
    </row>
    <row r="63" spans="1:13" ht="15" customHeight="1" x14ac:dyDescent="0.25">
      <c r="A63" t="s">
        <v>65</v>
      </c>
      <c r="H63" t="s">
        <v>90</v>
      </c>
      <c r="I63">
        <f>VLOOKUP(H63,$A$1:F$161,I$2,0)</f>
        <v>3</v>
      </c>
      <c r="J63">
        <f>VLOOKUP(H63,$A$1:F$161,J$2,0)</f>
        <v>-11</v>
      </c>
      <c r="K63">
        <f>VLOOKUP(H63,$A$1:F$161,K$2,0)</f>
        <v>-16</v>
      </c>
      <c r="L63">
        <f>VLOOKUP(H63,$A$1:F$161,L$2,0)</f>
        <v>-17</v>
      </c>
      <c r="M63">
        <f>VLOOKUP(H63,$A$1:F$161,M$2,0)</f>
        <v>5.45</v>
      </c>
    </row>
    <row r="64" spans="1:13" x14ac:dyDescent="0.25">
      <c r="H64" t="s">
        <v>112</v>
      </c>
      <c r="I64">
        <f>VLOOKUP(H64,$A$1:F$161,I$2,0)</f>
        <v>0</v>
      </c>
      <c r="J64">
        <f>VLOOKUP(H64,$A$1:F$161,J$2,0)</f>
        <v>0</v>
      </c>
      <c r="K64">
        <f>VLOOKUP(H64,$A$1:F$161,K$2,0)</f>
        <v>0</v>
      </c>
      <c r="L64">
        <f>VLOOKUP(H64,$A$1:F$161,L$2,0)</f>
        <v>-188</v>
      </c>
      <c r="M64">
        <f>VLOOKUP(H64,$A$1:F$161,M$2,0)</f>
        <v>0</v>
      </c>
    </row>
    <row r="65" spans="8:13" x14ac:dyDescent="0.25">
      <c r="H65" t="s">
        <v>91</v>
      </c>
      <c r="I65">
        <f>VLOOKUP(H65,$A$1:F$161,I$2,0)</f>
        <v>346</v>
      </c>
      <c r="J65">
        <f>VLOOKUP(H65,$A$1:F$161,J$2,0)</f>
        <v>324</v>
      </c>
      <c r="K65">
        <f>VLOOKUP(H65,$A$1:F$161,K$2,0)</f>
        <v>331</v>
      </c>
      <c r="L65">
        <f>VLOOKUP(H65,$A$1:F$161,L$2,0)</f>
        <v>126</v>
      </c>
      <c r="M65">
        <f>VLOOKUP(H65,$A$1:F$161,M$2,0)</f>
        <v>289.57</v>
      </c>
    </row>
    <row r="66" spans="8:13" x14ac:dyDescent="0.25">
      <c r="H66" t="s">
        <v>92</v>
      </c>
      <c r="I66">
        <f>VLOOKUP(H66,$A$1:F$161,I$2,0)</f>
        <v>1255</v>
      </c>
      <c r="J66">
        <f>VLOOKUP(H66,$A$1:F$161,J$2,0)</f>
        <v>1201</v>
      </c>
      <c r="K66">
        <f>VLOOKUP(H66,$A$1:F$161,K$2,0)</f>
        <v>1043</v>
      </c>
      <c r="L66">
        <f>VLOOKUP(H66,$A$1:F$161,L$2,0)</f>
        <v>1132</v>
      </c>
      <c r="M66">
        <f>VLOOKUP(H66,$A$1:F$161,M$2,0)</f>
        <v>827.57</v>
      </c>
    </row>
    <row r="67" spans="8:13" x14ac:dyDescent="0.25">
      <c r="H67" t="s">
        <v>93</v>
      </c>
      <c r="I67">
        <f>VLOOKUP(H67,$A$1:F$161,I$2,0)</f>
        <v>1255</v>
      </c>
      <c r="J67">
        <f>VLOOKUP(H67,$A$1:F$161,J$2,0)</f>
        <v>1201</v>
      </c>
      <c r="K67">
        <f>VLOOKUP(H67,$A$1:F$161,K$2,0)</f>
        <v>1043</v>
      </c>
      <c r="L67">
        <f>VLOOKUP(H67,$A$1:F$161,L$2,0)</f>
        <v>1132</v>
      </c>
      <c r="M67">
        <f>VLOOKUP(H67,$A$1:F$161,M$2,0)</f>
        <v>827.57</v>
      </c>
    </row>
    <row r="68" spans="8:13" x14ac:dyDescent="0.25">
      <c r="H68" t="s">
        <v>94</v>
      </c>
      <c r="I68">
        <f>VLOOKUP(H68,$A$1:F$161,I$2,0)</f>
        <v>1255</v>
      </c>
      <c r="J68">
        <f>VLOOKUP(H68,$A$1:F$161,J$2,0)</f>
        <v>1201</v>
      </c>
      <c r="K68">
        <f>VLOOKUP(H68,$A$1:F$161,K$2,0)</f>
        <v>1043</v>
      </c>
      <c r="L68">
        <f>VLOOKUP(H68,$A$1:F$161,L$2,0)</f>
        <v>1132</v>
      </c>
      <c r="M68">
        <f>VLOOKUP(H68,$A$1:F$161,M$2,0)</f>
        <v>827.57</v>
      </c>
    </row>
    <row r="69" spans="8:13" x14ac:dyDescent="0.25">
      <c r="H69" t="s">
        <v>101</v>
      </c>
      <c r="I69">
        <f>VLOOKUP(H69,$A$1:F$161,I$2,0)</f>
        <v>1195</v>
      </c>
      <c r="J69">
        <f>VLOOKUP(H69,$A$1:F$161,J$2,0)</f>
        <v>968</v>
      </c>
      <c r="K69">
        <f>VLOOKUP(H69,$A$1:F$161,K$2,0)</f>
        <v>896</v>
      </c>
      <c r="L69">
        <f>VLOOKUP(H69,$A$1:F$161,L$2,0)</f>
        <v>589</v>
      </c>
      <c r="M69">
        <f>VLOOKUP(H69,$A$1:F$161,M$2,0)</f>
        <v>548.58000000000004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131</v>
      </c>
      <c r="L70">
        <f>VLOOKUP(H70,$A$1:F$161,L$2,0)</f>
        <v>93</v>
      </c>
      <c r="M70">
        <f>VLOOKUP(H70,$A$1:F$161,M$2,0)</f>
        <v>87.25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132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9452</v>
      </c>
      <c r="C97">
        <v>7991</v>
      </c>
      <c r="D97">
        <v>7254</v>
      </c>
      <c r="E97">
        <v>7273</v>
      </c>
      <c r="F97">
        <v>6300.77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10.91</v>
      </c>
    </row>
    <row r="99" spans="1:6" x14ac:dyDescent="0.25">
      <c r="A99" t="s">
        <v>70</v>
      </c>
      <c r="B99">
        <v>9452</v>
      </c>
      <c r="C99">
        <v>7991</v>
      </c>
      <c r="D99">
        <v>7254</v>
      </c>
      <c r="E99">
        <v>7273</v>
      </c>
      <c r="F99">
        <v>6289.86</v>
      </c>
    </row>
    <row r="100" spans="1:6" x14ac:dyDescent="0.25">
      <c r="A100" t="s">
        <v>71</v>
      </c>
      <c r="B100">
        <v>60</v>
      </c>
      <c r="C100">
        <v>57</v>
      </c>
      <c r="D100">
        <v>61</v>
      </c>
      <c r="E100">
        <v>61</v>
      </c>
      <c r="F100">
        <v>32.32</v>
      </c>
    </row>
    <row r="101" spans="1:6" x14ac:dyDescent="0.25">
      <c r="A101" t="s">
        <v>72</v>
      </c>
      <c r="B101">
        <v>9512</v>
      </c>
      <c r="C101">
        <v>8048</v>
      </c>
      <c r="D101">
        <v>7315</v>
      </c>
      <c r="E101">
        <v>7334</v>
      </c>
      <c r="F101">
        <v>6322.18</v>
      </c>
    </row>
    <row r="102" spans="1:6" x14ac:dyDescent="0.25">
      <c r="A102" t="s">
        <v>73</v>
      </c>
      <c r="B102">
        <v>98</v>
      </c>
      <c r="C102">
        <v>94</v>
      </c>
      <c r="D102">
        <v>124</v>
      </c>
      <c r="E102">
        <v>103</v>
      </c>
      <c r="F102">
        <v>84.63</v>
      </c>
    </row>
    <row r="103" spans="1:6" x14ac:dyDescent="0.25">
      <c r="A103" t="s">
        <v>74</v>
      </c>
      <c r="B103">
        <v>9610</v>
      </c>
      <c r="C103">
        <v>8142</v>
      </c>
      <c r="D103">
        <v>7439</v>
      </c>
      <c r="E103">
        <v>7437</v>
      </c>
      <c r="F103">
        <v>6406.81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5061</v>
      </c>
      <c r="C105">
        <v>3884</v>
      </c>
      <c r="D105">
        <v>3424</v>
      </c>
      <c r="E105">
        <v>3995</v>
      </c>
      <c r="F105">
        <v>3371.67</v>
      </c>
    </row>
    <row r="106" spans="1:6" x14ac:dyDescent="0.25">
      <c r="A106" t="s">
        <v>77</v>
      </c>
      <c r="B106">
        <v>491</v>
      </c>
      <c r="C106">
        <v>339</v>
      </c>
      <c r="D106">
        <v>177</v>
      </c>
      <c r="E106">
        <v>145</v>
      </c>
      <c r="F106">
        <v>196.01</v>
      </c>
    </row>
    <row r="107" spans="1:6" x14ac:dyDescent="0.25">
      <c r="A107" t="s">
        <v>78</v>
      </c>
      <c r="B107">
        <v>-116</v>
      </c>
      <c r="C107">
        <v>47</v>
      </c>
      <c r="D107">
        <v>140</v>
      </c>
      <c r="E107">
        <v>-123</v>
      </c>
      <c r="F107">
        <v>-219.5</v>
      </c>
    </row>
    <row r="108" spans="1:6" x14ac:dyDescent="0.25">
      <c r="A108" t="s">
        <v>79</v>
      </c>
      <c r="B108">
        <v>586</v>
      </c>
      <c r="C108">
        <v>570</v>
      </c>
      <c r="D108">
        <v>478</v>
      </c>
      <c r="E108">
        <v>466</v>
      </c>
      <c r="F108">
        <v>422.22</v>
      </c>
    </row>
    <row r="109" spans="1:6" x14ac:dyDescent="0.25">
      <c r="A109" t="s">
        <v>80</v>
      </c>
      <c r="B109">
        <v>39</v>
      </c>
      <c r="C109">
        <v>34</v>
      </c>
      <c r="D109">
        <v>50</v>
      </c>
      <c r="E109">
        <v>40</v>
      </c>
      <c r="F109">
        <v>16.170000000000002</v>
      </c>
    </row>
    <row r="110" spans="1:6" x14ac:dyDescent="0.25">
      <c r="A110" t="s">
        <v>82</v>
      </c>
      <c r="B110">
        <v>139</v>
      </c>
      <c r="C110">
        <v>139</v>
      </c>
      <c r="D110">
        <v>140</v>
      </c>
      <c r="E110">
        <v>131</v>
      </c>
      <c r="F110">
        <v>89.08</v>
      </c>
    </row>
    <row r="111" spans="1:6" x14ac:dyDescent="0.25">
      <c r="A111" t="s">
        <v>83</v>
      </c>
      <c r="B111">
        <v>1809</v>
      </c>
      <c r="C111">
        <v>1617</v>
      </c>
      <c r="D111">
        <v>1627</v>
      </c>
      <c r="E111">
        <v>1525</v>
      </c>
      <c r="F111">
        <v>1414.02</v>
      </c>
    </row>
    <row r="112" spans="1:6" x14ac:dyDescent="0.25">
      <c r="A112" t="s">
        <v>84</v>
      </c>
      <c r="B112">
        <v>8009</v>
      </c>
      <c r="C112">
        <v>6630</v>
      </c>
      <c r="D112">
        <v>6036</v>
      </c>
      <c r="E112">
        <v>6179</v>
      </c>
      <c r="F112">
        <v>5289.67</v>
      </c>
    </row>
    <row r="113" spans="1:6" x14ac:dyDescent="0.25">
      <c r="A113" t="s">
        <v>85</v>
      </c>
      <c r="B113">
        <v>1601</v>
      </c>
      <c r="C113">
        <v>1512</v>
      </c>
      <c r="D113">
        <v>1403</v>
      </c>
      <c r="E113">
        <v>1258</v>
      </c>
      <c r="F113">
        <v>1117.1400000000001</v>
      </c>
    </row>
    <row r="114" spans="1:6" x14ac:dyDescent="0.25">
      <c r="A114" t="s">
        <v>86</v>
      </c>
      <c r="B114">
        <v>0</v>
      </c>
      <c r="C114">
        <v>13</v>
      </c>
      <c r="D114">
        <v>-29</v>
      </c>
      <c r="E114">
        <v>0</v>
      </c>
      <c r="F114">
        <v>0</v>
      </c>
    </row>
    <row r="115" spans="1:6" x14ac:dyDescent="0.25">
      <c r="A115" t="s">
        <v>87</v>
      </c>
      <c r="B115">
        <v>1601</v>
      </c>
      <c r="C115">
        <v>1525</v>
      </c>
      <c r="D115">
        <v>1374</v>
      </c>
      <c r="E115">
        <v>1258</v>
      </c>
      <c r="F115">
        <v>1117.1400000000001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343</v>
      </c>
      <c r="C117">
        <v>335</v>
      </c>
      <c r="D117">
        <v>347</v>
      </c>
      <c r="E117">
        <v>331</v>
      </c>
      <c r="F117">
        <v>284.12</v>
      </c>
    </row>
    <row r="118" spans="1:6" x14ac:dyDescent="0.25">
      <c r="A118" t="s">
        <v>90</v>
      </c>
      <c r="B118">
        <v>3</v>
      </c>
      <c r="C118">
        <v>-11</v>
      </c>
      <c r="D118">
        <v>-16</v>
      </c>
      <c r="E118">
        <v>-17</v>
      </c>
      <c r="F118">
        <v>5.45</v>
      </c>
    </row>
    <row r="119" spans="1:6" x14ac:dyDescent="0.25">
      <c r="A119" t="s">
        <v>112</v>
      </c>
      <c r="B119">
        <v>0</v>
      </c>
      <c r="C119">
        <v>0</v>
      </c>
      <c r="D119">
        <v>0</v>
      </c>
      <c r="E119">
        <v>-188</v>
      </c>
      <c r="F119">
        <v>0</v>
      </c>
    </row>
    <row r="120" spans="1:6" x14ac:dyDescent="0.25">
      <c r="A120" t="s">
        <v>91</v>
      </c>
      <c r="B120">
        <v>346</v>
      </c>
      <c r="C120">
        <v>324</v>
      </c>
      <c r="D120">
        <v>331</v>
      </c>
      <c r="E120">
        <v>126</v>
      </c>
      <c r="F120">
        <v>289.57</v>
      </c>
    </row>
    <row r="121" spans="1:6" x14ac:dyDescent="0.25">
      <c r="A121" t="s">
        <v>92</v>
      </c>
      <c r="B121">
        <v>1255</v>
      </c>
      <c r="C121">
        <v>1201</v>
      </c>
      <c r="D121">
        <v>1043</v>
      </c>
      <c r="E121">
        <v>1132</v>
      </c>
      <c r="F121">
        <v>827.57</v>
      </c>
    </row>
    <row r="122" spans="1:6" x14ac:dyDescent="0.25">
      <c r="A122" t="s">
        <v>93</v>
      </c>
      <c r="B122">
        <v>1255</v>
      </c>
      <c r="C122">
        <v>1201</v>
      </c>
      <c r="D122">
        <v>1043</v>
      </c>
      <c r="E122">
        <v>1132</v>
      </c>
      <c r="F122">
        <v>827.57</v>
      </c>
    </row>
    <row r="123" spans="1:6" x14ac:dyDescent="0.25">
      <c r="A123" t="s">
        <v>94</v>
      </c>
      <c r="B123">
        <v>1255</v>
      </c>
      <c r="C123">
        <v>1201</v>
      </c>
      <c r="D123">
        <v>1043</v>
      </c>
      <c r="E123">
        <v>1132</v>
      </c>
      <c r="F123">
        <v>827.57</v>
      </c>
    </row>
    <row r="124" spans="1:6" x14ac:dyDescent="0.25">
      <c r="A124" t="s">
        <v>116</v>
      </c>
      <c r="B124">
        <v>-30</v>
      </c>
      <c r="C124">
        <v>-27</v>
      </c>
      <c r="D124">
        <v>-22</v>
      </c>
      <c r="E124">
        <v>-17</v>
      </c>
      <c r="F124">
        <v>-12.96</v>
      </c>
    </row>
    <row r="125" spans="1:6" x14ac:dyDescent="0.25">
      <c r="A125" t="s">
        <v>130</v>
      </c>
      <c r="B125">
        <v>0</v>
      </c>
      <c r="C125">
        <v>-2</v>
      </c>
      <c r="D125">
        <v>0</v>
      </c>
      <c r="E125">
        <v>-1</v>
      </c>
      <c r="F125">
        <v>-0.12</v>
      </c>
    </row>
    <row r="126" spans="1:6" x14ac:dyDescent="0.25">
      <c r="A126" t="s">
        <v>113</v>
      </c>
      <c r="B126">
        <v>1225</v>
      </c>
      <c r="C126">
        <v>1172</v>
      </c>
      <c r="D126">
        <v>1021</v>
      </c>
      <c r="E126">
        <v>1114</v>
      </c>
      <c r="F126">
        <v>814.49</v>
      </c>
    </row>
    <row r="127" spans="1:6" ht="24" customHeight="1" x14ac:dyDescent="0.25">
      <c r="A127" t="s">
        <v>45</v>
      </c>
    </row>
    <row r="128" spans="1:6" ht="24" customHeight="1" x14ac:dyDescent="0.25">
      <c r="A128" t="s">
        <v>95</v>
      </c>
    </row>
    <row r="129" spans="1:6" x14ac:dyDescent="0.25">
      <c r="A129" t="s">
        <v>96</v>
      </c>
      <c r="B129">
        <v>10</v>
      </c>
      <c r="C129">
        <v>9</v>
      </c>
      <c r="D129">
        <v>8</v>
      </c>
      <c r="E129">
        <v>9</v>
      </c>
      <c r="F129">
        <v>6</v>
      </c>
    </row>
    <row r="130" spans="1:6" x14ac:dyDescent="0.25">
      <c r="A130" t="s">
        <v>97</v>
      </c>
      <c r="B130">
        <v>9</v>
      </c>
      <c r="C130">
        <v>9</v>
      </c>
      <c r="D130">
        <v>8</v>
      </c>
      <c r="E130">
        <v>9</v>
      </c>
      <c r="F130">
        <v>6</v>
      </c>
    </row>
    <row r="131" spans="1:6" ht="36" customHeight="1" x14ac:dyDescent="0.25">
      <c r="A131" t="s">
        <v>100</v>
      </c>
    </row>
    <row r="132" spans="1:6" x14ac:dyDescent="0.25">
      <c r="A132" t="s">
        <v>101</v>
      </c>
      <c r="B132">
        <v>1195</v>
      </c>
      <c r="C132">
        <v>968</v>
      </c>
      <c r="D132">
        <v>896</v>
      </c>
      <c r="E132">
        <v>589</v>
      </c>
      <c r="F132">
        <v>548.58000000000004</v>
      </c>
    </row>
    <row r="133" spans="1:6" x14ac:dyDescent="0.25">
      <c r="A133" t="s">
        <v>102</v>
      </c>
      <c r="B133">
        <v>0</v>
      </c>
      <c r="C133">
        <v>0</v>
      </c>
      <c r="D133">
        <v>131</v>
      </c>
      <c r="E133">
        <v>93</v>
      </c>
      <c r="F133">
        <v>87.25</v>
      </c>
    </row>
    <row r="137" spans="1:6" ht="15" customHeight="1" x14ac:dyDescent="0.25">
      <c r="A137" t="s">
        <v>65</v>
      </c>
    </row>
  </sheetData>
  <hyperlinks>
    <hyperlink ref="B1" r:id="rId1" display="javascript:void(0);" xr:uid="{34F78B47-DC52-40D5-BE96-C49E58A32C73}"/>
    <hyperlink ref="B90" r:id="rId2" display="javascript:void(0);" xr:uid="{BF1335C0-E04D-4651-B679-4CDE7EA08CA4}"/>
  </hyperlinks>
  <pageMargins left="0.7" right="0.7" top="0.75" bottom="0.75" header="0.3" footer="0.3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3A8AC-A1B8-44EA-A435-8D940750988B}">
  <sheetPr codeName="Sheet12"/>
  <dimension ref="A1:M144"/>
  <sheetViews>
    <sheetView workbookViewId="0">
      <selection activeCell="A17" sqref="A17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133</v>
      </c>
      <c r="B1" t="s">
        <v>1</v>
      </c>
      <c r="H1" t="str">
        <f>A1</f>
        <v>Procter and Gamble Hygiene and Health Care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32.46</v>
      </c>
      <c r="J4">
        <f>VLOOKUP(H4,$A$1:F$161,J$2,0)</f>
        <v>32.46</v>
      </c>
      <c r="K4">
        <f>VLOOKUP(H4,$A$1:F$161,K$2,0)</f>
        <v>32.46</v>
      </c>
      <c r="L4">
        <f>VLOOKUP(H4,$A$1:F$161,L$2,0)</f>
        <v>32.46</v>
      </c>
      <c r="M4">
        <f>VLOOKUP(H4,$A$1:F$161,M$2,0)</f>
        <v>32.46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32.46</v>
      </c>
      <c r="J5">
        <f>VLOOKUP(H5,$A$1:F$161,J$2,0)</f>
        <v>32.46</v>
      </c>
      <c r="K5">
        <f>VLOOKUP(H5,$A$1:F$161,K$2,0)</f>
        <v>32.46</v>
      </c>
      <c r="L5">
        <f>VLOOKUP(H5,$A$1:F$161,L$2,0)</f>
        <v>32.46</v>
      </c>
      <c r="M5">
        <f>VLOOKUP(H5,$A$1:F$161,M$2,0)</f>
        <v>32.46</v>
      </c>
    </row>
    <row r="6" spans="1:13" x14ac:dyDescent="0.25">
      <c r="H6" t="s">
        <v>10</v>
      </c>
      <c r="I6">
        <f>VLOOKUP(H6,$A$1:F$161,I$2,0)</f>
        <v>665.27</v>
      </c>
      <c r="J6">
        <f>VLOOKUP(H6,$A$1:F$161,J$2,0)</f>
        <v>652.12</v>
      </c>
      <c r="K6">
        <f>VLOOKUP(H6,$A$1:F$161,K$2,0)</f>
        <v>1102.6600000000001</v>
      </c>
      <c r="L6">
        <f>VLOOKUP(H6,$A$1:F$161,L$2,0)</f>
        <v>859.11</v>
      </c>
      <c r="M6">
        <f>VLOOKUP(H6,$A$1:F$161,M$2,0)</f>
        <v>773.04</v>
      </c>
    </row>
    <row r="7" spans="1:13" ht="24" customHeight="1" x14ac:dyDescent="0.25">
      <c r="A7" t="s">
        <v>6</v>
      </c>
      <c r="H7" t="s">
        <v>11</v>
      </c>
      <c r="I7">
        <f>VLOOKUP(H7,$A$1:F$161,I$2,0)</f>
        <v>665.27</v>
      </c>
      <c r="J7">
        <f>VLOOKUP(H7,$A$1:F$161,J$2,0)</f>
        <v>652.12</v>
      </c>
      <c r="K7">
        <f>VLOOKUP(H7,$A$1:F$161,K$2,0)</f>
        <v>1102.6600000000001</v>
      </c>
      <c r="L7">
        <f>VLOOKUP(H7,$A$1:F$161,L$2,0)</f>
        <v>859.11</v>
      </c>
      <c r="M7">
        <f>VLOOKUP(H7,$A$1:F$161,M$2,0)</f>
        <v>773.04</v>
      </c>
    </row>
    <row r="8" spans="1:13" ht="24" customHeight="1" x14ac:dyDescent="0.25">
      <c r="A8" t="s">
        <v>7</v>
      </c>
      <c r="H8" t="s">
        <v>12</v>
      </c>
      <c r="I8">
        <f>VLOOKUP(H8,$A$1:F$161,I$2,0)</f>
        <v>737.57</v>
      </c>
      <c r="J8">
        <f>VLOOKUP(H8,$A$1:F$161,J$2,0)</f>
        <v>714.27</v>
      </c>
      <c r="K8">
        <f>VLOOKUP(H8,$A$1:F$161,K$2,0)</f>
        <v>1157.8599999999999</v>
      </c>
      <c r="L8">
        <f>VLOOKUP(H8,$A$1:F$161,L$2,0)</f>
        <v>909.06</v>
      </c>
      <c r="M8">
        <f>VLOOKUP(H8,$A$1:F$161,M$2,0)</f>
        <v>805.5</v>
      </c>
    </row>
    <row r="9" spans="1:13" x14ac:dyDescent="0.25">
      <c r="A9" t="s">
        <v>8</v>
      </c>
      <c r="B9">
        <v>32.46</v>
      </c>
      <c r="C9">
        <v>32.46</v>
      </c>
      <c r="D9">
        <v>32.46</v>
      </c>
      <c r="E9">
        <v>32.46</v>
      </c>
      <c r="F9">
        <v>32.46</v>
      </c>
      <c r="H9" t="s">
        <v>14</v>
      </c>
      <c r="I9">
        <f>VLOOKUP(H9,$A$1:F$161,I$2,0)</f>
        <v>83.89</v>
      </c>
      <c r="J9">
        <f>VLOOKUP(H9,$A$1:F$161,J$2,0)</f>
        <v>82.8</v>
      </c>
      <c r="K9">
        <f>VLOOKUP(H9,$A$1:F$161,K$2,0)</f>
        <v>74.02</v>
      </c>
      <c r="L9">
        <f>VLOOKUP(H9,$A$1:F$161,L$2,0)</f>
        <v>65.5</v>
      </c>
      <c r="M9">
        <f>VLOOKUP(H9,$A$1:F$161,M$2,0)</f>
        <v>48.73</v>
      </c>
    </row>
    <row r="10" spans="1:13" x14ac:dyDescent="0.25">
      <c r="A10" t="s">
        <v>9</v>
      </c>
      <c r="B10">
        <v>32.46</v>
      </c>
      <c r="C10">
        <v>32.46</v>
      </c>
      <c r="D10">
        <v>32.46</v>
      </c>
      <c r="E10">
        <v>32.46</v>
      </c>
      <c r="F10">
        <v>32.46</v>
      </c>
      <c r="H10" t="s">
        <v>16</v>
      </c>
      <c r="I10">
        <f>VLOOKUP(H10,$A$1:F$161,I$2,0)</f>
        <v>1.94</v>
      </c>
      <c r="J10">
        <f>VLOOKUP(H10,$A$1:F$161,J$2,0)</f>
        <v>0.18</v>
      </c>
      <c r="K10">
        <f>VLOOKUP(H10,$A$1:F$161,K$2,0)</f>
        <v>1.47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</v>
      </c>
      <c r="B11">
        <v>665.27</v>
      </c>
      <c r="C11">
        <v>652.12</v>
      </c>
      <c r="D11">
        <v>1102.6600000000001</v>
      </c>
      <c r="E11">
        <v>859.11</v>
      </c>
      <c r="F11">
        <v>773.04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665.27</v>
      </c>
      <c r="C12">
        <v>652.12</v>
      </c>
      <c r="D12">
        <v>1102.6600000000001</v>
      </c>
      <c r="E12">
        <v>859.11</v>
      </c>
      <c r="F12">
        <v>773.04</v>
      </c>
      <c r="H12" t="s">
        <v>18</v>
      </c>
      <c r="I12">
        <f>VLOOKUP(H12,$A$1:F$161,I$2,0)</f>
        <v>85.83</v>
      </c>
      <c r="J12">
        <f>VLOOKUP(H12,$A$1:F$161,J$2,0)</f>
        <v>82.98</v>
      </c>
      <c r="K12">
        <f>VLOOKUP(H12,$A$1:F$161,K$2,0)</f>
        <v>75.489999999999995</v>
      </c>
      <c r="L12">
        <f>VLOOKUP(H12,$A$1:F$161,L$2,0)</f>
        <v>65.5</v>
      </c>
      <c r="M12">
        <f>VLOOKUP(H12,$A$1:F$161,M$2,0)</f>
        <v>48.73</v>
      </c>
    </row>
    <row r="13" spans="1:13" x14ac:dyDescent="0.25">
      <c r="A13" t="s">
        <v>118</v>
      </c>
      <c r="B13">
        <v>39.840000000000003</v>
      </c>
      <c r="C13">
        <v>29.69</v>
      </c>
      <c r="D13">
        <v>22.74</v>
      </c>
      <c r="E13">
        <v>17.489999999999998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737.57</v>
      </c>
      <c r="C14">
        <v>714.27</v>
      </c>
      <c r="D14">
        <v>1157.8599999999999</v>
      </c>
      <c r="E14">
        <v>909.06</v>
      </c>
      <c r="F14">
        <v>805.5</v>
      </c>
      <c r="H14" t="s">
        <v>21</v>
      </c>
      <c r="I14">
        <f>VLOOKUP(H14,$A$1:F$161,I$2,0)</f>
        <v>778.43</v>
      </c>
      <c r="J14">
        <f>VLOOKUP(H14,$A$1:F$161,J$2,0)</f>
        <v>754.1</v>
      </c>
      <c r="K14">
        <f>VLOOKUP(H14,$A$1:F$161,K$2,0)</f>
        <v>531.33000000000004</v>
      </c>
      <c r="L14">
        <f>VLOOKUP(H14,$A$1:F$161,L$2,0)</f>
        <v>547.66999999999996</v>
      </c>
      <c r="M14">
        <f>VLOOKUP(H14,$A$1:F$161,M$2,0)</f>
        <v>406.22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71.010000000000005</v>
      </c>
      <c r="J15">
        <f>VLOOKUP(H15,$A$1:F$161,J$2,0)</f>
        <v>76.36</v>
      </c>
      <c r="K15">
        <f>VLOOKUP(H15,$A$1:F$161,K$2,0)</f>
        <v>58.72</v>
      </c>
      <c r="L15">
        <f>VLOOKUP(H15,$A$1:F$161,L$2,0)</f>
        <v>104.32</v>
      </c>
      <c r="M15">
        <f>VLOOKUP(H15,$A$1:F$161,M$2,0)</f>
        <v>160.63</v>
      </c>
    </row>
    <row r="16" spans="1:13" x14ac:dyDescent="0.25">
      <c r="A16" t="s">
        <v>16</v>
      </c>
      <c r="B16">
        <v>1.94</v>
      </c>
      <c r="C16">
        <v>0.18</v>
      </c>
      <c r="D16">
        <v>1.47</v>
      </c>
      <c r="E16">
        <v>0</v>
      </c>
      <c r="F16">
        <v>0</v>
      </c>
      <c r="H16" t="s">
        <v>23</v>
      </c>
      <c r="I16">
        <f>VLOOKUP(H16,$A$1:F$161,I$2,0)</f>
        <v>8.4</v>
      </c>
      <c r="J16">
        <f>VLOOKUP(H16,$A$1:F$161,J$2,0)</f>
        <v>5</v>
      </c>
      <c r="K16">
        <f>VLOOKUP(H16,$A$1:F$161,K$2,0)</f>
        <v>5</v>
      </c>
      <c r="L16">
        <f>VLOOKUP(H16,$A$1:F$161,L$2,0)</f>
        <v>5.36</v>
      </c>
      <c r="M16">
        <f>VLOOKUP(H16,$A$1:F$161,M$2,0)</f>
        <v>4.2699999999999996</v>
      </c>
    </row>
    <row r="17" spans="1:13" x14ac:dyDescent="0.25">
      <c r="A17" t="s">
        <v>14</v>
      </c>
      <c r="B17">
        <v>83.89</v>
      </c>
      <c r="C17">
        <v>82.8</v>
      </c>
      <c r="D17">
        <v>74.02</v>
      </c>
      <c r="E17">
        <v>65.5</v>
      </c>
      <c r="F17">
        <v>48.73</v>
      </c>
      <c r="H17" t="s">
        <v>24</v>
      </c>
      <c r="I17">
        <f>VLOOKUP(H17,$A$1:F$161,I$2,0)</f>
        <v>857.84</v>
      </c>
      <c r="J17">
        <f>VLOOKUP(H17,$A$1:F$161,J$2,0)</f>
        <v>835.46</v>
      </c>
      <c r="K17">
        <f>VLOOKUP(H17,$A$1:F$161,K$2,0)</f>
        <v>595.04999999999995</v>
      </c>
      <c r="L17">
        <f>VLOOKUP(H17,$A$1:F$161,L$2,0)</f>
        <v>657.35</v>
      </c>
      <c r="M17">
        <f>VLOOKUP(H17,$A$1:F$161,M$2,0)</f>
        <v>571.12</v>
      </c>
    </row>
    <row r="18" spans="1:13" x14ac:dyDescent="0.25">
      <c r="A18" t="s">
        <v>18</v>
      </c>
      <c r="B18">
        <v>85.83</v>
      </c>
      <c r="C18">
        <v>82.98</v>
      </c>
      <c r="D18">
        <v>75.489999999999995</v>
      </c>
      <c r="E18">
        <v>65.5</v>
      </c>
      <c r="F18">
        <v>48.73</v>
      </c>
      <c r="H18" t="s">
        <v>25</v>
      </c>
      <c r="I18">
        <f>VLOOKUP(H18,$A$1:F$161,I$2,0)</f>
        <v>1681.24</v>
      </c>
      <c r="J18">
        <f>VLOOKUP(H18,$A$1:F$161,J$2,0)</f>
        <v>1632.71</v>
      </c>
      <c r="K18">
        <f>VLOOKUP(H18,$A$1:F$161,K$2,0)</f>
        <v>1828.4</v>
      </c>
      <c r="L18">
        <f>VLOOKUP(H18,$A$1:F$161,L$2,0)</f>
        <v>1631.91</v>
      </c>
      <c r="M18">
        <f>VLOOKUP(H18,$A$1:F$161,M$2,0)</f>
        <v>1425.35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21</v>
      </c>
      <c r="B20">
        <v>778.43</v>
      </c>
      <c r="C20">
        <v>754.1</v>
      </c>
      <c r="D20">
        <v>531.33000000000004</v>
      </c>
      <c r="E20">
        <v>547.66999999999996</v>
      </c>
      <c r="F20">
        <v>406.22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22</v>
      </c>
      <c r="B21">
        <v>71.010000000000005</v>
      </c>
      <c r="C21">
        <v>76.36</v>
      </c>
      <c r="D21">
        <v>58.72</v>
      </c>
      <c r="E21">
        <v>104.32</v>
      </c>
      <c r="F21">
        <v>160.63</v>
      </c>
      <c r="H21" t="s">
        <v>28</v>
      </c>
      <c r="I21">
        <f>VLOOKUP(H21,$A$1:F$161,I$2,0)</f>
        <v>163.68</v>
      </c>
      <c r="J21">
        <f>VLOOKUP(H21,$A$1:F$161,J$2,0)</f>
        <v>183.81</v>
      </c>
      <c r="K21">
        <f>VLOOKUP(H21,$A$1:F$161,K$2,0)</f>
        <v>206.5</v>
      </c>
      <c r="L21">
        <f>VLOOKUP(H21,$A$1:F$161,L$2,0)</f>
        <v>234.22</v>
      </c>
      <c r="M21">
        <f>VLOOKUP(H21,$A$1:F$161,M$2,0)</f>
        <v>250.11</v>
      </c>
    </row>
    <row r="22" spans="1:13" x14ac:dyDescent="0.25">
      <c r="A22" t="s">
        <v>23</v>
      </c>
      <c r="B22">
        <v>8.4</v>
      </c>
      <c r="C22">
        <v>5</v>
      </c>
      <c r="D22">
        <v>5</v>
      </c>
      <c r="E22">
        <v>5.36</v>
      </c>
      <c r="F22">
        <v>4.2699999999999996</v>
      </c>
      <c r="H22" t="s">
        <v>29</v>
      </c>
      <c r="I22">
        <f>VLOOKUP(H22,$A$1:F$161,I$2,0)</f>
        <v>43.88</v>
      </c>
      <c r="J22">
        <f>VLOOKUP(H22,$A$1:F$161,J$2,0)</f>
        <v>37.58</v>
      </c>
      <c r="K22">
        <f>VLOOKUP(H22,$A$1:F$161,K$2,0)</f>
        <v>22.15</v>
      </c>
      <c r="L22">
        <f>VLOOKUP(H22,$A$1:F$161,L$2,0)</f>
        <v>14.55</v>
      </c>
      <c r="M22">
        <f>VLOOKUP(H22,$A$1:F$161,M$2,0)</f>
        <v>21.48</v>
      </c>
    </row>
    <row r="23" spans="1:13" x14ac:dyDescent="0.25">
      <c r="A23" t="s">
        <v>24</v>
      </c>
      <c r="B23">
        <v>857.84</v>
      </c>
      <c r="C23">
        <v>835.46</v>
      </c>
      <c r="D23">
        <v>595.04999999999995</v>
      </c>
      <c r="E23">
        <v>657.35</v>
      </c>
      <c r="F23">
        <v>571.12</v>
      </c>
      <c r="H23" t="s">
        <v>30</v>
      </c>
      <c r="I23">
        <f>VLOOKUP(H23,$A$1:F$161,I$2,0)</f>
        <v>207.56</v>
      </c>
      <c r="J23">
        <f>VLOOKUP(H23,$A$1:F$161,J$2,0)</f>
        <v>221.39</v>
      </c>
      <c r="K23">
        <f>VLOOKUP(H23,$A$1:F$161,K$2,0)</f>
        <v>228.65</v>
      </c>
      <c r="L23">
        <f>VLOOKUP(H23,$A$1:F$161,L$2,0)</f>
        <v>248.77</v>
      </c>
      <c r="M23">
        <f>VLOOKUP(H23,$A$1:F$161,M$2,0)</f>
        <v>271.58999999999997</v>
      </c>
    </row>
    <row r="24" spans="1:13" x14ac:dyDescent="0.25">
      <c r="A24" t="s">
        <v>25</v>
      </c>
      <c r="B24">
        <v>1681.24</v>
      </c>
      <c r="C24">
        <v>1632.71</v>
      </c>
      <c r="D24">
        <v>1828.4</v>
      </c>
      <c r="E24">
        <v>1631.91</v>
      </c>
      <c r="F24">
        <v>1425.35</v>
      </c>
      <c r="H24" t="s">
        <v>32</v>
      </c>
      <c r="I24">
        <f>VLOOKUP(H24,$A$1:F$161,I$2,0)</f>
        <v>51.88</v>
      </c>
      <c r="J24">
        <f>VLOOKUP(H24,$A$1:F$161,J$2,0)</f>
        <v>38.020000000000003</v>
      </c>
      <c r="K24">
        <f>VLOOKUP(H24,$A$1:F$161,K$2,0)</f>
        <v>29.58</v>
      </c>
      <c r="L24">
        <f>VLOOKUP(H24,$A$1:F$161,L$2,0)</f>
        <v>36.76</v>
      </c>
      <c r="M24">
        <f>VLOOKUP(H24,$A$1:F$161,M$2,0)</f>
        <v>22.98</v>
      </c>
    </row>
    <row r="25" spans="1:13" x14ac:dyDescent="0.25">
      <c r="A25" t="s">
        <v>26</v>
      </c>
      <c r="H25" t="s">
        <v>33</v>
      </c>
      <c r="I25">
        <f>VLOOKUP(H25,$A$1:F$161,I$2,0)</f>
        <v>28.42</v>
      </c>
      <c r="J25">
        <f>VLOOKUP(H25,$A$1:F$161,J$2,0)</f>
        <v>37.99</v>
      </c>
      <c r="K25">
        <f>VLOOKUP(H25,$A$1:F$161,K$2,0)</f>
        <v>41.47</v>
      </c>
      <c r="L25">
        <f>VLOOKUP(H25,$A$1:F$161,L$2,0)</f>
        <v>39.130000000000003</v>
      </c>
      <c r="M25">
        <f>VLOOKUP(H25,$A$1:F$161,M$2,0)</f>
        <v>42.01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259.62</v>
      </c>
      <c r="J26">
        <f>VLOOKUP(H26,$A$1:F$161,J$2,0)</f>
        <v>217.96</v>
      </c>
      <c r="K26">
        <f>VLOOKUP(H26,$A$1:F$161,K$2,0)</f>
        <v>200.31</v>
      </c>
      <c r="L26">
        <f>VLOOKUP(H26,$A$1:F$161,L$2,0)</f>
        <v>216.65</v>
      </c>
      <c r="M26">
        <f>VLOOKUP(H26,$A$1:F$161,M$2,0)</f>
        <v>207.27</v>
      </c>
    </row>
    <row r="27" spans="1:13" x14ac:dyDescent="0.25">
      <c r="A27" t="s">
        <v>28</v>
      </c>
      <c r="B27">
        <v>163.68</v>
      </c>
      <c r="C27">
        <v>183.81</v>
      </c>
      <c r="D27">
        <v>206.5</v>
      </c>
      <c r="E27">
        <v>234.22</v>
      </c>
      <c r="F27">
        <v>250.11</v>
      </c>
      <c r="H27" t="s">
        <v>35</v>
      </c>
      <c r="I27">
        <f>VLOOKUP(H27,$A$1:F$161,I$2,0)</f>
        <v>547.48</v>
      </c>
      <c r="J27">
        <f>VLOOKUP(H27,$A$1:F$161,J$2,0)</f>
        <v>515.36</v>
      </c>
      <c r="K27">
        <f>VLOOKUP(H27,$A$1:F$161,K$2,0)</f>
        <v>500.01</v>
      </c>
      <c r="L27">
        <f>VLOOKUP(H27,$A$1:F$161,L$2,0)</f>
        <v>541.30999999999995</v>
      </c>
      <c r="M27">
        <f>VLOOKUP(H27,$A$1:F$161,M$2,0)</f>
        <v>543.85</v>
      </c>
    </row>
    <row r="28" spans="1:13" x14ac:dyDescent="0.25">
      <c r="A28" t="s">
        <v>29</v>
      </c>
      <c r="B28">
        <v>43.88</v>
      </c>
      <c r="C28">
        <v>37.58</v>
      </c>
      <c r="D28">
        <v>22.15</v>
      </c>
      <c r="E28">
        <v>14.55</v>
      </c>
      <c r="F28">
        <v>21.48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30</v>
      </c>
      <c r="B29">
        <v>207.56</v>
      </c>
      <c r="C29">
        <v>221.39</v>
      </c>
      <c r="D29">
        <v>228.65</v>
      </c>
      <c r="E29">
        <v>248.77</v>
      </c>
      <c r="F29">
        <v>271.58999999999997</v>
      </c>
      <c r="H29" t="s">
        <v>38</v>
      </c>
      <c r="I29">
        <f>VLOOKUP(H29,$A$1:F$161,I$2,0)</f>
        <v>234.02</v>
      </c>
      <c r="J29">
        <f>VLOOKUP(H29,$A$1:F$161,J$2,0)</f>
        <v>249.3</v>
      </c>
      <c r="K29">
        <f>VLOOKUP(H29,$A$1:F$161,K$2,0)</f>
        <v>205.05</v>
      </c>
      <c r="L29">
        <f>VLOOKUP(H29,$A$1:F$161,L$2,0)</f>
        <v>203.42</v>
      </c>
      <c r="M29">
        <f>VLOOKUP(H29,$A$1:F$161,M$2,0)</f>
        <v>123.61</v>
      </c>
    </row>
    <row r="30" spans="1:13" x14ac:dyDescent="0.25">
      <c r="A30" t="s">
        <v>32</v>
      </c>
      <c r="B30">
        <v>51.88</v>
      </c>
      <c r="C30">
        <v>38.020000000000003</v>
      </c>
      <c r="D30">
        <v>29.58</v>
      </c>
      <c r="E30">
        <v>36.76</v>
      </c>
      <c r="F30">
        <v>22.98</v>
      </c>
      <c r="H30" t="s">
        <v>39</v>
      </c>
      <c r="I30">
        <f>VLOOKUP(H30,$A$1:F$161,I$2,0)</f>
        <v>190.75</v>
      </c>
      <c r="J30">
        <f>VLOOKUP(H30,$A$1:F$161,J$2,0)</f>
        <v>142.35</v>
      </c>
      <c r="K30">
        <f>VLOOKUP(H30,$A$1:F$161,K$2,0)</f>
        <v>166.34</v>
      </c>
      <c r="L30">
        <f>VLOOKUP(H30,$A$1:F$161,L$2,0)</f>
        <v>180.66</v>
      </c>
      <c r="M30">
        <f>VLOOKUP(H30,$A$1:F$161,M$2,0)</f>
        <v>148.47</v>
      </c>
    </row>
    <row r="31" spans="1:13" x14ac:dyDescent="0.25">
      <c r="A31" t="s">
        <v>33</v>
      </c>
      <c r="B31">
        <v>28.42</v>
      </c>
      <c r="C31">
        <v>37.99</v>
      </c>
      <c r="D31">
        <v>41.47</v>
      </c>
      <c r="E31">
        <v>39.130000000000003</v>
      </c>
      <c r="F31">
        <v>42.01</v>
      </c>
      <c r="H31" t="s">
        <v>40</v>
      </c>
      <c r="I31">
        <f>VLOOKUP(H31,$A$1:F$161,I$2,0)</f>
        <v>639.25</v>
      </c>
      <c r="J31">
        <f>VLOOKUP(H31,$A$1:F$161,J$2,0)</f>
        <v>660.24</v>
      </c>
      <c r="K31">
        <f>VLOOKUP(H31,$A$1:F$161,K$2,0)</f>
        <v>902.5</v>
      </c>
      <c r="L31">
        <f>VLOOKUP(H31,$A$1:F$161,L$2,0)</f>
        <v>540.45000000000005</v>
      </c>
      <c r="M31">
        <f>VLOOKUP(H31,$A$1:F$161,M$2,0)</f>
        <v>399.59</v>
      </c>
    </row>
    <row r="32" spans="1:13" x14ac:dyDescent="0.25">
      <c r="A32" t="s">
        <v>34</v>
      </c>
      <c r="B32">
        <v>259.62</v>
      </c>
      <c r="C32">
        <v>217.96</v>
      </c>
      <c r="D32">
        <v>200.31</v>
      </c>
      <c r="E32">
        <v>216.65</v>
      </c>
      <c r="F32">
        <v>207.27</v>
      </c>
      <c r="H32" t="s">
        <v>41</v>
      </c>
      <c r="I32">
        <f>VLOOKUP(H32,$A$1:F$161,I$2,0)</f>
        <v>5.73</v>
      </c>
      <c r="J32">
        <f>VLOOKUP(H32,$A$1:F$161,J$2,0)</f>
        <v>5.74</v>
      </c>
      <c r="K32">
        <f>VLOOKUP(H32,$A$1:F$161,K$2,0)</f>
        <v>6.32</v>
      </c>
      <c r="L32">
        <f>VLOOKUP(H32,$A$1:F$161,L$2,0)</f>
        <v>101.27</v>
      </c>
      <c r="M32">
        <f>VLOOKUP(H32,$A$1:F$161,M$2,0)</f>
        <v>99.4</v>
      </c>
    </row>
    <row r="33" spans="1:13" x14ac:dyDescent="0.25">
      <c r="A33" t="s">
        <v>35</v>
      </c>
      <c r="B33">
        <v>547.48</v>
      </c>
      <c r="C33">
        <v>515.36</v>
      </c>
      <c r="D33">
        <v>500.01</v>
      </c>
      <c r="E33">
        <v>541.30999999999995</v>
      </c>
      <c r="F33">
        <v>543.85</v>
      </c>
      <c r="H33" t="s">
        <v>42</v>
      </c>
      <c r="I33">
        <f>VLOOKUP(H33,$A$1:F$161,I$2,0)</f>
        <v>64.010000000000005</v>
      </c>
      <c r="J33">
        <f>VLOOKUP(H33,$A$1:F$161,J$2,0)</f>
        <v>59.72</v>
      </c>
      <c r="K33">
        <f>VLOOKUP(H33,$A$1:F$161,K$2,0)</f>
        <v>48.18</v>
      </c>
      <c r="L33">
        <f>VLOOKUP(H33,$A$1:F$161,L$2,0)</f>
        <v>64.8</v>
      </c>
      <c r="M33">
        <f>VLOOKUP(H33,$A$1:F$161,M$2,0)</f>
        <v>110.43</v>
      </c>
    </row>
    <row r="34" spans="1:13" ht="15" customHeight="1" x14ac:dyDescent="0.25">
      <c r="A34" t="s">
        <v>36</v>
      </c>
      <c r="H34" t="s">
        <v>43</v>
      </c>
      <c r="I34">
        <f>VLOOKUP(H34,$A$1:F$161,I$2,0)</f>
        <v>1133.76</v>
      </c>
      <c r="J34">
        <f>VLOOKUP(H34,$A$1:F$161,J$2,0)</f>
        <v>1117.3499999999999</v>
      </c>
      <c r="K34">
        <f>VLOOKUP(H34,$A$1:F$161,K$2,0)</f>
        <v>1328.39</v>
      </c>
      <c r="L34">
        <f>VLOOKUP(H34,$A$1:F$161,L$2,0)</f>
        <v>1090.5999999999999</v>
      </c>
      <c r="M34">
        <f>VLOOKUP(H34,$A$1:F$161,M$2,0)</f>
        <v>881.5</v>
      </c>
    </row>
    <row r="35" spans="1:13" x14ac:dyDescent="0.25">
      <c r="A35" t="s">
        <v>38</v>
      </c>
      <c r="B35">
        <v>234.02</v>
      </c>
      <c r="C35">
        <v>249.3</v>
      </c>
      <c r="D35">
        <v>205.05</v>
      </c>
      <c r="E35">
        <v>203.42</v>
      </c>
      <c r="F35">
        <v>123.61</v>
      </c>
      <c r="H35" t="s">
        <v>44</v>
      </c>
      <c r="I35">
        <f>VLOOKUP(H35,$A$1:F$161,I$2,0)</f>
        <v>1681.24</v>
      </c>
      <c r="J35">
        <f>VLOOKUP(H35,$A$1:F$161,J$2,0)</f>
        <v>1632.71</v>
      </c>
      <c r="K35">
        <f>VLOOKUP(H35,$A$1:F$161,K$2,0)</f>
        <v>1828.4</v>
      </c>
      <c r="L35">
        <f>VLOOKUP(H35,$A$1:F$161,L$2,0)</f>
        <v>1631.91</v>
      </c>
      <c r="M35">
        <f>VLOOKUP(H35,$A$1:F$161,M$2,0)</f>
        <v>1425.35</v>
      </c>
    </row>
    <row r="36" spans="1:13" x14ac:dyDescent="0.25">
      <c r="A36" t="s">
        <v>39</v>
      </c>
      <c r="B36">
        <v>190.75</v>
      </c>
      <c r="C36">
        <v>142.35</v>
      </c>
      <c r="D36">
        <v>166.34</v>
      </c>
      <c r="E36">
        <v>180.66</v>
      </c>
      <c r="F36">
        <v>148.47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40</v>
      </c>
      <c r="B37">
        <v>639.25</v>
      </c>
      <c r="C37">
        <v>660.24</v>
      </c>
      <c r="D37">
        <v>902.5</v>
      </c>
      <c r="E37">
        <v>540.45000000000005</v>
      </c>
      <c r="F37">
        <v>399.59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41</v>
      </c>
      <c r="B38">
        <v>5.73</v>
      </c>
      <c r="C38">
        <v>5.74</v>
      </c>
      <c r="D38">
        <v>6.32</v>
      </c>
      <c r="E38">
        <v>101.27</v>
      </c>
      <c r="F38">
        <v>99.4</v>
      </c>
      <c r="H38" t="s">
        <v>47</v>
      </c>
      <c r="I38">
        <f>VLOOKUP(H38,$A$1:F$161,I$2,0)</f>
        <v>334.99</v>
      </c>
      <c r="J38">
        <f>VLOOKUP(H38,$A$1:F$161,J$2,0)</f>
        <v>263.2</v>
      </c>
      <c r="K38">
        <f>VLOOKUP(H38,$A$1:F$161,K$2,0)</f>
        <v>223.04</v>
      </c>
      <c r="L38">
        <f>VLOOKUP(H38,$A$1:F$161,L$2,0)</f>
        <v>218.33</v>
      </c>
      <c r="M38">
        <f>VLOOKUP(H38,$A$1:F$161,M$2,0)</f>
        <v>166.12</v>
      </c>
    </row>
    <row r="39" spans="1:13" x14ac:dyDescent="0.25">
      <c r="A39" t="s">
        <v>42</v>
      </c>
      <c r="B39">
        <v>64.010000000000005</v>
      </c>
      <c r="C39">
        <v>59.72</v>
      </c>
      <c r="D39">
        <v>48.18</v>
      </c>
      <c r="E39">
        <v>64.8</v>
      </c>
      <c r="F39">
        <v>110.43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43</v>
      </c>
      <c r="B40">
        <v>1133.76</v>
      </c>
      <c r="C40">
        <v>1117.3499999999999</v>
      </c>
      <c r="D40">
        <v>1328.39</v>
      </c>
      <c r="E40">
        <v>1090.5999999999999</v>
      </c>
      <c r="F40">
        <v>881.5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44</v>
      </c>
      <c r="B41">
        <v>1681.24</v>
      </c>
      <c r="C41">
        <v>1632.71</v>
      </c>
      <c r="D41">
        <v>1828.4</v>
      </c>
      <c r="E41">
        <v>1631.91</v>
      </c>
      <c r="F41">
        <v>1425.35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ht="24" customHeight="1" x14ac:dyDescent="0.25">
      <c r="A42" t="s">
        <v>45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ht="36" customHeight="1" x14ac:dyDescent="0.25">
      <c r="A43" t="s">
        <v>46</v>
      </c>
      <c r="H43" t="s">
        <v>68</v>
      </c>
      <c r="I43">
        <f>VLOOKUP(H43,$A$1:F$161,I$2,0)</f>
        <v>3792.45</v>
      </c>
      <c r="J43">
        <f>VLOOKUP(H43,$A$1:F$161,J$2,0)</f>
        <v>3570.24</v>
      </c>
      <c r="K43">
        <f>VLOOKUP(H43,$A$1:F$161,K$2,0)</f>
        <v>2998.54</v>
      </c>
      <c r="L43">
        <f>VLOOKUP(H43,$A$1:F$161,L$2,0)</f>
        <v>2942.48</v>
      </c>
      <c r="M43">
        <f>VLOOKUP(H43,$A$1:F$161,M$2,0)</f>
        <v>2455.2199999999998</v>
      </c>
    </row>
    <row r="44" spans="1:13" x14ac:dyDescent="0.25">
      <c r="A44" t="s">
        <v>47</v>
      </c>
      <c r="B44">
        <v>334.99</v>
      </c>
      <c r="C44">
        <v>263.2</v>
      </c>
      <c r="D44">
        <v>223.04</v>
      </c>
      <c r="E44">
        <v>218.33</v>
      </c>
      <c r="F44">
        <v>166.12</v>
      </c>
      <c r="H44" t="s">
        <v>70</v>
      </c>
      <c r="I44">
        <f>VLOOKUP(H44,$A$1:F$161,I$2,0)</f>
        <v>3792.45</v>
      </c>
      <c r="J44">
        <f>VLOOKUP(H44,$A$1:F$161,J$2,0)</f>
        <v>3570.24</v>
      </c>
      <c r="K44">
        <f>VLOOKUP(H44,$A$1:F$161,K$2,0)</f>
        <v>2998.54</v>
      </c>
      <c r="L44">
        <f>VLOOKUP(H44,$A$1:F$161,L$2,0)</f>
        <v>2942.48</v>
      </c>
      <c r="M44">
        <f>VLOOKUP(H44,$A$1:F$161,M$2,0)</f>
        <v>2455.2199999999998</v>
      </c>
    </row>
    <row r="45" spans="1:13" ht="24" customHeight="1" x14ac:dyDescent="0.25">
      <c r="A45" t="s">
        <v>48</v>
      </c>
      <c r="H45" t="s">
        <v>71</v>
      </c>
      <c r="I45">
        <f>VLOOKUP(H45,$A$1:F$161,I$2,0)</f>
        <v>108.47</v>
      </c>
      <c r="J45">
        <f>VLOOKUP(H45,$A$1:F$161,J$2,0)</f>
        <v>3.9</v>
      </c>
      <c r="K45">
        <f>VLOOKUP(H45,$A$1:F$161,K$2,0)</f>
        <v>3.45</v>
      </c>
      <c r="L45">
        <f>VLOOKUP(H45,$A$1:F$161,L$2,0)</f>
        <v>4.37</v>
      </c>
      <c r="M45">
        <f>VLOOKUP(H45,$A$1:F$161,M$2,0)</f>
        <v>7.0000000000000007E-2</v>
      </c>
    </row>
    <row r="46" spans="1:13" ht="24" customHeight="1" x14ac:dyDescent="0.25">
      <c r="A46" t="s">
        <v>49</v>
      </c>
      <c r="H46" t="s">
        <v>72</v>
      </c>
      <c r="I46">
        <f>VLOOKUP(H46,$A$1:F$161,I$2,0)</f>
        <v>3900.92</v>
      </c>
      <c r="J46">
        <f>VLOOKUP(H46,$A$1:F$161,J$2,0)</f>
        <v>3574.14</v>
      </c>
      <c r="K46">
        <f>VLOOKUP(H46,$A$1:F$161,K$2,0)</f>
        <v>3001.99</v>
      </c>
      <c r="L46">
        <f>VLOOKUP(H46,$A$1:F$161,L$2,0)</f>
        <v>2946.85</v>
      </c>
      <c r="M46">
        <f>VLOOKUP(H46,$A$1:F$161,M$2,0)</f>
        <v>2455.29</v>
      </c>
    </row>
    <row r="47" spans="1:13" x14ac:dyDescent="0.25">
      <c r="A47" t="s">
        <v>50</v>
      </c>
      <c r="B47">
        <v>739.82</v>
      </c>
      <c r="C47">
        <v>550.29</v>
      </c>
      <c r="D47">
        <v>593.85</v>
      </c>
      <c r="E47">
        <v>753.21</v>
      </c>
      <c r="F47">
        <v>559.99</v>
      </c>
      <c r="H47" t="s">
        <v>73</v>
      </c>
      <c r="I47">
        <f>VLOOKUP(H47,$A$1:F$161,I$2,0)</f>
        <v>24.32</v>
      </c>
      <c r="J47">
        <f>VLOOKUP(H47,$A$1:F$161,J$2,0)</f>
        <v>39.380000000000003</v>
      </c>
      <c r="K47">
        <f>VLOOKUP(H47,$A$1:F$161,K$2,0)</f>
        <v>44.11</v>
      </c>
      <c r="L47">
        <f>VLOOKUP(H47,$A$1:F$161,L$2,0)</f>
        <v>53.34</v>
      </c>
      <c r="M47">
        <f>VLOOKUP(H47,$A$1:F$161,M$2,0)</f>
        <v>24.07</v>
      </c>
    </row>
    <row r="48" spans="1:13" ht="48" customHeight="1" x14ac:dyDescent="0.25">
      <c r="A48" t="s">
        <v>51</v>
      </c>
      <c r="H48" t="s">
        <v>74</v>
      </c>
      <c r="I48">
        <f>VLOOKUP(H48,$A$1:F$161,I$2,0)</f>
        <v>3925.24</v>
      </c>
      <c r="J48">
        <f>VLOOKUP(H48,$A$1:F$161,J$2,0)</f>
        <v>3613.52</v>
      </c>
      <c r="K48">
        <f>VLOOKUP(H48,$A$1:F$161,K$2,0)</f>
        <v>3046.1</v>
      </c>
      <c r="L48">
        <f>VLOOKUP(H48,$A$1:F$161,L$2,0)</f>
        <v>3000.19</v>
      </c>
      <c r="M48">
        <f>VLOOKUP(H48,$A$1:F$161,M$2,0)</f>
        <v>2479.36</v>
      </c>
    </row>
    <row r="49" spans="1:13" x14ac:dyDescent="0.25">
      <c r="A49" t="s">
        <v>52</v>
      </c>
      <c r="B49" t="s">
        <v>53</v>
      </c>
      <c r="C49" t="s">
        <v>53</v>
      </c>
      <c r="D49" t="s">
        <v>53</v>
      </c>
      <c r="E49" t="s">
        <v>53</v>
      </c>
      <c r="F49" t="s">
        <v>53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54</v>
      </c>
      <c r="H50" t="s">
        <v>76</v>
      </c>
      <c r="I50">
        <f>VLOOKUP(H50,$A$1:F$161,I$2,0)</f>
        <v>1260.3399999999999</v>
      </c>
      <c r="J50">
        <f>VLOOKUP(H50,$A$1:F$161,J$2,0)</f>
        <v>1128.3900000000001</v>
      </c>
      <c r="K50">
        <f>VLOOKUP(H50,$A$1:F$161,K$2,0)</f>
        <v>1066.21</v>
      </c>
      <c r="L50">
        <f>VLOOKUP(H50,$A$1:F$161,L$2,0)</f>
        <v>952.58</v>
      </c>
      <c r="M50">
        <f>VLOOKUP(H50,$A$1:F$161,M$2,0)</f>
        <v>544.83000000000004</v>
      </c>
    </row>
    <row r="51" spans="1:13" x14ac:dyDescent="0.25">
      <c r="A51" t="s">
        <v>55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H51" t="s">
        <v>77</v>
      </c>
      <c r="I51">
        <f>VLOOKUP(H51,$A$1:F$161,I$2,0)</f>
        <v>305.45</v>
      </c>
      <c r="J51">
        <f>VLOOKUP(H51,$A$1:F$161,J$2,0)</f>
        <v>41.13</v>
      </c>
      <c r="K51">
        <f>VLOOKUP(H51,$A$1:F$161,K$2,0)</f>
        <v>52.4</v>
      </c>
      <c r="L51">
        <f>VLOOKUP(H51,$A$1:F$161,L$2,0)</f>
        <v>321.95</v>
      </c>
      <c r="M51">
        <f>VLOOKUP(H51,$A$1:F$161,M$2,0)</f>
        <v>342.22</v>
      </c>
    </row>
    <row r="52" spans="1:13" x14ac:dyDescent="0.25">
      <c r="A52" t="s">
        <v>56</v>
      </c>
      <c r="B52">
        <v>46.96</v>
      </c>
      <c r="C52">
        <v>45.98</v>
      </c>
      <c r="D52">
        <v>37.53</v>
      </c>
      <c r="E52">
        <v>24.22</v>
      </c>
      <c r="F52">
        <v>26.35</v>
      </c>
      <c r="H52" t="s">
        <v>78</v>
      </c>
      <c r="I52">
        <f>VLOOKUP(H52,$A$1:F$161,I$2,0)</f>
        <v>-6.5</v>
      </c>
      <c r="J52">
        <f>VLOOKUP(H52,$A$1:F$161,J$2,0)</f>
        <v>-10.220000000000001</v>
      </c>
      <c r="K52">
        <f>VLOOKUP(H52,$A$1:F$161,K$2,0)</f>
        <v>-7.82</v>
      </c>
      <c r="L52">
        <f>VLOOKUP(H52,$A$1:F$161,L$2,0)</f>
        <v>-37.729999999999997</v>
      </c>
      <c r="M52">
        <f>VLOOKUP(H52,$A$1:F$161,M$2,0)</f>
        <v>61.64</v>
      </c>
    </row>
    <row r="53" spans="1:13" ht="15" customHeight="1" x14ac:dyDescent="0.25">
      <c r="A53" t="s">
        <v>57</v>
      </c>
      <c r="H53" t="s">
        <v>79</v>
      </c>
      <c r="I53">
        <f>VLOOKUP(H53,$A$1:F$161,I$2,0)</f>
        <v>214.34</v>
      </c>
      <c r="J53">
        <f>VLOOKUP(H53,$A$1:F$161,J$2,0)</f>
        <v>201.68</v>
      </c>
      <c r="K53">
        <f>VLOOKUP(H53,$A$1:F$161,K$2,0)</f>
        <v>173.29</v>
      </c>
      <c r="L53">
        <f>VLOOKUP(H53,$A$1:F$161,L$2,0)</f>
        <v>133.84</v>
      </c>
      <c r="M53">
        <f>VLOOKUP(H53,$A$1:F$161,M$2,0)</f>
        <v>115.23</v>
      </c>
    </row>
    <row r="54" spans="1:13" x14ac:dyDescent="0.25">
      <c r="A54" t="s">
        <v>58</v>
      </c>
      <c r="B54">
        <v>23.54</v>
      </c>
      <c r="C54">
        <v>23.54</v>
      </c>
      <c r="D54">
        <v>23.54</v>
      </c>
      <c r="E54">
        <v>23.54</v>
      </c>
      <c r="F54">
        <v>23.54</v>
      </c>
      <c r="H54" t="s">
        <v>80</v>
      </c>
      <c r="I54">
        <f>VLOOKUP(H54,$A$1:F$161,I$2,0)</f>
        <v>11.19</v>
      </c>
      <c r="J54">
        <f>VLOOKUP(H54,$A$1:F$161,J$2,0)</f>
        <v>6.11</v>
      </c>
      <c r="K54">
        <f>VLOOKUP(H54,$A$1:F$161,K$2,0)</f>
        <v>6.07</v>
      </c>
      <c r="L54">
        <f>VLOOKUP(H54,$A$1:F$161,L$2,0)</f>
        <v>5.48</v>
      </c>
      <c r="M54">
        <f>VLOOKUP(H54,$A$1:F$161,M$2,0)</f>
        <v>5.32</v>
      </c>
    </row>
    <row r="55" spans="1:13" ht="24" customHeight="1" x14ac:dyDescent="0.25">
      <c r="A55" t="s">
        <v>59</v>
      </c>
      <c r="H55" t="s">
        <v>81</v>
      </c>
      <c r="I55">
        <f>VLOOKUP(H55,$A$1:F$161,I$2,0)</f>
        <v>0</v>
      </c>
      <c r="J55">
        <f>VLOOKUP(H55,$A$1:F$161,J$2,0)</f>
        <v>7.64</v>
      </c>
      <c r="K55">
        <f>VLOOKUP(H55,$A$1:F$161,K$2,0)</f>
        <v>13.88</v>
      </c>
      <c r="L55">
        <f>VLOOKUP(H55,$A$1:F$161,L$2,0)</f>
        <v>0</v>
      </c>
      <c r="M55">
        <f>VLOOKUP(H55,$A$1:F$161,M$2,0)</f>
        <v>0</v>
      </c>
    </row>
    <row r="56" spans="1:13" x14ac:dyDescent="0.25">
      <c r="A56" t="s">
        <v>60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52.88</v>
      </c>
      <c r="J56">
        <f>VLOOKUP(H56,$A$1:F$161,J$2,0)</f>
        <v>47.66</v>
      </c>
      <c r="K56">
        <f>VLOOKUP(H56,$A$1:F$161,K$2,0)</f>
        <v>47.88</v>
      </c>
      <c r="L56">
        <f>VLOOKUP(H56,$A$1:F$161,L$2,0)</f>
        <v>49.78</v>
      </c>
      <c r="M56">
        <f>VLOOKUP(H56,$A$1:F$161,M$2,0)</f>
        <v>64.959999999999994</v>
      </c>
    </row>
    <row r="57" spans="1:13" x14ac:dyDescent="0.25">
      <c r="A57" t="s">
        <v>61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1297.4000000000001</v>
      </c>
      <c r="J57">
        <f>VLOOKUP(H57,$A$1:F$161,J$2,0)</f>
        <v>1321.24</v>
      </c>
      <c r="K57">
        <f>VLOOKUP(H57,$A$1:F$161,K$2,0)</f>
        <v>1100.32</v>
      </c>
      <c r="L57">
        <f>VLOOKUP(H57,$A$1:F$161,L$2,0)</f>
        <v>966.96</v>
      </c>
      <c r="M57">
        <f>VLOOKUP(H57,$A$1:F$161,M$2,0)</f>
        <v>763.39</v>
      </c>
    </row>
    <row r="58" spans="1:13" ht="24" customHeight="1" x14ac:dyDescent="0.25">
      <c r="A58" t="s">
        <v>62</v>
      </c>
      <c r="H58" t="s">
        <v>84</v>
      </c>
      <c r="I58">
        <f>VLOOKUP(H58,$A$1:F$161,I$2,0)</f>
        <v>3135.1</v>
      </c>
      <c r="J58">
        <f>VLOOKUP(H58,$A$1:F$161,J$2,0)</f>
        <v>2743.63</v>
      </c>
      <c r="K58">
        <f>VLOOKUP(H58,$A$1:F$161,K$2,0)</f>
        <v>2452.23</v>
      </c>
      <c r="L58">
        <f>VLOOKUP(H58,$A$1:F$161,L$2,0)</f>
        <v>2392.86</v>
      </c>
      <c r="M58">
        <f>VLOOKUP(H58,$A$1:F$161,M$2,0)</f>
        <v>1897.59</v>
      </c>
    </row>
    <row r="59" spans="1:13" x14ac:dyDescent="0.25">
      <c r="A59" t="s">
        <v>63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790.14</v>
      </c>
      <c r="J59">
        <f>VLOOKUP(H59,$A$1:F$161,J$2,0)</f>
        <v>869.89</v>
      </c>
      <c r="K59">
        <f>VLOOKUP(H59,$A$1:F$161,K$2,0)</f>
        <v>593.87</v>
      </c>
      <c r="L59">
        <f>VLOOKUP(H59,$A$1:F$161,L$2,0)</f>
        <v>607.33000000000004</v>
      </c>
      <c r="M59">
        <f>VLOOKUP(H59,$A$1:F$161,M$2,0)</f>
        <v>581.77</v>
      </c>
    </row>
    <row r="60" spans="1:13" x14ac:dyDescent="0.25">
      <c r="A60" t="s">
        <v>64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790.14</v>
      </c>
      <c r="J60">
        <f>VLOOKUP(H60,$A$1:F$161,J$2,0)</f>
        <v>869.89</v>
      </c>
      <c r="K60">
        <f>VLOOKUP(H60,$A$1:F$161,K$2,0)</f>
        <v>593.87</v>
      </c>
      <c r="L60">
        <f>VLOOKUP(H60,$A$1:F$161,L$2,0)</f>
        <v>607.33000000000004</v>
      </c>
      <c r="M60">
        <f>VLOOKUP(H60,$A$1:F$161,M$2,0)</f>
        <v>581.77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219.5</v>
      </c>
      <c r="J62">
        <f>VLOOKUP(H62,$A$1:F$161,J$2,0)</f>
        <v>228.73</v>
      </c>
      <c r="K62">
        <f>VLOOKUP(H62,$A$1:F$161,K$2,0)</f>
        <v>156.69999999999999</v>
      </c>
      <c r="L62">
        <f>VLOOKUP(H62,$A$1:F$161,L$2,0)</f>
        <v>221.85</v>
      </c>
      <c r="M62">
        <f>VLOOKUP(H62,$A$1:F$161,M$2,0)</f>
        <v>206.46</v>
      </c>
    </row>
    <row r="63" spans="1:13" x14ac:dyDescent="0.25">
      <c r="H63" t="s">
        <v>90</v>
      </c>
      <c r="I63">
        <f>VLOOKUP(H63,$A$1:F$161,I$2,0)</f>
        <v>-12.82</v>
      </c>
      <c r="J63">
        <f>VLOOKUP(H63,$A$1:F$161,J$2,0)</f>
        <v>-8.89</v>
      </c>
      <c r="K63">
        <f>VLOOKUP(H63,$A$1:F$161,K$2,0)</f>
        <v>7.75</v>
      </c>
      <c r="L63">
        <f>VLOOKUP(H63,$A$1:F$161,L$2,0)</f>
        <v>-10.19</v>
      </c>
      <c r="M63">
        <f>VLOOKUP(H63,$A$1:F$161,M$2,0)</f>
        <v>6.85</v>
      </c>
    </row>
    <row r="64" spans="1:13" ht="15" customHeight="1" x14ac:dyDescent="0.25">
      <c r="A64" t="s">
        <v>65</v>
      </c>
      <c r="H64" t="s">
        <v>112</v>
      </c>
      <c r="I64">
        <f>VLOOKUP(H64,$A$1:F$161,I$2,0)</f>
        <v>7.71</v>
      </c>
      <c r="J64">
        <f>VLOOKUP(H64,$A$1:F$161,J$2,0)</f>
        <v>-1.74</v>
      </c>
      <c r="K64">
        <f>VLOOKUP(H64,$A$1:F$161,K$2,0)</f>
        <v>-3.66</v>
      </c>
      <c r="L64">
        <f>VLOOKUP(H64,$A$1:F$161,L$2,0)</f>
        <v>-23.46</v>
      </c>
      <c r="M64">
        <f>VLOOKUP(H64,$A$1:F$161,M$2,0)</f>
        <v>-6.13</v>
      </c>
    </row>
    <row r="65" spans="8:13" x14ac:dyDescent="0.25">
      <c r="H65" t="s">
        <v>91</v>
      </c>
      <c r="I65">
        <f>VLOOKUP(H65,$A$1:F$161,I$2,0)</f>
        <v>214.39</v>
      </c>
      <c r="J65">
        <f>VLOOKUP(H65,$A$1:F$161,J$2,0)</f>
        <v>218.1</v>
      </c>
      <c r="K65">
        <f>VLOOKUP(H65,$A$1:F$161,K$2,0)</f>
        <v>160.79</v>
      </c>
      <c r="L65">
        <f>VLOOKUP(H65,$A$1:F$161,L$2,0)</f>
        <v>188.2</v>
      </c>
      <c r="M65">
        <f>VLOOKUP(H65,$A$1:F$161,M$2,0)</f>
        <v>207.18</v>
      </c>
    </row>
    <row r="66" spans="8:13" x14ac:dyDescent="0.25">
      <c r="H66" t="s">
        <v>92</v>
      </c>
      <c r="I66">
        <f>VLOOKUP(H66,$A$1:F$161,I$2,0)</f>
        <v>575.75</v>
      </c>
      <c r="J66">
        <f>VLOOKUP(H66,$A$1:F$161,J$2,0)</f>
        <v>651.79</v>
      </c>
      <c r="K66">
        <f>VLOOKUP(H66,$A$1:F$161,K$2,0)</f>
        <v>433.08</v>
      </c>
      <c r="L66">
        <f>VLOOKUP(H66,$A$1:F$161,L$2,0)</f>
        <v>419.13</v>
      </c>
      <c r="M66">
        <f>VLOOKUP(H66,$A$1:F$161,M$2,0)</f>
        <v>374.59</v>
      </c>
    </row>
    <row r="67" spans="8:13" x14ac:dyDescent="0.25">
      <c r="H67" t="s">
        <v>93</v>
      </c>
      <c r="I67">
        <f>VLOOKUP(H67,$A$1:F$161,I$2,0)</f>
        <v>575.75</v>
      </c>
      <c r="J67">
        <f>VLOOKUP(H67,$A$1:F$161,J$2,0)</f>
        <v>651.79</v>
      </c>
      <c r="K67">
        <f>VLOOKUP(H67,$A$1:F$161,K$2,0)</f>
        <v>433.08</v>
      </c>
      <c r="L67">
        <f>VLOOKUP(H67,$A$1:F$161,L$2,0)</f>
        <v>419.13</v>
      </c>
      <c r="M67">
        <f>VLOOKUP(H67,$A$1:F$161,M$2,0)</f>
        <v>374.59</v>
      </c>
    </row>
    <row r="68" spans="8:13" x14ac:dyDescent="0.25">
      <c r="H68" t="s">
        <v>94</v>
      </c>
      <c r="I68">
        <f>VLOOKUP(H68,$A$1:F$161,I$2,0)</f>
        <v>575.75</v>
      </c>
      <c r="J68">
        <f>VLOOKUP(H68,$A$1:F$161,J$2,0)</f>
        <v>651.79</v>
      </c>
      <c r="K68">
        <f>VLOOKUP(H68,$A$1:F$161,K$2,0)</f>
        <v>433.08</v>
      </c>
      <c r="L68">
        <f>VLOOKUP(H68,$A$1:F$161,L$2,0)</f>
        <v>419.13</v>
      </c>
      <c r="M68">
        <f>VLOOKUP(H68,$A$1:F$161,M$2,0)</f>
        <v>374.59</v>
      </c>
    </row>
    <row r="69" spans="8:13" x14ac:dyDescent="0.25">
      <c r="H69" t="s">
        <v>101</v>
      </c>
      <c r="I69">
        <f>VLOOKUP(H69,$A$1:F$161,I$2,0)</f>
        <v>568.05999999999995</v>
      </c>
      <c r="J69">
        <f>VLOOKUP(H69,$A$1:F$161,J$2,0)</f>
        <v>1103.67</v>
      </c>
      <c r="K69">
        <f>VLOOKUP(H69,$A$1:F$161,K$2,0)</f>
        <v>155.81</v>
      </c>
      <c r="L69">
        <f>VLOOKUP(H69,$A$1:F$161,L$2,0)</f>
        <v>259.68</v>
      </c>
      <c r="M69">
        <f>VLOOKUP(H69,$A$1:F$161,M$2,0)</f>
        <v>87.64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32.03</v>
      </c>
      <c r="L70">
        <f>VLOOKUP(H70,$A$1:F$161,L$2,0)</f>
        <v>53.4</v>
      </c>
      <c r="M70">
        <f>VLOOKUP(H70,$A$1:F$161,M$2,0)</f>
        <v>17.84</v>
      </c>
    </row>
    <row r="71" spans="8:13" x14ac:dyDescent="0.25">
      <c r="H71" t="s">
        <v>103</v>
      </c>
      <c r="I71">
        <f>VLOOKUP(H71,$A$1:F$161,I$2,0)</f>
        <v>1600</v>
      </c>
      <c r="J71">
        <f>VLOOKUP(H71,$A$1:F$161,J$2,0)</f>
        <v>3150</v>
      </c>
      <c r="K71">
        <f>VLOOKUP(H71,$A$1:F$161,K$2,0)</f>
        <v>1050</v>
      </c>
      <c r="L71">
        <f>VLOOKUP(H71,$A$1:F$161,L$2,0)</f>
        <v>880</v>
      </c>
      <c r="M71">
        <f>VLOOKUP(H71,$A$1:F$161,M$2,0)</f>
        <v>400</v>
      </c>
    </row>
    <row r="90" spans="1:6" x14ac:dyDescent="0.25">
      <c r="A90" t="s">
        <v>133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134</v>
      </c>
      <c r="C92">
        <v>44348</v>
      </c>
      <c r="D92">
        <v>43983</v>
      </c>
      <c r="E92">
        <v>43617</v>
      </c>
      <c r="F92">
        <v>43252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3792.45</v>
      </c>
      <c r="C97">
        <v>3570.24</v>
      </c>
      <c r="D97">
        <v>2998.54</v>
      </c>
      <c r="E97">
        <v>2942.48</v>
      </c>
      <c r="F97">
        <v>2455.2199999999998</v>
      </c>
    </row>
    <row r="98" spans="1:6" x14ac:dyDescent="0.25">
      <c r="A98" t="s">
        <v>70</v>
      </c>
      <c r="B98">
        <v>3792.45</v>
      </c>
      <c r="C98">
        <v>3570.24</v>
      </c>
      <c r="D98">
        <v>2998.54</v>
      </c>
      <c r="E98">
        <v>2942.48</v>
      </c>
      <c r="F98">
        <v>2455.2199999999998</v>
      </c>
    </row>
    <row r="99" spans="1:6" x14ac:dyDescent="0.25">
      <c r="A99" t="s">
        <v>71</v>
      </c>
      <c r="B99">
        <v>108.47</v>
      </c>
      <c r="C99">
        <v>3.9</v>
      </c>
      <c r="D99">
        <v>3.45</v>
      </c>
      <c r="E99">
        <v>4.37</v>
      </c>
      <c r="F99">
        <v>7.0000000000000007E-2</v>
      </c>
    </row>
    <row r="100" spans="1:6" x14ac:dyDescent="0.25">
      <c r="A100" t="s">
        <v>72</v>
      </c>
      <c r="B100">
        <v>3900.92</v>
      </c>
      <c r="C100">
        <v>3574.14</v>
      </c>
      <c r="D100">
        <v>3001.99</v>
      </c>
      <c r="E100">
        <v>2946.85</v>
      </c>
      <c r="F100">
        <v>2455.29</v>
      </c>
    </row>
    <row r="101" spans="1:6" x14ac:dyDescent="0.25">
      <c r="A101" t="s">
        <v>73</v>
      </c>
      <c r="B101">
        <v>24.32</v>
      </c>
      <c r="C101">
        <v>39.380000000000003</v>
      </c>
      <c r="D101">
        <v>44.11</v>
      </c>
      <c r="E101">
        <v>53.34</v>
      </c>
      <c r="F101">
        <v>24.07</v>
      </c>
    </row>
    <row r="102" spans="1:6" x14ac:dyDescent="0.25">
      <c r="A102" t="s">
        <v>74</v>
      </c>
      <c r="B102">
        <v>3925.24</v>
      </c>
      <c r="C102">
        <v>3613.52</v>
      </c>
      <c r="D102">
        <v>3046.1</v>
      </c>
      <c r="E102">
        <v>3000.19</v>
      </c>
      <c r="F102">
        <v>2479.36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1260.3399999999999</v>
      </c>
      <c r="C104">
        <v>1128.3900000000001</v>
      </c>
      <c r="D104">
        <v>1066.21</v>
      </c>
      <c r="E104">
        <v>952.58</v>
      </c>
      <c r="F104">
        <v>544.83000000000004</v>
      </c>
    </row>
    <row r="105" spans="1:6" x14ac:dyDescent="0.25">
      <c r="A105" t="s">
        <v>77</v>
      </c>
      <c r="B105">
        <v>305.45</v>
      </c>
      <c r="C105">
        <v>41.13</v>
      </c>
      <c r="D105">
        <v>52.4</v>
      </c>
      <c r="E105">
        <v>321.95</v>
      </c>
      <c r="F105">
        <v>342.22</v>
      </c>
    </row>
    <row r="106" spans="1:6" x14ac:dyDescent="0.25">
      <c r="A106" t="s">
        <v>78</v>
      </c>
      <c r="B106">
        <v>-6.5</v>
      </c>
      <c r="C106">
        <v>-10.220000000000001</v>
      </c>
      <c r="D106">
        <v>-7.82</v>
      </c>
      <c r="E106">
        <v>-37.729999999999997</v>
      </c>
      <c r="F106">
        <v>61.64</v>
      </c>
    </row>
    <row r="107" spans="1:6" x14ac:dyDescent="0.25">
      <c r="A107" t="s">
        <v>79</v>
      </c>
      <c r="B107">
        <v>214.34</v>
      </c>
      <c r="C107">
        <v>201.68</v>
      </c>
      <c r="D107">
        <v>173.29</v>
      </c>
      <c r="E107">
        <v>133.84</v>
      </c>
      <c r="F107">
        <v>115.23</v>
      </c>
    </row>
    <row r="108" spans="1:6" x14ac:dyDescent="0.25">
      <c r="A108" t="s">
        <v>80</v>
      </c>
      <c r="B108">
        <v>11.19</v>
      </c>
      <c r="C108">
        <v>6.11</v>
      </c>
      <c r="D108">
        <v>6.07</v>
      </c>
      <c r="E108">
        <v>5.48</v>
      </c>
      <c r="F108">
        <v>5.32</v>
      </c>
    </row>
    <row r="109" spans="1:6" x14ac:dyDescent="0.25">
      <c r="A109" t="s">
        <v>81</v>
      </c>
      <c r="B109">
        <v>0</v>
      </c>
      <c r="C109">
        <v>7.64</v>
      </c>
      <c r="D109">
        <v>13.88</v>
      </c>
      <c r="E109">
        <v>0</v>
      </c>
      <c r="F109">
        <v>0</v>
      </c>
    </row>
    <row r="110" spans="1:6" x14ac:dyDescent="0.25">
      <c r="A110" t="s">
        <v>82</v>
      </c>
      <c r="B110">
        <v>52.88</v>
      </c>
      <c r="C110">
        <v>47.66</v>
      </c>
      <c r="D110">
        <v>47.88</v>
      </c>
      <c r="E110">
        <v>49.78</v>
      </c>
      <c r="F110">
        <v>64.959999999999994</v>
      </c>
    </row>
    <row r="111" spans="1:6" x14ac:dyDescent="0.25">
      <c r="A111" t="s">
        <v>83</v>
      </c>
      <c r="B111">
        <v>1297.4000000000001</v>
      </c>
      <c r="C111">
        <v>1321.24</v>
      </c>
      <c r="D111">
        <v>1100.32</v>
      </c>
      <c r="E111">
        <v>966.96</v>
      </c>
      <c r="F111">
        <v>763.39</v>
      </c>
    </row>
    <row r="112" spans="1:6" x14ac:dyDescent="0.25">
      <c r="A112" t="s">
        <v>84</v>
      </c>
      <c r="B112">
        <v>3135.1</v>
      </c>
      <c r="C112">
        <v>2743.63</v>
      </c>
      <c r="D112">
        <v>2452.23</v>
      </c>
      <c r="E112">
        <v>2392.86</v>
      </c>
      <c r="F112">
        <v>1897.59</v>
      </c>
    </row>
    <row r="113" spans="1:6" x14ac:dyDescent="0.25">
      <c r="B113">
        <v>44713</v>
      </c>
      <c r="C113">
        <v>44348</v>
      </c>
      <c r="D113">
        <v>43983</v>
      </c>
      <c r="E113">
        <v>43617</v>
      </c>
      <c r="F113">
        <v>43252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790.14</v>
      </c>
      <c r="C117">
        <v>869.89</v>
      </c>
      <c r="D117">
        <v>593.87</v>
      </c>
      <c r="E117">
        <v>607.33000000000004</v>
      </c>
      <c r="F117">
        <v>581.77</v>
      </c>
    </row>
    <row r="118" spans="1:6" x14ac:dyDescent="0.25">
      <c r="A118" t="s">
        <v>87</v>
      </c>
      <c r="B118">
        <v>790.14</v>
      </c>
      <c r="C118">
        <v>869.89</v>
      </c>
      <c r="D118">
        <v>593.87</v>
      </c>
      <c r="E118">
        <v>607.33000000000004</v>
      </c>
      <c r="F118">
        <v>581.77</v>
      </c>
    </row>
    <row r="119" spans="1:6" ht="24" customHeight="1" x14ac:dyDescent="0.25">
      <c r="A119" t="s">
        <v>88</v>
      </c>
    </row>
    <row r="120" spans="1:6" x14ac:dyDescent="0.25">
      <c r="A120" t="s">
        <v>89</v>
      </c>
      <c r="B120">
        <v>219.5</v>
      </c>
      <c r="C120">
        <v>228.73</v>
      </c>
      <c r="D120">
        <v>156.69999999999999</v>
      </c>
      <c r="E120">
        <v>221.85</v>
      </c>
      <c r="F120">
        <v>206.46</v>
      </c>
    </row>
    <row r="121" spans="1:6" x14ac:dyDescent="0.25">
      <c r="A121" t="s">
        <v>90</v>
      </c>
      <c r="B121">
        <v>-12.82</v>
      </c>
      <c r="C121">
        <v>-8.89</v>
      </c>
      <c r="D121">
        <v>7.75</v>
      </c>
      <c r="E121">
        <v>-10.19</v>
      </c>
      <c r="F121">
        <v>6.85</v>
      </c>
    </row>
    <row r="122" spans="1:6" x14ac:dyDescent="0.25">
      <c r="A122" t="s">
        <v>112</v>
      </c>
      <c r="B122">
        <v>7.71</v>
      </c>
      <c r="C122">
        <v>-1.74</v>
      </c>
      <c r="D122">
        <v>-3.66</v>
      </c>
      <c r="E122">
        <v>-23.46</v>
      </c>
      <c r="F122">
        <v>-6.13</v>
      </c>
    </row>
    <row r="123" spans="1:6" x14ac:dyDescent="0.25">
      <c r="A123" t="s">
        <v>91</v>
      </c>
      <c r="B123">
        <v>214.39</v>
      </c>
      <c r="C123">
        <v>218.1</v>
      </c>
      <c r="D123">
        <v>160.79</v>
      </c>
      <c r="E123">
        <v>188.2</v>
      </c>
      <c r="F123">
        <v>207.18</v>
      </c>
    </row>
    <row r="124" spans="1:6" x14ac:dyDescent="0.25">
      <c r="A124" t="s">
        <v>92</v>
      </c>
      <c r="B124">
        <v>575.75</v>
      </c>
      <c r="C124">
        <v>651.79</v>
      </c>
      <c r="D124">
        <v>433.08</v>
      </c>
      <c r="E124">
        <v>419.13</v>
      </c>
      <c r="F124">
        <v>374.59</v>
      </c>
    </row>
    <row r="125" spans="1:6" x14ac:dyDescent="0.25">
      <c r="A125" t="s">
        <v>93</v>
      </c>
      <c r="B125">
        <v>575.75</v>
      </c>
      <c r="C125">
        <v>651.79</v>
      </c>
      <c r="D125">
        <v>433.08</v>
      </c>
      <c r="E125">
        <v>419.13</v>
      </c>
      <c r="F125">
        <v>374.59</v>
      </c>
    </row>
    <row r="126" spans="1:6" x14ac:dyDescent="0.25">
      <c r="A126" t="s">
        <v>94</v>
      </c>
      <c r="B126">
        <v>575.75</v>
      </c>
      <c r="C126">
        <v>651.79</v>
      </c>
      <c r="D126">
        <v>433.08</v>
      </c>
      <c r="E126">
        <v>419.13</v>
      </c>
      <c r="F126">
        <v>374.59</v>
      </c>
    </row>
    <row r="127" spans="1:6" x14ac:dyDescent="0.25">
      <c r="B127">
        <v>44713</v>
      </c>
      <c r="C127">
        <v>44348</v>
      </c>
      <c r="D127">
        <v>43983</v>
      </c>
      <c r="E127">
        <v>43617</v>
      </c>
      <c r="F127">
        <v>43252</v>
      </c>
    </row>
    <row r="129" spans="1:6" x14ac:dyDescent="0.25">
      <c r="B129" t="s">
        <v>5</v>
      </c>
      <c r="C129" t="s">
        <v>5</v>
      </c>
      <c r="D129" t="s">
        <v>5</v>
      </c>
      <c r="E129" t="s">
        <v>5</v>
      </c>
      <c r="F129" t="s">
        <v>5</v>
      </c>
    </row>
    <row r="131" spans="1:6" ht="24" customHeight="1" x14ac:dyDescent="0.25">
      <c r="A131" t="s">
        <v>45</v>
      </c>
    </row>
    <row r="132" spans="1:6" ht="24" customHeight="1" x14ac:dyDescent="0.25">
      <c r="A132" t="s">
        <v>95</v>
      </c>
    </row>
    <row r="133" spans="1:6" x14ac:dyDescent="0.25">
      <c r="A133" t="s">
        <v>96</v>
      </c>
      <c r="B133">
        <v>177.37</v>
      </c>
      <c r="C133">
        <v>200.79</v>
      </c>
      <c r="D133">
        <v>133.41999999999999</v>
      </c>
      <c r="E133">
        <v>129.12</v>
      </c>
      <c r="F133">
        <v>115.4</v>
      </c>
    </row>
    <row r="134" spans="1:6" x14ac:dyDescent="0.25">
      <c r="A134" t="s">
        <v>97</v>
      </c>
      <c r="B134">
        <v>177.37</v>
      </c>
      <c r="C134">
        <v>200.79</v>
      </c>
      <c r="D134">
        <v>133.41999999999999</v>
      </c>
      <c r="E134">
        <v>129.12</v>
      </c>
      <c r="F134">
        <v>115.4</v>
      </c>
    </row>
    <row r="135" spans="1:6" ht="36" customHeight="1" x14ac:dyDescent="0.25">
      <c r="A135" t="s">
        <v>98</v>
      </c>
    </row>
    <row r="136" spans="1:6" ht="24" customHeight="1" x14ac:dyDescent="0.25">
      <c r="A136" t="s">
        <v>99</v>
      </c>
    </row>
    <row r="137" spans="1:6" ht="36" customHeight="1" x14ac:dyDescent="0.25">
      <c r="A137" t="s">
        <v>100</v>
      </c>
    </row>
    <row r="138" spans="1:6" x14ac:dyDescent="0.25">
      <c r="A138" t="s">
        <v>101</v>
      </c>
      <c r="B138">
        <v>568.05999999999995</v>
      </c>
      <c r="C138">
        <v>1103.67</v>
      </c>
      <c r="D138">
        <v>155.81</v>
      </c>
      <c r="E138">
        <v>259.68</v>
      </c>
      <c r="F138">
        <v>87.64</v>
      </c>
    </row>
    <row r="139" spans="1:6" x14ac:dyDescent="0.25">
      <c r="A139" t="s">
        <v>102</v>
      </c>
      <c r="B139">
        <v>0</v>
      </c>
      <c r="C139">
        <v>0</v>
      </c>
      <c r="D139">
        <v>32.03</v>
      </c>
      <c r="E139">
        <v>53.4</v>
      </c>
      <c r="F139">
        <v>17.84</v>
      </c>
    </row>
    <row r="140" spans="1:6" x14ac:dyDescent="0.25">
      <c r="A140" t="s">
        <v>103</v>
      </c>
      <c r="B140">
        <v>1600</v>
      </c>
      <c r="C140">
        <v>3150</v>
      </c>
      <c r="D140">
        <v>1050</v>
      </c>
      <c r="E140">
        <v>880</v>
      </c>
      <c r="F140">
        <v>400</v>
      </c>
    </row>
    <row r="144" spans="1:6" ht="15" customHeight="1" x14ac:dyDescent="0.25">
      <c r="A144" t="s">
        <v>65</v>
      </c>
    </row>
  </sheetData>
  <hyperlinks>
    <hyperlink ref="B1" r:id="rId1" display="javascript:void(0);" xr:uid="{159463D3-A86A-46B6-A724-744D6E6625B8}"/>
    <hyperlink ref="B90" r:id="rId2" display="javascript:void(0);" xr:uid="{5067BEC4-EB31-4FC2-BC06-6D576A02D312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5786-75B8-45D9-A4F6-C71E641366D0}">
  <sheetPr codeName="Sheet13"/>
  <dimension ref="A1:M144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135</v>
      </c>
      <c r="B1" t="s">
        <v>1</v>
      </c>
      <c r="H1" t="str">
        <f>A1</f>
        <v>Colgate Palmolive (India)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27.2</v>
      </c>
      <c r="J4">
        <f>VLOOKUP(H4,$A$1:F$161,J$2,0)</f>
        <v>27.2</v>
      </c>
      <c r="K4">
        <f>VLOOKUP(H4,$A$1:F$161,K$2,0)</f>
        <v>27.2</v>
      </c>
      <c r="L4">
        <f>VLOOKUP(H4,$A$1:F$161,L$2,0)</f>
        <v>27.2</v>
      </c>
      <c r="M4">
        <f>VLOOKUP(H4,$A$1:F$161,M$2,0)</f>
        <v>27.2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27.2</v>
      </c>
      <c r="J5">
        <f>VLOOKUP(H5,$A$1:F$161,J$2,0)</f>
        <v>27.2</v>
      </c>
      <c r="K5">
        <f>VLOOKUP(H5,$A$1:F$161,K$2,0)</f>
        <v>27.2</v>
      </c>
      <c r="L5">
        <f>VLOOKUP(H5,$A$1:F$161,L$2,0)</f>
        <v>27.2</v>
      </c>
      <c r="M5">
        <f>VLOOKUP(H5,$A$1:F$161,M$2,0)</f>
        <v>27.2</v>
      </c>
    </row>
    <row r="6" spans="1:13" x14ac:dyDescent="0.25">
      <c r="H6" t="s">
        <v>10</v>
      </c>
      <c r="I6">
        <f>VLOOKUP(H6,$A$1:F$161,I$2,0)</f>
        <v>1707.48</v>
      </c>
      <c r="J6">
        <f>VLOOKUP(H6,$A$1:F$161,J$2,0)</f>
        <v>1139.04</v>
      </c>
      <c r="K6">
        <f>VLOOKUP(H6,$A$1:F$161,K$2,0)</f>
        <v>1567.63</v>
      </c>
      <c r="L6">
        <f>VLOOKUP(H6,$A$1:F$161,L$2,0)</f>
        <v>1419.55</v>
      </c>
      <c r="M6">
        <f>VLOOKUP(H6,$A$1:F$161,M$2,0)</f>
        <v>1497.41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1707.48</v>
      </c>
      <c r="J7">
        <f>VLOOKUP(H7,$A$1:F$161,J$2,0)</f>
        <v>1139.04</v>
      </c>
      <c r="K7">
        <f>VLOOKUP(H7,$A$1:F$161,K$2,0)</f>
        <v>1567.63</v>
      </c>
      <c r="L7">
        <f>VLOOKUP(H7,$A$1:F$161,L$2,0)</f>
        <v>1419.55</v>
      </c>
      <c r="M7">
        <f>VLOOKUP(H7,$A$1:F$161,M$2,0)</f>
        <v>1497.41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1734.68</v>
      </c>
      <c r="J8">
        <f>VLOOKUP(H8,$A$1:F$161,J$2,0)</f>
        <v>1165.8599999999999</v>
      </c>
      <c r="K8">
        <f>VLOOKUP(H8,$A$1:F$161,K$2,0)</f>
        <v>1594.16</v>
      </c>
      <c r="L8">
        <f>VLOOKUP(H8,$A$1:F$161,L$2,0)</f>
        <v>1446.75</v>
      </c>
      <c r="M8">
        <f>VLOOKUP(H8,$A$1:F$161,M$2,0)</f>
        <v>1524.61</v>
      </c>
    </row>
    <row r="9" spans="1:13" x14ac:dyDescent="0.25">
      <c r="A9" t="s">
        <v>8</v>
      </c>
      <c r="B9">
        <v>27.2</v>
      </c>
      <c r="C9">
        <v>27.2</v>
      </c>
      <c r="D9">
        <v>27.2</v>
      </c>
      <c r="E9">
        <v>27.2</v>
      </c>
      <c r="F9">
        <v>27.2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77.709999999999994</v>
      </c>
      <c r="M9">
        <f>VLOOKUP(H9,$A$1:F$161,M$2,0)</f>
        <v>0</v>
      </c>
    </row>
    <row r="10" spans="1:13" x14ac:dyDescent="0.25">
      <c r="A10" t="s">
        <v>9</v>
      </c>
      <c r="B10">
        <v>27.2</v>
      </c>
      <c r="C10">
        <v>27.2</v>
      </c>
      <c r="D10">
        <v>27.2</v>
      </c>
      <c r="E10">
        <v>27.2</v>
      </c>
      <c r="F10">
        <v>27.2</v>
      </c>
      <c r="H10" t="s">
        <v>16</v>
      </c>
      <c r="I10">
        <f>VLOOKUP(H10,$A$1:F$161,I$2,0)</f>
        <v>70.7</v>
      </c>
      <c r="J10">
        <f>VLOOKUP(H10,$A$1:F$161,J$2,0)</f>
        <v>79.069999999999993</v>
      </c>
      <c r="K10">
        <f>VLOOKUP(H10,$A$1:F$161,K$2,0)</f>
        <v>85.64</v>
      </c>
      <c r="L10">
        <f>VLOOKUP(H10,$A$1:F$161,L$2,0)</f>
        <v>1.68</v>
      </c>
      <c r="M10">
        <f>VLOOKUP(H10,$A$1:F$161,M$2,0)</f>
        <v>1.84</v>
      </c>
    </row>
    <row r="11" spans="1:13" x14ac:dyDescent="0.25">
      <c r="A11" t="s">
        <v>10</v>
      </c>
      <c r="B11">
        <v>1707.48</v>
      </c>
      <c r="C11">
        <v>1139.04</v>
      </c>
      <c r="D11">
        <v>1567.63</v>
      </c>
      <c r="E11">
        <v>1419.55</v>
      </c>
      <c r="F11">
        <v>1497.41</v>
      </c>
      <c r="H11" t="s">
        <v>17</v>
      </c>
      <c r="I11">
        <f>VLOOKUP(H11,$A$1:F$161,I$2,0)</f>
        <v>13.98</v>
      </c>
      <c r="J11">
        <f>VLOOKUP(H11,$A$1:F$161,J$2,0)</f>
        <v>31.13</v>
      </c>
      <c r="K11">
        <f>VLOOKUP(H11,$A$1:F$161,K$2,0)</f>
        <v>48.83</v>
      </c>
      <c r="L11">
        <f>VLOOKUP(H11,$A$1:F$161,L$2,0)</f>
        <v>18.37</v>
      </c>
      <c r="M11">
        <f>VLOOKUP(H11,$A$1:F$161,M$2,0)</f>
        <v>19.100000000000001</v>
      </c>
    </row>
    <row r="12" spans="1:13" x14ac:dyDescent="0.25">
      <c r="A12" t="s">
        <v>11</v>
      </c>
      <c r="B12">
        <v>1707.48</v>
      </c>
      <c r="C12">
        <v>1139.04</v>
      </c>
      <c r="D12">
        <v>1567.63</v>
      </c>
      <c r="E12">
        <v>1419.55</v>
      </c>
      <c r="F12">
        <v>1497.41</v>
      </c>
      <c r="H12" t="s">
        <v>18</v>
      </c>
      <c r="I12">
        <f>VLOOKUP(H12,$A$1:F$161,I$2,0)</f>
        <v>84.68</v>
      </c>
      <c r="J12">
        <f>VLOOKUP(H12,$A$1:F$161,J$2,0)</f>
        <v>110.2</v>
      </c>
      <c r="K12">
        <f>VLOOKUP(H12,$A$1:F$161,K$2,0)</f>
        <v>139.51</v>
      </c>
      <c r="L12">
        <f>VLOOKUP(H12,$A$1:F$161,L$2,0)</f>
        <v>128.63</v>
      </c>
      <c r="M12">
        <f>VLOOKUP(H12,$A$1:F$161,M$2,0)</f>
        <v>56.46</v>
      </c>
    </row>
    <row r="13" spans="1:13" x14ac:dyDescent="0.25">
      <c r="A13" t="s">
        <v>118</v>
      </c>
      <c r="B13">
        <v>0</v>
      </c>
      <c r="C13">
        <v>-0.38</v>
      </c>
      <c r="D13">
        <v>-0.67</v>
      </c>
      <c r="E13">
        <v>0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1734.68</v>
      </c>
      <c r="C14">
        <v>1165.8599999999999</v>
      </c>
      <c r="D14">
        <v>1594.16</v>
      </c>
      <c r="E14">
        <v>1446.75</v>
      </c>
      <c r="F14">
        <v>1524.61</v>
      </c>
      <c r="H14" t="s">
        <v>21</v>
      </c>
      <c r="I14">
        <f>VLOOKUP(H14,$A$1:F$161,I$2,0)</f>
        <v>771.39</v>
      </c>
      <c r="J14">
        <f>VLOOKUP(H14,$A$1:F$161,J$2,0)</f>
        <v>760.44</v>
      </c>
      <c r="K14">
        <f>VLOOKUP(H14,$A$1:F$161,K$2,0)</f>
        <v>612.51</v>
      </c>
      <c r="L14">
        <f>VLOOKUP(H14,$A$1:F$161,L$2,0)</f>
        <v>613.17999999999995</v>
      </c>
      <c r="M14">
        <f>VLOOKUP(H14,$A$1:F$161,M$2,0)</f>
        <v>614.47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227.06</v>
      </c>
      <c r="J15">
        <f>VLOOKUP(H15,$A$1:F$161,J$2,0)</f>
        <v>776.46</v>
      </c>
      <c r="K15">
        <f>VLOOKUP(H15,$A$1:F$161,K$2,0)</f>
        <v>197.31</v>
      </c>
      <c r="L15">
        <f>VLOOKUP(H15,$A$1:F$161,L$2,0)</f>
        <v>374.04</v>
      </c>
      <c r="M15">
        <f>VLOOKUP(H15,$A$1:F$161,M$2,0)</f>
        <v>307.97000000000003</v>
      </c>
    </row>
    <row r="16" spans="1:13" x14ac:dyDescent="0.25">
      <c r="A16" t="s">
        <v>14</v>
      </c>
      <c r="B16">
        <v>0</v>
      </c>
      <c r="C16">
        <v>0</v>
      </c>
      <c r="D16">
        <v>0</v>
      </c>
      <c r="E16">
        <v>77.709999999999994</v>
      </c>
      <c r="F16">
        <v>0</v>
      </c>
      <c r="H16" t="s">
        <v>23</v>
      </c>
      <c r="I16">
        <f>VLOOKUP(H16,$A$1:F$161,I$2,0)</f>
        <v>84.02</v>
      </c>
      <c r="J16">
        <f>VLOOKUP(H16,$A$1:F$161,J$2,0)</f>
        <v>81.05</v>
      </c>
      <c r="K16">
        <f>VLOOKUP(H16,$A$1:F$161,K$2,0)</f>
        <v>60.48</v>
      </c>
      <c r="L16">
        <f>VLOOKUP(H16,$A$1:F$161,L$2,0)</f>
        <v>63.88</v>
      </c>
      <c r="M16">
        <f>VLOOKUP(H16,$A$1:F$161,M$2,0)</f>
        <v>60.35</v>
      </c>
    </row>
    <row r="17" spans="1:13" x14ac:dyDescent="0.25">
      <c r="A17" t="s">
        <v>15</v>
      </c>
      <c r="B17">
        <v>0</v>
      </c>
      <c r="C17">
        <v>0</v>
      </c>
      <c r="D17">
        <v>5.04</v>
      </c>
      <c r="E17">
        <v>30.87</v>
      </c>
      <c r="F17">
        <v>35.520000000000003</v>
      </c>
      <c r="H17" t="s">
        <v>24</v>
      </c>
      <c r="I17">
        <f>VLOOKUP(H17,$A$1:F$161,I$2,0)</f>
        <v>1082.47</v>
      </c>
      <c r="J17">
        <f>VLOOKUP(H17,$A$1:F$161,J$2,0)</f>
        <v>1617.95</v>
      </c>
      <c r="K17">
        <f>VLOOKUP(H17,$A$1:F$161,K$2,0)</f>
        <v>870.3</v>
      </c>
      <c r="L17">
        <f>VLOOKUP(H17,$A$1:F$161,L$2,0)</f>
        <v>1051.0999999999999</v>
      </c>
      <c r="M17">
        <f>VLOOKUP(H17,$A$1:F$161,M$2,0)</f>
        <v>982.79</v>
      </c>
    </row>
    <row r="18" spans="1:13" x14ac:dyDescent="0.25">
      <c r="A18" t="s">
        <v>16</v>
      </c>
      <c r="B18">
        <v>70.7</v>
      </c>
      <c r="C18">
        <v>79.069999999999993</v>
      </c>
      <c r="D18">
        <v>85.64</v>
      </c>
      <c r="E18">
        <v>1.68</v>
      </c>
      <c r="F18">
        <v>1.84</v>
      </c>
      <c r="H18" t="s">
        <v>25</v>
      </c>
      <c r="I18">
        <f>VLOOKUP(H18,$A$1:F$161,I$2,0)</f>
        <v>2901.83</v>
      </c>
      <c r="J18">
        <f>VLOOKUP(H18,$A$1:F$161,J$2,0)</f>
        <v>2894.01</v>
      </c>
      <c r="K18">
        <f>VLOOKUP(H18,$A$1:F$161,K$2,0)</f>
        <v>2603.9699999999998</v>
      </c>
      <c r="L18">
        <f>VLOOKUP(H18,$A$1:F$161,L$2,0)</f>
        <v>2626.48</v>
      </c>
      <c r="M18">
        <f>VLOOKUP(H18,$A$1:F$161,M$2,0)</f>
        <v>2563.86</v>
      </c>
    </row>
    <row r="19" spans="1:13" x14ac:dyDescent="0.25">
      <c r="A19" t="s">
        <v>17</v>
      </c>
      <c r="B19">
        <v>13.98</v>
      </c>
      <c r="C19">
        <v>31.13</v>
      </c>
      <c r="D19">
        <v>48.83</v>
      </c>
      <c r="E19">
        <v>18.37</v>
      </c>
      <c r="F19">
        <v>19.100000000000001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18</v>
      </c>
      <c r="B20">
        <v>84.68</v>
      </c>
      <c r="C20">
        <v>110.2</v>
      </c>
      <c r="D20">
        <v>139.51</v>
      </c>
      <c r="E20">
        <v>128.63</v>
      </c>
      <c r="F20">
        <v>56.46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ht="15" customHeight="1" x14ac:dyDescent="0.25">
      <c r="A21" t="s">
        <v>19</v>
      </c>
      <c r="H21" t="s">
        <v>28</v>
      </c>
      <c r="I21">
        <f>VLOOKUP(H21,$A$1:F$161,I$2,0)</f>
        <v>962.97</v>
      </c>
      <c r="J21">
        <f>VLOOKUP(H21,$A$1:F$161,J$2,0)</f>
        <v>1064.72</v>
      </c>
      <c r="K21">
        <f>VLOOKUP(H21,$A$1:F$161,K$2,0)</f>
        <v>1122.8599999999999</v>
      </c>
      <c r="L21">
        <f>VLOOKUP(H21,$A$1:F$161,L$2,0)</f>
        <v>1190.8499999999999</v>
      </c>
      <c r="M21">
        <f>VLOOKUP(H21,$A$1:F$161,M$2,0)</f>
        <v>1145.9100000000001</v>
      </c>
    </row>
    <row r="22" spans="1:13" x14ac:dyDescent="0.25">
      <c r="A22" t="s">
        <v>21</v>
      </c>
      <c r="B22">
        <v>771.39</v>
      </c>
      <c r="C22">
        <v>760.44</v>
      </c>
      <c r="D22">
        <v>612.51</v>
      </c>
      <c r="E22">
        <v>613.17999999999995</v>
      </c>
      <c r="F22">
        <v>614.47</v>
      </c>
      <c r="H22" t="s">
        <v>29</v>
      </c>
      <c r="I22">
        <f>VLOOKUP(H22,$A$1:F$161,I$2,0)</f>
        <v>121.84</v>
      </c>
      <c r="J22">
        <f>VLOOKUP(H22,$A$1:F$161,J$2,0)</f>
        <v>144.85</v>
      </c>
      <c r="K22">
        <f>VLOOKUP(H22,$A$1:F$161,K$2,0)</f>
        <v>190.03</v>
      </c>
      <c r="L22">
        <f>VLOOKUP(H22,$A$1:F$161,L$2,0)</f>
        <v>198.7</v>
      </c>
      <c r="M22">
        <f>VLOOKUP(H22,$A$1:F$161,M$2,0)</f>
        <v>158.58000000000001</v>
      </c>
    </row>
    <row r="23" spans="1:13" x14ac:dyDescent="0.25">
      <c r="A23" t="s">
        <v>22</v>
      </c>
      <c r="B23">
        <v>227.06</v>
      </c>
      <c r="C23">
        <v>776.46</v>
      </c>
      <c r="D23">
        <v>197.31</v>
      </c>
      <c r="E23">
        <v>374.04</v>
      </c>
      <c r="F23">
        <v>307.97000000000003</v>
      </c>
      <c r="H23" t="s">
        <v>30</v>
      </c>
      <c r="I23">
        <f>VLOOKUP(H23,$A$1:F$161,I$2,0)</f>
        <v>1084.82</v>
      </c>
      <c r="J23">
        <f>VLOOKUP(H23,$A$1:F$161,J$2,0)</f>
        <v>1209.57</v>
      </c>
      <c r="K23">
        <f>VLOOKUP(H23,$A$1:F$161,K$2,0)</f>
        <v>1312.89</v>
      </c>
      <c r="L23">
        <f>VLOOKUP(H23,$A$1:F$161,L$2,0)</f>
        <v>1389.55</v>
      </c>
      <c r="M23">
        <f>VLOOKUP(H23,$A$1:F$161,M$2,0)</f>
        <v>1304.49</v>
      </c>
    </row>
    <row r="24" spans="1:13" x14ac:dyDescent="0.25">
      <c r="A24" t="s">
        <v>23</v>
      </c>
      <c r="B24">
        <v>84.02</v>
      </c>
      <c r="C24">
        <v>81.05</v>
      </c>
      <c r="D24">
        <v>60.48</v>
      </c>
      <c r="E24">
        <v>63.88</v>
      </c>
      <c r="F24">
        <v>60.35</v>
      </c>
      <c r="H24" t="s">
        <v>32</v>
      </c>
      <c r="I24">
        <f>VLOOKUP(H24,$A$1:F$161,I$2,0)</f>
        <v>17.3</v>
      </c>
      <c r="J24">
        <f>VLOOKUP(H24,$A$1:F$161,J$2,0)</f>
        <v>4.7699999999999996</v>
      </c>
      <c r="K24">
        <f>VLOOKUP(H24,$A$1:F$161,K$2,0)</f>
        <v>0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24</v>
      </c>
      <c r="B25">
        <v>1082.47</v>
      </c>
      <c r="C25">
        <v>1617.95</v>
      </c>
      <c r="D25">
        <v>870.3</v>
      </c>
      <c r="E25">
        <v>1051.0999999999999</v>
      </c>
      <c r="F25">
        <v>982.79</v>
      </c>
      <c r="H25" t="s">
        <v>33</v>
      </c>
      <c r="I25">
        <f>VLOOKUP(H25,$A$1:F$161,I$2,0)</f>
        <v>1.34</v>
      </c>
      <c r="J25">
        <f>VLOOKUP(H25,$A$1:F$161,J$2,0)</f>
        <v>1.4</v>
      </c>
      <c r="K25">
        <f>VLOOKUP(H25,$A$1:F$161,K$2,0)</f>
        <v>2.04</v>
      </c>
      <c r="L25">
        <f>VLOOKUP(H25,$A$1:F$161,L$2,0)</f>
        <v>2.7</v>
      </c>
      <c r="M25">
        <f>VLOOKUP(H25,$A$1:F$161,M$2,0)</f>
        <v>3.06</v>
      </c>
    </row>
    <row r="26" spans="1:13" x14ac:dyDescent="0.25">
      <c r="A26" t="s">
        <v>25</v>
      </c>
      <c r="B26">
        <v>2901.83</v>
      </c>
      <c r="C26">
        <v>2894.01</v>
      </c>
      <c r="D26">
        <v>2603.9699999999998</v>
      </c>
      <c r="E26">
        <v>2626.48</v>
      </c>
      <c r="F26">
        <v>2563.86</v>
      </c>
      <c r="H26" t="s">
        <v>34</v>
      </c>
      <c r="I26">
        <f>VLOOKUP(H26,$A$1:F$161,I$2,0)</f>
        <v>315.52</v>
      </c>
      <c r="J26">
        <f>VLOOKUP(H26,$A$1:F$161,J$2,0)</f>
        <v>287.08</v>
      </c>
      <c r="K26">
        <f>VLOOKUP(H26,$A$1:F$161,K$2,0)</f>
        <v>258.39</v>
      </c>
      <c r="L26">
        <f>VLOOKUP(H26,$A$1:F$161,L$2,0)</f>
        <v>192.92</v>
      </c>
      <c r="M26">
        <f>VLOOKUP(H26,$A$1:F$161,M$2,0)</f>
        <v>164.43</v>
      </c>
    </row>
    <row r="27" spans="1:13" x14ac:dyDescent="0.25">
      <c r="A27" t="s">
        <v>26</v>
      </c>
      <c r="H27" t="s">
        <v>35</v>
      </c>
      <c r="I27">
        <f>VLOOKUP(H27,$A$1:F$161,I$2,0)</f>
        <v>1418.97</v>
      </c>
      <c r="J27">
        <f>VLOOKUP(H27,$A$1:F$161,J$2,0)</f>
        <v>1521.43</v>
      </c>
      <c r="K27">
        <f>VLOOKUP(H27,$A$1:F$161,K$2,0)</f>
        <v>1591.94</v>
      </c>
      <c r="L27">
        <f>VLOOKUP(H27,$A$1:F$161,L$2,0)</f>
        <v>1616.32</v>
      </c>
      <c r="M27">
        <f>VLOOKUP(H27,$A$1:F$161,M$2,0)</f>
        <v>1503.14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962.97</v>
      </c>
      <c r="C29">
        <v>1064.72</v>
      </c>
      <c r="D29">
        <v>1122.8599999999999</v>
      </c>
      <c r="E29">
        <v>1190.8499999999999</v>
      </c>
      <c r="F29">
        <v>1145.9100000000001</v>
      </c>
      <c r="H29" t="s">
        <v>38</v>
      </c>
      <c r="I29">
        <f>VLOOKUP(H29,$A$1:F$161,I$2,0)</f>
        <v>357.19</v>
      </c>
      <c r="J29">
        <f>VLOOKUP(H29,$A$1:F$161,J$2,0)</f>
        <v>335.82</v>
      </c>
      <c r="K29">
        <f>VLOOKUP(H29,$A$1:F$161,K$2,0)</f>
        <v>296.92</v>
      </c>
      <c r="L29">
        <f>VLOOKUP(H29,$A$1:F$161,L$2,0)</f>
        <v>248.57</v>
      </c>
      <c r="M29">
        <f>VLOOKUP(H29,$A$1:F$161,M$2,0)</f>
        <v>226.71</v>
      </c>
    </row>
    <row r="30" spans="1:13" x14ac:dyDescent="0.25">
      <c r="A30" t="s">
        <v>29</v>
      </c>
      <c r="B30">
        <v>121.84</v>
      </c>
      <c r="C30">
        <v>144.85</v>
      </c>
      <c r="D30">
        <v>190.03</v>
      </c>
      <c r="E30">
        <v>198.7</v>
      </c>
      <c r="F30">
        <v>158.58000000000001</v>
      </c>
      <c r="H30" t="s">
        <v>39</v>
      </c>
      <c r="I30">
        <f>VLOOKUP(H30,$A$1:F$161,I$2,0)</f>
        <v>224.68</v>
      </c>
      <c r="J30">
        <f>VLOOKUP(H30,$A$1:F$161,J$2,0)</f>
        <v>117.08</v>
      </c>
      <c r="K30">
        <f>VLOOKUP(H30,$A$1:F$161,K$2,0)</f>
        <v>132.56</v>
      </c>
      <c r="L30">
        <f>VLOOKUP(H30,$A$1:F$161,L$2,0)</f>
        <v>209.79</v>
      </c>
      <c r="M30">
        <f>VLOOKUP(H30,$A$1:F$161,M$2,0)</f>
        <v>201.03</v>
      </c>
    </row>
    <row r="31" spans="1:13" x14ac:dyDescent="0.25">
      <c r="A31" t="s">
        <v>30</v>
      </c>
      <c r="B31">
        <v>1084.82</v>
      </c>
      <c r="C31">
        <v>1209.57</v>
      </c>
      <c r="D31">
        <v>1312.89</v>
      </c>
      <c r="E31">
        <v>1389.55</v>
      </c>
      <c r="F31">
        <v>1304.49</v>
      </c>
      <c r="H31" t="s">
        <v>40</v>
      </c>
      <c r="I31">
        <f>VLOOKUP(H31,$A$1:F$161,I$2,0)</f>
        <v>754.71</v>
      </c>
      <c r="J31">
        <f>VLOOKUP(H31,$A$1:F$161,J$2,0)</f>
        <v>867.64</v>
      </c>
      <c r="K31">
        <f>VLOOKUP(H31,$A$1:F$161,K$2,0)</f>
        <v>421.27</v>
      </c>
      <c r="L31">
        <f>VLOOKUP(H31,$A$1:F$161,L$2,0)</f>
        <v>399.35</v>
      </c>
      <c r="M31">
        <f>VLOOKUP(H31,$A$1:F$161,M$2,0)</f>
        <v>456.16</v>
      </c>
    </row>
    <row r="32" spans="1:13" x14ac:dyDescent="0.25">
      <c r="A32" t="s">
        <v>31</v>
      </c>
      <c r="B32">
        <v>0</v>
      </c>
      <c r="C32">
        <v>18.61</v>
      </c>
      <c r="D32">
        <v>18.62</v>
      </c>
      <c r="E32">
        <v>31.15</v>
      </c>
      <c r="F32">
        <v>31.16</v>
      </c>
      <c r="H32" t="s">
        <v>41</v>
      </c>
      <c r="I32">
        <f>VLOOKUP(H32,$A$1:F$161,I$2,0)</f>
        <v>107.32</v>
      </c>
      <c r="J32">
        <f>VLOOKUP(H32,$A$1:F$161,J$2,0)</f>
        <v>6.93</v>
      </c>
      <c r="K32">
        <f>VLOOKUP(H32,$A$1:F$161,K$2,0)</f>
        <v>113.48</v>
      </c>
      <c r="L32">
        <f>VLOOKUP(H32,$A$1:F$161,L$2,0)</f>
        <v>114.96</v>
      </c>
      <c r="M32">
        <f>VLOOKUP(H32,$A$1:F$161,M$2,0)</f>
        <v>90.58</v>
      </c>
    </row>
    <row r="33" spans="1:13" x14ac:dyDescent="0.25">
      <c r="A33" t="s">
        <v>32</v>
      </c>
      <c r="B33">
        <v>17.3</v>
      </c>
      <c r="C33">
        <v>4.7699999999999996</v>
      </c>
      <c r="D33">
        <v>0</v>
      </c>
      <c r="E33">
        <v>0</v>
      </c>
      <c r="F33">
        <v>0</v>
      </c>
      <c r="H33" t="s">
        <v>42</v>
      </c>
      <c r="I33">
        <f>VLOOKUP(H33,$A$1:F$161,I$2,0)</f>
        <v>38.96</v>
      </c>
      <c r="J33">
        <f>VLOOKUP(H33,$A$1:F$161,J$2,0)</f>
        <v>45.12</v>
      </c>
      <c r="K33">
        <f>VLOOKUP(H33,$A$1:F$161,K$2,0)</f>
        <v>47.8</v>
      </c>
      <c r="L33">
        <f>VLOOKUP(H33,$A$1:F$161,L$2,0)</f>
        <v>37.479999999999997</v>
      </c>
      <c r="M33">
        <f>VLOOKUP(H33,$A$1:F$161,M$2,0)</f>
        <v>86.24</v>
      </c>
    </row>
    <row r="34" spans="1:13" x14ac:dyDescent="0.25">
      <c r="A34" t="s">
        <v>33</v>
      </c>
      <c r="B34">
        <v>1.34</v>
      </c>
      <c r="C34">
        <v>1.4</v>
      </c>
      <c r="D34">
        <v>2.04</v>
      </c>
      <c r="E34">
        <v>2.7</v>
      </c>
      <c r="F34">
        <v>3.06</v>
      </c>
      <c r="H34" t="s">
        <v>43</v>
      </c>
      <c r="I34">
        <f>VLOOKUP(H34,$A$1:F$161,I$2,0)</f>
        <v>1482.86</v>
      </c>
      <c r="J34">
        <f>VLOOKUP(H34,$A$1:F$161,J$2,0)</f>
        <v>1372.58</v>
      </c>
      <c r="K34">
        <f>VLOOKUP(H34,$A$1:F$161,K$2,0)</f>
        <v>1012.03</v>
      </c>
      <c r="L34">
        <f>VLOOKUP(H34,$A$1:F$161,L$2,0)</f>
        <v>1010.16</v>
      </c>
      <c r="M34">
        <f>VLOOKUP(H34,$A$1:F$161,M$2,0)</f>
        <v>1060.72</v>
      </c>
    </row>
    <row r="35" spans="1:13" x14ac:dyDescent="0.25">
      <c r="A35" t="s">
        <v>34</v>
      </c>
      <c r="B35">
        <v>315.52</v>
      </c>
      <c r="C35">
        <v>287.08</v>
      </c>
      <c r="D35">
        <v>258.39</v>
      </c>
      <c r="E35">
        <v>192.92</v>
      </c>
      <c r="F35">
        <v>164.43</v>
      </c>
      <c r="H35" t="s">
        <v>44</v>
      </c>
      <c r="I35">
        <f>VLOOKUP(H35,$A$1:F$161,I$2,0)</f>
        <v>2901.83</v>
      </c>
      <c r="J35">
        <f>VLOOKUP(H35,$A$1:F$161,J$2,0)</f>
        <v>2894.01</v>
      </c>
      <c r="K35">
        <f>VLOOKUP(H35,$A$1:F$161,K$2,0)</f>
        <v>2603.9699999999998</v>
      </c>
      <c r="L35">
        <f>VLOOKUP(H35,$A$1:F$161,L$2,0)</f>
        <v>2626.48</v>
      </c>
      <c r="M35">
        <f>VLOOKUP(H35,$A$1:F$161,M$2,0)</f>
        <v>2563.86</v>
      </c>
    </row>
    <row r="36" spans="1:13" x14ac:dyDescent="0.25">
      <c r="A36" t="s">
        <v>35</v>
      </c>
      <c r="B36">
        <v>1418.97</v>
      </c>
      <c r="C36">
        <v>1521.43</v>
      </c>
      <c r="D36">
        <v>1591.94</v>
      </c>
      <c r="E36">
        <v>1616.32</v>
      </c>
      <c r="F36">
        <v>1503.14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38</v>
      </c>
      <c r="B38">
        <v>357.19</v>
      </c>
      <c r="C38">
        <v>335.82</v>
      </c>
      <c r="D38">
        <v>296.92</v>
      </c>
      <c r="E38">
        <v>248.57</v>
      </c>
      <c r="F38">
        <v>226.71</v>
      </c>
      <c r="H38" t="s">
        <v>47</v>
      </c>
      <c r="I38">
        <f>VLOOKUP(H38,$A$1:F$161,I$2,0)</f>
        <v>1235.55</v>
      </c>
      <c r="J38">
        <f>VLOOKUP(H38,$A$1:F$161,J$2,0)</f>
        <v>910.05</v>
      </c>
      <c r="K38">
        <f>VLOOKUP(H38,$A$1:F$161,K$2,0)</f>
        <v>827.45</v>
      </c>
      <c r="L38">
        <f>VLOOKUP(H38,$A$1:F$161,L$2,0)</f>
        <v>607.89</v>
      </c>
      <c r="M38">
        <f>VLOOKUP(H38,$A$1:F$161,M$2,0)</f>
        <v>480.55</v>
      </c>
    </row>
    <row r="39" spans="1:13" x14ac:dyDescent="0.25">
      <c r="A39" t="s">
        <v>39</v>
      </c>
      <c r="B39">
        <v>224.68</v>
      </c>
      <c r="C39">
        <v>117.08</v>
      </c>
      <c r="D39">
        <v>132.56</v>
      </c>
      <c r="E39">
        <v>209.79</v>
      </c>
      <c r="F39">
        <v>201.03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40</v>
      </c>
      <c r="B40">
        <v>754.71</v>
      </c>
      <c r="C40">
        <v>867.64</v>
      </c>
      <c r="D40">
        <v>421.27</v>
      </c>
      <c r="E40">
        <v>399.35</v>
      </c>
      <c r="F40">
        <v>456.16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41</v>
      </c>
      <c r="B41">
        <v>107.32</v>
      </c>
      <c r="C41">
        <v>6.93</v>
      </c>
      <c r="D41">
        <v>113.48</v>
      </c>
      <c r="E41">
        <v>114.96</v>
      </c>
      <c r="F41">
        <v>90.58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42</v>
      </c>
      <c r="B42">
        <v>38.96</v>
      </c>
      <c r="C42">
        <v>45.12</v>
      </c>
      <c r="D42">
        <v>47.8</v>
      </c>
      <c r="E42">
        <v>37.479999999999997</v>
      </c>
      <c r="F42">
        <v>86.24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43</v>
      </c>
      <c r="B43">
        <v>1482.86</v>
      </c>
      <c r="C43">
        <v>1372.58</v>
      </c>
      <c r="D43">
        <v>1012.03</v>
      </c>
      <c r="E43">
        <v>1010.16</v>
      </c>
      <c r="F43">
        <v>1060.72</v>
      </c>
      <c r="H43" t="s">
        <v>68</v>
      </c>
      <c r="I43">
        <f>VLOOKUP(H43,$A$1:F$161,I$2,0)</f>
        <v>5066.46</v>
      </c>
      <c r="J43">
        <f>VLOOKUP(H43,$A$1:F$161,J$2,0)</f>
        <v>4810.4799999999996</v>
      </c>
      <c r="K43">
        <f>VLOOKUP(H43,$A$1:F$161,K$2,0)</f>
        <v>4487.57</v>
      </c>
      <c r="L43">
        <f>VLOOKUP(H43,$A$1:F$161,L$2,0)</f>
        <v>4432.4399999999996</v>
      </c>
      <c r="M43">
        <f>VLOOKUP(H43,$A$1:F$161,M$2,0)</f>
        <v>4299.8900000000003</v>
      </c>
    </row>
    <row r="44" spans="1:13" x14ac:dyDescent="0.25">
      <c r="A44" t="s">
        <v>44</v>
      </c>
      <c r="B44">
        <v>2901.83</v>
      </c>
      <c r="C44">
        <v>2894.01</v>
      </c>
      <c r="D44">
        <v>2603.9699999999998</v>
      </c>
      <c r="E44">
        <v>2626.48</v>
      </c>
      <c r="F44">
        <v>2563.86</v>
      </c>
      <c r="H44" t="s">
        <v>70</v>
      </c>
      <c r="I44">
        <f>VLOOKUP(H44,$A$1:F$161,I$2,0)</f>
        <v>5066.46</v>
      </c>
      <c r="J44">
        <f>VLOOKUP(H44,$A$1:F$161,J$2,0)</f>
        <v>4810.4799999999996</v>
      </c>
      <c r="K44">
        <f>VLOOKUP(H44,$A$1:F$161,K$2,0)</f>
        <v>4487.57</v>
      </c>
      <c r="L44">
        <f>VLOOKUP(H44,$A$1:F$161,L$2,0)</f>
        <v>4432.4399999999996</v>
      </c>
      <c r="M44">
        <f>VLOOKUP(H44,$A$1:F$161,M$2,0)</f>
        <v>4159.45</v>
      </c>
    </row>
    <row r="45" spans="1:13" ht="24" customHeight="1" x14ac:dyDescent="0.25">
      <c r="A45" t="s">
        <v>45</v>
      </c>
      <c r="H45" t="s">
        <v>71</v>
      </c>
      <c r="I45">
        <f>VLOOKUP(H45,$A$1:F$161,I$2,0)</f>
        <v>33.33</v>
      </c>
      <c r="J45">
        <f>VLOOKUP(H45,$A$1:F$161,J$2,0)</f>
        <v>30.74</v>
      </c>
      <c r="K45">
        <f>VLOOKUP(H45,$A$1:F$161,K$2,0)</f>
        <v>37.520000000000003</v>
      </c>
      <c r="L45">
        <f>VLOOKUP(H45,$A$1:F$161,L$2,0)</f>
        <v>29.99</v>
      </c>
      <c r="M45">
        <f>VLOOKUP(H45,$A$1:F$161,M$2,0)</f>
        <v>28.53</v>
      </c>
    </row>
    <row r="46" spans="1:13" ht="36" customHeight="1" x14ac:dyDescent="0.25">
      <c r="A46" t="s">
        <v>46</v>
      </c>
      <c r="H46" t="s">
        <v>72</v>
      </c>
      <c r="I46">
        <f>VLOOKUP(H46,$A$1:F$161,I$2,0)</f>
        <v>5099.78</v>
      </c>
      <c r="J46">
        <f>VLOOKUP(H46,$A$1:F$161,J$2,0)</f>
        <v>4841.22</v>
      </c>
      <c r="K46">
        <f>VLOOKUP(H46,$A$1:F$161,K$2,0)</f>
        <v>4525.08</v>
      </c>
      <c r="L46">
        <f>VLOOKUP(H46,$A$1:F$161,L$2,0)</f>
        <v>4462.43</v>
      </c>
      <c r="M46">
        <f>VLOOKUP(H46,$A$1:F$161,M$2,0)</f>
        <v>4187.9799999999996</v>
      </c>
    </row>
    <row r="47" spans="1:13" x14ac:dyDescent="0.25">
      <c r="A47" t="s">
        <v>47</v>
      </c>
      <c r="B47">
        <v>1235.55</v>
      </c>
      <c r="C47">
        <v>910.05</v>
      </c>
      <c r="D47">
        <v>827.45</v>
      </c>
      <c r="E47">
        <v>607.89</v>
      </c>
      <c r="F47">
        <v>480.55</v>
      </c>
      <c r="H47" t="s">
        <v>73</v>
      </c>
      <c r="I47">
        <f>VLOOKUP(H47,$A$1:F$161,I$2,0)</f>
        <v>26.26</v>
      </c>
      <c r="J47">
        <f>VLOOKUP(H47,$A$1:F$161,J$2,0)</f>
        <v>30.35</v>
      </c>
      <c r="K47">
        <f>VLOOKUP(H47,$A$1:F$161,K$2,0)</f>
        <v>49.24</v>
      </c>
      <c r="L47">
        <f>VLOOKUP(H47,$A$1:F$161,L$2,0)</f>
        <v>37.659999999999997</v>
      </c>
      <c r="M47">
        <f>VLOOKUP(H47,$A$1:F$161,M$2,0)</f>
        <v>38.82</v>
      </c>
    </row>
    <row r="48" spans="1:13" ht="24" customHeight="1" x14ac:dyDescent="0.25">
      <c r="A48" t="s">
        <v>48</v>
      </c>
      <c r="H48" t="s">
        <v>74</v>
      </c>
      <c r="I48">
        <f>VLOOKUP(H48,$A$1:F$161,I$2,0)</f>
        <v>5126.04</v>
      </c>
      <c r="J48">
        <f>VLOOKUP(H48,$A$1:F$161,J$2,0)</f>
        <v>4871.57</v>
      </c>
      <c r="K48">
        <f>VLOOKUP(H48,$A$1:F$161,K$2,0)</f>
        <v>4574.33</v>
      </c>
      <c r="L48">
        <f>VLOOKUP(H48,$A$1:F$161,L$2,0)</f>
        <v>4500.09</v>
      </c>
      <c r="M48">
        <f>VLOOKUP(H48,$A$1:F$161,M$2,0)</f>
        <v>4226.8</v>
      </c>
    </row>
    <row r="49" spans="1:13" ht="24" customHeight="1" x14ac:dyDescent="0.25">
      <c r="A49" t="s">
        <v>49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50</v>
      </c>
      <c r="B50">
        <v>735.61</v>
      </c>
      <c r="C50">
        <v>699.71</v>
      </c>
      <c r="D50">
        <v>696.25</v>
      </c>
      <c r="E50">
        <v>719.1</v>
      </c>
      <c r="F50">
        <v>337.35</v>
      </c>
      <c r="H50" t="s">
        <v>76</v>
      </c>
      <c r="I50">
        <f>VLOOKUP(H50,$A$1:F$161,I$2,0)</f>
        <v>1368.01</v>
      </c>
      <c r="J50">
        <f>VLOOKUP(H50,$A$1:F$161,J$2,0)</f>
        <v>1249.58</v>
      </c>
      <c r="K50">
        <f>VLOOKUP(H50,$A$1:F$161,K$2,0)</f>
        <v>1350.33</v>
      </c>
      <c r="L50">
        <f>VLOOKUP(H50,$A$1:F$161,L$2,0)</f>
        <v>1328.47</v>
      </c>
      <c r="M50">
        <f>VLOOKUP(H50,$A$1:F$161,M$2,0)</f>
        <v>1188.97</v>
      </c>
    </row>
    <row r="51" spans="1:13" ht="48" customHeight="1" x14ac:dyDescent="0.25">
      <c r="A51" t="s">
        <v>51</v>
      </c>
      <c r="H51" t="s">
        <v>77</v>
      </c>
      <c r="I51">
        <f>VLOOKUP(H51,$A$1:F$161,I$2,0)</f>
        <v>296.08</v>
      </c>
      <c r="J51">
        <f>VLOOKUP(H51,$A$1:F$161,J$2,0)</f>
        <v>323.58999999999997</v>
      </c>
      <c r="K51">
        <f>VLOOKUP(H51,$A$1:F$161,K$2,0)</f>
        <v>244.11</v>
      </c>
      <c r="L51">
        <f>VLOOKUP(H51,$A$1:F$161,L$2,0)</f>
        <v>254.58</v>
      </c>
      <c r="M51">
        <f>VLOOKUP(H51,$A$1:F$161,M$2,0)</f>
        <v>284.43</v>
      </c>
    </row>
    <row r="52" spans="1:13" x14ac:dyDescent="0.25">
      <c r="A52" t="s">
        <v>52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3.43</v>
      </c>
      <c r="J52">
        <f>VLOOKUP(H52,$A$1:F$161,J$2,0)</f>
        <v>-23.8</v>
      </c>
      <c r="K52">
        <f>VLOOKUP(H52,$A$1:F$161,K$2,0)</f>
        <v>-21.56</v>
      </c>
      <c r="L52">
        <f>VLOOKUP(H52,$A$1:F$161,L$2,0)</f>
        <v>-24.48</v>
      </c>
      <c r="M52">
        <f>VLOOKUP(H52,$A$1:F$161,M$2,0)</f>
        <v>16.68</v>
      </c>
    </row>
    <row r="53" spans="1:13" ht="24" customHeight="1" x14ac:dyDescent="0.25">
      <c r="A53" t="s">
        <v>54</v>
      </c>
      <c r="H53" t="s">
        <v>79</v>
      </c>
      <c r="I53">
        <f>VLOOKUP(H53,$A$1:F$161,I$2,0)</f>
        <v>385.13</v>
      </c>
      <c r="J53">
        <f>VLOOKUP(H53,$A$1:F$161,J$2,0)</f>
        <v>365.64</v>
      </c>
      <c r="K53">
        <f>VLOOKUP(H53,$A$1:F$161,K$2,0)</f>
        <v>332.28</v>
      </c>
      <c r="L53">
        <f>VLOOKUP(H53,$A$1:F$161,L$2,0)</f>
        <v>295.89999999999998</v>
      </c>
      <c r="M53">
        <f>VLOOKUP(H53,$A$1:F$161,M$2,0)</f>
        <v>305.93</v>
      </c>
    </row>
    <row r="54" spans="1:13" x14ac:dyDescent="0.25">
      <c r="A54" t="s">
        <v>55</v>
      </c>
      <c r="B54">
        <v>236.37</v>
      </c>
      <c r="C54">
        <v>180.53</v>
      </c>
      <c r="D54">
        <v>201.78</v>
      </c>
      <c r="E54">
        <v>200.72</v>
      </c>
      <c r="F54">
        <v>187.57</v>
      </c>
      <c r="H54" t="s">
        <v>80</v>
      </c>
      <c r="I54">
        <f>VLOOKUP(H54,$A$1:F$161,I$2,0)</f>
        <v>5.89</v>
      </c>
      <c r="J54">
        <f>VLOOKUP(H54,$A$1:F$161,J$2,0)</f>
        <v>7.26</v>
      </c>
      <c r="K54">
        <f>VLOOKUP(H54,$A$1:F$161,K$2,0)</f>
        <v>9.6199999999999992</v>
      </c>
      <c r="L54">
        <f>VLOOKUP(H54,$A$1:F$161,L$2,0)</f>
        <v>2.5</v>
      </c>
      <c r="M54">
        <f>VLOOKUP(H54,$A$1:F$161,M$2,0)</f>
        <v>0</v>
      </c>
    </row>
    <row r="55" spans="1:13" x14ac:dyDescent="0.25">
      <c r="A55" t="s">
        <v>56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15" customHeight="1" x14ac:dyDescent="0.25">
      <c r="A56" t="s">
        <v>57</v>
      </c>
      <c r="H56" t="s">
        <v>82</v>
      </c>
      <c r="I56">
        <f>VLOOKUP(H56,$A$1:F$161,I$2,0)</f>
        <v>177.3</v>
      </c>
      <c r="J56">
        <f>VLOOKUP(H56,$A$1:F$161,J$2,0)</f>
        <v>182.5</v>
      </c>
      <c r="K56">
        <f>VLOOKUP(H56,$A$1:F$161,K$2,0)</f>
        <v>197.94</v>
      </c>
      <c r="L56">
        <f>VLOOKUP(H56,$A$1:F$161,L$2,0)</f>
        <v>159.16999999999999</v>
      </c>
      <c r="M56">
        <f>VLOOKUP(H56,$A$1:F$161,M$2,0)</f>
        <v>156.51</v>
      </c>
    </row>
    <row r="57" spans="1:13" x14ac:dyDescent="0.25">
      <c r="A57" t="s">
        <v>58</v>
      </c>
      <c r="B57">
        <v>24.79</v>
      </c>
      <c r="C57">
        <v>24.79</v>
      </c>
      <c r="D57">
        <v>24.79</v>
      </c>
      <c r="E57">
        <v>24.79</v>
      </c>
      <c r="F57">
        <v>24.79</v>
      </c>
      <c r="H57" t="s">
        <v>83</v>
      </c>
      <c r="I57">
        <f>VLOOKUP(H57,$A$1:F$161,I$2,0)</f>
        <v>1481.19</v>
      </c>
      <c r="J57">
        <f>VLOOKUP(H57,$A$1:F$161,J$2,0)</f>
        <v>1416.58</v>
      </c>
      <c r="K57">
        <f>VLOOKUP(H57,$A$1:F$161,K$2,0)</f>
        <v>1418.25</v>
      </c>
      <c r="L57">
        <f>VLOOKUP(H57,$A$1:F$161,L$2,0)</f>
        <v>1371.89</v>
      </c>
      <c r="M57">
        <f>VLOOKUP(H57,$A$1:F$161,M$2,0)</f>
        <v>1279.5899999999999</v>
      </c>
    </row>
    <row r="58" spans="1:13" ht="24" customHeight="1" x14ac:dyDescent="0.25">
      <c r="A58" t="s">
        <v>59</v>
      </c>
      <c r="H58" t="s">
        <v>84</v>
      </c>
      <c r="I58">
        <f>VLOOKUP(H58,$A$1:F$161,I$2,0)</f>
        <v>3717.03</v>
      </c>
      <c r="J58">
        <f>VLOOKUP(H58,$A$1:F$161,J$2,0)</f>
        <v>3521.35</v>
      </c>
      <c r="K58">
        <f>VLOOKUP(H58,$A$1:F$161,K$2,0)</f>
        <v>3530.97</v>
      </c>
      <c r="L58">
        <f>VLOOKUP(H58,$A$1:F$161,L$2,0)</f>
        <v>3388.04</v>
      </c>
      <c r="M58">
        <f>VLOOKUP(H58,$A$1:F$161,M$2,0)</f>
        <v>3232.12</v>
      </c>
    </row>
    <row r="59" spans="1:13" x14ac:dyDescent="0.25">
      <c r="A59" t="s">
        <v>60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1409.01</v>
      </c>
      <c r="J59">
        <f>VLOOKUP(H59,$A$1:F$161,J$2,0)</f>
        <v>1350.22</v>
      </c>
      <c r="K59">
        <f>VLOOKUP(H59,$A$1:F$161,K$2,0)</f>
        <v>1043.3599999999999</v>
      </c>
      <c r="L59">
        <f>VLOOKUP(H59,$A$1:F$161,L$2,0)</f>
        <v>1112.05</v>
      </c>
      <c r="M59">
        <f>VLOOKUP(H59,$A$1:F$161,M$2,0)</f>
        <v>994.68</v>
      </c>
    </row>
    <row r="60" spans="1:13" x14ac:dyDescent="0.25">
      <c r="A60" t="s">
        <v>61</v>
      </c>
      <c r="B60" t="s">
        <v>53</v>
      </c>
      <c r="C60">
        <v>18.61</v>
      </c>
      <c r="D60">
        <v>18.62</v>
      </c>
      <c r="E60">
        <v>31.15</v>
      </c>
      <c r="F60">
        <v>31.16</v>
      </c>
      <c r="H60" t="s">
        <v>87</v>
      </c>
      <c r="I60">
        <f>VLOOKUP(H60,$A$1:F$161,I$2,0)</f>
        <v>1409.01</v>
      </c>
      <c r="J60">
        <f>VLOOKUP(H60,$A$1:F$161,J$2,0)</f>
        <v>1350.22</v>
      </c>
      <c r="K60">
        <f>VLOOKUP(H60,$A$1:F$161,K$2,0)</f>
        <v>1043.3599999999999</v>
      </c>
      <c r="L60">
        <f>VLOOKUP(H60,$A$1:F$161,L$2,0)</f>
        <v>1142.56</v>
      </c>
      <c r="M60">
        <f>VLOOKUP(H60,$A$1:F$161,M$2,0)</f>
        <v>983.03</v>
      </c>
    </row>
    <row r="61" spans="1:13" ht="24" customHeight="1" x14ac:dyDescent="0.25">
      <c r="A61" t="s">
        <v>62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63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344.79</v>
      </c>
      <c r="J62">
        <f>VLOOKUP(H62,$A$1:F$161,J$2,0)</f>
        <v>325.73</v>
      </c>
      <c r="K62">
        <f>VLOOKUP(H62,$A$1:F$161,K$2,0)</f>
        <v>247.5</v>
      </c>
      <c r="L62">
        <f>VLOOKUP(H62,$A$1:F$161,L$2,0)</f>
        <v>371.69</v>
      </c>
      <c r="M62">
        <f>VLOOKUP(H62,$A$1:F$161,M$2,0)</f>
        <v>302.19</v>
      </c>
    </row>
    <row r="63" spans="1:13" x14ac:dyDescent="0.25">
      <c r="A63" t="s">
        <v>64</v>
      </c>
      <c r="B63" t="s">
        <v>53</v>
      </c>
      <c r="C63" t="s">
        <v>53</v>
      </c>
      <c r="D63" t="s">
        <v>53</v>
      </c>
      <c r="E63" t="s">
        <v>53</v>
      </c>
      <c r="F63" t="s">
        <v>53</v>
      </c>
      <c r="H63" t="s">
        <v>90</v>
      </c>
      <c r="I63">
        <f>VLOOKUP(H63,$A$1:F$161,I$2,0)</f>
        <v>-14.1</v>
      </c>
      <c r="J63">
        <f>VLOOKUP(H63,$A$1:F$161,J$2,0)</f>
        <v>-10.9</v>
      </c>
      <c r="K63">
        <f>VLOOKUP(H63,$A$1:F$161,K$2,0)</f>
        <v>-20.61</v>
      </c>
      <c r="L63">
        <f>VLOOKUP(H63,$A$1:F$161,L$2,0)</f>
        <v>-4.7</v>
      </c>
      <c r="M63">
        <f>VLOOKUP(H63,$A$1:F$161,M$2,0)</f>
        <v>7.47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>
        <f>VLOOKUP(H65,$A$1:F$161,I$2,0)</f>
        <v>330.69</v>
      </c>
      <c r="J65">
        <f>VLOOKUP(H65,$A$1:F$161,J$2,0)</f>
        <v>314.83</v>
      </c>
      <c r="K65">
        <f>VLOOKUP(H65,$A$1:F$161,K$2,0)</f>
        <v>226.89</v>
      </c>
      <c r="L65">
        <f>VLOOKUP(H65,$A$1:F$161,L$2,0)</f>
        <v>366.99</v>
      </c>
      <c r="M65">
        <f>VLOOKUP(H65,$A$1:F$161,M$2,0)</f>
        <v>309.66000000000003</v>
      </c>
    </row>
    <row r="66" spans="1:13" x14ac:dyDescent="0.25">
      <c r="H66" t="s">
        <v>92</v>
      </c>
      <c r="I66">
        <f>VLOOKUP(H66,$A$1:F$161,I$2,0)</f>
        <v>1078.32</v>
      </c>
      <c r="J66">
        <f>VLOOKUP(H66,$A$1:F$161,J$2,0)</f>
        <v>1035.3900000000001</v>
      </c>
      <c r="K66">
        <f>VLOOKUP(H66,$A$1:F$161,K$2,0)</f>
        <v>816.47</v>
      </c>
      <c r="L66">
        <f>VLOOKUP(H66,$A$1:F$161,L$2,0)</f>
        <v>775.57</v>
      </c>
      <c r="M66">
        <f>VLOOKUP(H66,$A$1:F$161,M$2,0)</f>
        <v>673.37</v>
      </c>
    </row>
    <row r="67" spans="1:13" ht="15" customHeight="1" x14ac:dyDescent="0.25">
      <c r="A67" t="s">
        <v>65</v>
      </c>
      <c r="H67" t="s">
        <v>93</v>
      </c>
      <c r="I67">
        <f>VLOOKUP(H67,$A$1:F$161,I$2,0)</f>
        <v>1078.32</v>
      </c>
      <c r="J67">
        <f>VLOOKUP(H67,$A$1:F$161,J$2,0)</f>
        <v>1035.3900000000001</v>
      </c>
      <c r="K67">
        <f>VLOOKUP(H67,$A$1:F$161,K$2,0)</f>
        <v>816.47</v>
      </c>
      <c r="L67">
        <f>VLOOKUP(H67,$A$1:F$161,L$2,0)</f>
        <v>775.57</v>
      </c>
      <c r="M67">
        <f>VLOOKUP(H67,$A$1:F$161,M$2,0)</f>
        <v>673.37</v>
      </c>
    </row>
    <row r="68" spans="1:13" x14ac:dyDescent="0.25">
      <c r="H68" t="s">
        <v>94</v>
      </c>
      <c r="I68">
        <f>VLOOKUP(H68,$A$1:F$161,I$2,0)</f>
        <v>1078.32</v>
      </c>
      <c r="J68">
        <f>VLOOKUP(H68,$A$1:F$161,J$2,0)</f>
        <v>1035.3900000000001</v>
      </c>
      <c r="K68">
        <f>VLOOKUP(H68,$A$1:F$161,K$2,0)</f>
        <v>816.47</v>
      </c>
      <c r="L68">
        <f>VLOOKUP(H68,$A$1:F$161,L$2,0)</f>
        <v>775.57</v>
      </c>
      <c r="M68">
        <f>VLOOKUP(H68,$A$1:F$161,M$2,0)</f>
        <v>673.37</v>
      </c>
    </row>
    <row r="69" spans="1:13" x14ac:dyDescent="0.25">
      <c r="H69" t="s">
        <v>101</v>
      </c>
      <c r="I69">
        <f>VLOOKUP(H69,$A$1:F$161,I$2,0)</f>
        <v>516.77</v>
      </c>
      <c r="J69">
        <f>VLOOKUP(H69,$A$1:F$161,J$2,0)</f>
        <v>1468.72</v>
      </c>
      <c r="K69">
        <f>VLOOKUP(H69,$A$1:F$161,K$2,0)</f>
        <v>543.97</v>
      </c>
      <c r="L69">
        <f>VLOOKUP(H69,$A$1:F$161,L$2,0)</f>
        <v>707.16</v>
      </c>
      <c r="M69">
        <f>VLOOKUP(H69,$A$1:F$161,M$2,0)</f>
        <v>353.58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111.81</v>
      </c>
      <c r="L70">
        <f>VLOOKUP(H70,$A$1:F$161,L$2,0)</f>
        <v>145.36000000000001</v>
      </c>
      <c r="M70">
        <f>VLOOKUP(H70,$A$1:F$161,M$2,0)</f>
        <v>71.98</v>
      </c>
    </row>
    <row r="71" spans="1:13" x14ac:dyDescent="0.25">
      <c r="H71" t="s">
        <v>103</v>
      </c>
      <c r="I71">
        <f>VLOOKUP(H71,$A$1:F$161,I$2,0)</f>
        <v>4000</v>
      </c>
      <c r="J71">
        <f>VLOOKUP(H71,$A$1:F$161,J$2,0)</f>
        <v>3800</v>
      </c>
      <c r="K71">
        <f>VLOOKUP(H71,$A$1:F$161,K$2,0)</f>
        <v>2800</v>
      </c>
      <c r="L71">
        <f>VLOOKUP(H71,$A$1:F$161,L$2,0)</f>
        <v>2300</v>
      </c>
      <c r="M71">
        <f>VLOOKUP(H71,$A$1:F$161,M$2,0)</f>
        <v>2400</v>
      </c>
    </row>
    <row r="90" spans="1:6" x14ac:dyDescent="0.25">
      <c r="A90" t="s">
        <v>135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5066.46</v>
      </c>
      <c r="C97">
        <v>4810.4799999999996</v>
      </c>
      <c r="D97">
        <v>4487.57</v>
      </c>
      <c r="E97">
        <v>4432.4399999999996</v>
      </c>
      <c r="F97">
        <v>4299.8900000000003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140.44999999999999</v>
      </c>
    </row>
    <row r="99" spans="1:6" x14ac:dyDescent="0.25">
      <c r="A99" t="s">
        <v>70</v>
      </c>
      <c r="B99">
        <v>5066.46</v>
      </c>
      <c r="C99">
        <v>4810.4799999999996</v>
      </c>
      <c r="D99">
        <v>4487.57</v>
      </c>
      <c r="E99">
        <v>4432.4399999999996</v>
      </c>
      <c r="F99">
        <v>4159.45</v>
      </c>
    </row>
    <row r="100" spans="1:6" x14ac:dyDescent="0.25">
      <c r="A100" t="s">
        <v>71</v>
      </c>
      <c r="B100">
        <v>33.33</v>
      </c>
      <c r="C100">
        <v>30.74</v>
      </c>
      <c r="D100">
        <v>37.520000000000003</v>
      </c>
      <c r="E100">
        <v>29.99</v>
      </c>
      <c r="F100">
        <v>28.53</v>
      </c>
    </row>
    <row r="101" spans="1:6" x14ac:dyDescent="0.25">
      <c r="A101" t="s">
        <v>72</v>
      </c>
      <c r="B101">
        <v>5099.78</v>
      </c>
      <c r="C101">
        <v>4841.22</v>
      </c>
      <c r="D101">
        <v>4525.08</v>
      </c>
      <c r="E101">
        <v>4462.43</v>
      </c>
      <c r="F101">
        <v>4187.9799999999996</v>
      </c>
    </row>
    <row r="102" spans="1:6" x14ac:dyDescent="0.25">
      <c r="A102" t="s">
        <v>73</v>
      </c>
      <c r="B102">
        <v>26.26</v>
      </c>
      <c r="C102">
        <v>30.35</v>
      </c>
      <c r="D102">
        <v>49.24</v>
      </c>
      <c r="E102">
        <v>37.659999999999997</v>
      </c>
      <c r="F102">
        <v>38.82</v>
      </c>
    </row>
    <row r="103" spans="1:6" x14ac:dyDescent="0.25">
      <c r="A103" t="s">
        <v>74</v>
      </c>
      <c r="B103">
        <v>5126.04</v>
      </c>
      <c r="C103">
        <v>4871.57</v>
      </c>
      <c r="D103">
        <v>4574.33</v>
      </c>
      <c r="E103">
        <v>4500.09</v>
      </c>
      <c r="F103">
        <v>4226.8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1368.01</v>
      </c>
      <c r="C105">
        <v>1249.58</v>
      </c>
      <c r="D105">
        <v>1350.33</v>
      </c>
      <c r="E105">
        <v>1328.47</v>
      </c>
      <c r="F105">
        <v>1188.97</v>
      </c>
    </row>
    <row r="106" spans="1:6" x14ac:dyDescent="0.25">
      <c r="A106" t="s">
        <v>77</v>
      </c>
      <c r="B106">
        <v>296.08</v>
      </c>
      <c r="C106">
        <v>323.58999999999997</v>
      </c>
      <c r="D106">
        <v>244.11</v>
      </c>
      <c r="E106">
        <v>254.58</v>
      </c>
      <c r="F106">
        <v>284.43</v>
      </c>
    </row>
    <row r="107" spans="1:6" x14ac:dyDescent="0.25">
      <c r="A107" t="s">
        <v>78</v>
      </c>
      <c r="B107">
        <v>3.43</v>
      </c>
      <c r="C107">
        <v>-23.8</v>
      </c>
      <c r="D107">
        <v>-21.56</v>
      </c>
      <c r="E107">
        <v>-24.48</v>
      </c>
      <c r="F107">
        <v>16.68</v>
      </c>
    </row>
    <row r="108" spans="1:6" x14ac:dyDescent="0.25">
      <c r="A108" t="s">
        <v>79</v>
      </c>
      <c r="B108">
        <v>385.13</v>
      </c>
      <c r="C108">
        <v>365.64</v>
      </c>
      <c r="D108">
        <v>332.28</v>
      </c>
      <c r="E108">
        <v>295.89999999999998</v>
      </c>
      <c r="F108">
        <v>305.93</v>
      </c>
    </row>
    <row r="109" spans="1:6" x14ac:dyDescent="0.25">
      <c r="A109" t="s">
        <v>80</v>
      </c>
      <c r="B109">
        <v>5.89</v>
      </c>
      <c r="C109">
        <v>7.26</v>
      </c>
      <c r="D109">
        <v>9.6199999999999992</v>
      </c>
      <c r="E109">
        <v>2.5</v>
      </c>
      <c r="F109">
        <v>0</v>
      </c>
    </row>
    <row r="110" spans="1:6" x14ac:dyDescent="0.25">
      <c r="A110" t="s">
        <v>82</v>
      </c>
      <c r="B110">
        <v>177.3</v>
      </c>
      <c r="C110">
        <v>182.5</v>
      </c>
      <c r="D110">
        <v>197.94</v>
      </c>
      <c r="E110">
        <v>159.16999999999999</v>
      </c>
      <c r="F110">
        <v>156.51</v>
      </c>
    </row>
    <row r="111" spans="1:6" x14ac:dyDescent="0.25">
      <c r="A111" t="s">
        <v>83</v>
      </c>
      <c r="B111">
        <v>1481.19</v>
      </c>
      <c r="C111">
        <v>1416.58</v>
      </c>
      <c r="D111">
        <v>1418.25</v>
      </c>
      <c r="E111">
        <v>1371.89</v>
      </c>
      <c r="F111">
        <v>1279.5899999999999</v>
      </c>
    </row>
    <row r="112" spans="1:6" x14ac:dyDescent="0.25">
      <c r="A112" t="s">
        <v>84</v>
      </c>
      <c r="B112">
        <v>3717.03</v>
      </c>
      <c r="C112">
        <v>3521.35</v>
      </c>
      <c r="D112">
        <v>3530.97</v>
      </c>
      <c r="E112">
        <v>3388.04</v>
      </c>
      <c r="F112">
        <v>3232.12</v>
      </c>
    </row>
    <row r="113" spans="1:6" x14ac:dyDescent="0.25">
      <c r="B113">
        <v>44621</v>
      </c>
      <c r="C113">
        <v>44256</v>
      </c>
      <c r="D113">
        <v>43891</v>
      </c>
      <c r="E113">
        <v>43525</v>
      </c>
      <c r="F113">
        <v>43160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1409.01</v>
      </c>
      <c r="C117">
        <v>1350.22</v>
      </c>
      <c r="D117">
        <v>1043.3599999999999</v>
      </c>
      <c r="E117">
        <v>1112.05</v>
      </c>
      <c r="F117">
        <v>994.68</v>
      </c>
    </row>
    <row r="118" spans="1:6" x14ac:dyDescent="0.25">
      <c r="A118" t="s">
        <v>86</v>
      </c>
      <c r="B118">
        <v>0</v>
      </c>
      <c r="C118">
        <v>0</v>
      </c>
      <c r="D118">
        <v>0</v>
      </c>
      <c r="E118">
        <v>30.51</v>
      </c>
      <c r="F118">
        <v>-11.65</v>
      </c>
    </row>
    <row r="119" spans="1:6" x14ac:dyDescent="0.25">
      <c r="A119" t="s">
        <v>87</v>
      </c>
      <c r="B119">
        <v>1409.01</v>
      </c>
      <c r="C119">
        <v>1350.22</v>
      </c>
      <c r="D119">
        <v>1043.3599999999999</v>
      </c>
      <c r="E119">
        <v>1142.56</v>
      </c>
      <c r="F119">
        <v>983.03</v>
      </c>
    </row>
    <row r="120" spans="1:6" ht="24" customHeight="1" x14ac:dyDescent="0.25">
      <c r="A120" t="s">
        <v>88</v>
      </c>
    </row>
    <row r="121" spans="1:6" x14ac:dyDescent="0.25">
      <c r="A121" t="s">
        <v>89</v>
      </c>
      <c r="B121">
        <v>344.79</v>
      </c>
      <c r="C121">
        <v>325.73</v>
      </c>
      <c r="D121">
        <v>247.5</v>
      </c>
      <c r="E121">
        <v>371.69</v>
      </c>
      <c r="F121">
        <v>302.19</v>
      </c>
    </row>
    <row r="122" spans="1:6" x14ac:dyDescent="0.25">
      <c r="A122" t="s">
        <v>90</v>
      </c>
      <c r="B122">
        <v>-14.1</v>
      </c>
      <c r="C122">
        <v>-10.9</v>
      </c>
      <c r="D122">
        <v>-20.61</v>
      </c>
      <c r="E122">
        <v>-4.7</v>
      </c>
      <c r="F122">
        <v>7.47</v>
      </c>
    </row>
    <row r="123" spans="1:6" x14ac:dyDescent="0.25">
      <c r="A123" t="s">
        <v>91</v>
      </c>
      <c r="B123">
        <v>330.69</v>
      </c>
      <c r="C123">
        <v>314.83</v>
      </c>
      <c r="D123">
        <v>226.89</v>
      </c>
      <c r="E123">
        <v>366.99</v>
      </c>
      <c r="F123">
        <v>309.66000000000003</v>
      </c>
    </row>
    <row r="124" spans="1:6" x14ac:dyDescent="0.25">
      <c r="A124" t="s">
        <v>92</v>
      </c>
      <c r="B124">
        <v>1078.32</v>
      </c>
      <c r="C124">
        <v>1035.3900000000001</v>
      </c>
      <c r="D124">
        <v>816.47</v>
      </c>
      <c r="E124">
        <v>775.57</v>
      </c>
      <c r="F124">
        <v>673.37</v>
      </c>
    </row>
    <row r="125" spans="1:6" x14ac:dyDescent="0.25">
      <c r="A125" t="s">
        <v>93</v>
      </c>
      <c r="B125">
        <v>1078.32</v>
      </c>
      <c r="C125">
        <v>1035.3900000000001</v>
      </c>
      <c r="D125">
        <v>816.47</v>
      </c>
      <c r="E125">
        <v>775.57</v>
      </c>
      <c r="F125">
        <v>673.37</v>
      </c>
    </row>
    <row r="126" spans="1:6" x14ac:dyDescent="0.25">
      <c r="A126" t="s">
        <v>94</v>
      </c>
      <c r="B126">
        <v>1078.32</v>
      </c>
      <c r="C126">
        <v>1035.3900000000001</v>
      </c>
      <c r="D126">
        <v>816.47</v>
      </c>
      <c r="E126">
        <v>775.57</v>
      </c>
      <c r="F126">
        <v>673.37</v>
      </c>
    </row>
    <row r="127" spans="1:6" x14ac:dyDescent="0.25">
      <c r="B127">
        <v>44621</v>
      </c>
      <c r="C127">
        <v>44256</v>
      </c>
      <c r="D127">
        <v>43891</v>
      </c>
      <c r="E127">
        <v>43525</v>
      </c>
      <c r="F127">
        <v>43160</v>
      </c>
    </row>
    <row r="129" spans="1:6" x14ac:dyDescent="0.25">
      <c r="B129" t="s">
        <v>5</v>
      </c>
      <c r="C129" t="s">
        <v>5</v>
      </c>
      <c r="D129" t="s">
        <v>5</v>
      </c>
      <c r="E129" t="s">
        <v>5</v>
      </c>
      <c r="F129" t="s">
        <v>5</v>
      </c>
    </row>
    <row r="131" spans="1:6" ht="24" customHeight="1" x14ac:dyDescent="0.25">
      <c r="A131" t="s">
        <v>45</v>
      </c>
    </row>
    <row r="132" spans="1:6" ht="24" customHeight="1" x14ac:dyDescent="0.25">
      <c r="A132" t="s">
        <v>95</v>
      </c>
    </row>
    <row r="133" spans="1:6" x14ac:dyDescent="0.25">
      <c r="A133" t="s">
        <v>96</v>
      </c>
      <c r="B133">
        <v>39.65</v>
      </c>
      <c r="C133">
        <v>38.07</v>
      </c>
      <c r="D133">
        <v>30.02</v>
      </c>
      <c r="E133">
        <v>28.52</v>
      </c>
      <c r="F133">
        <v>24.76</v>
      </c>
    </row>
    <row r="134" spans="1:6" x14ac:dyDescent="0.25">
      <c r="A134" t="s">
        <v>97</v>
      </c>
      <c r="B134">
        <v>39.65</v>
      </c>
      <c r="C134">
        <v>38.07</v>
      </c>
      <c r="D134">
        <v>30.02</v>
      </c>
      <c r="E134">
        <v>28.52</v>
      </c>
      <c r="F134">
        <v>24.76</v>
      </c>
    </row>
    <row r="135" spans="1:6" ht="36" customHeight="1" x14ac:dyDescent="0.25">
      <c r="A135" t="s">
        <v>98</v>
      </c>
    </row>
    <row r="136" spans="1:6" ht="24" customHeight="1" x14ac:dyDescent="0.25">
      <c r="A136" t="s">
        <v>99</v>
      </c>
    </row>
    <row r="137" spans="1:6" ht="36" customHeight="1" x14ac:dyDescent="0.25">
      <c r="A137" t="s">
        <v>100</v>
      </c>
    </row>
    <row r="138" spans="1:6" x14ac:dyDescent="0.25">
      <c r="A138" t="s">
        <v>101</v>
      </c>
      <c r="B138">
        <v>516.77</v>
      </c>
      <c r="C138">
        <v>1468.72</v>
      </c>
      <c r="D138">
        <v>543.97</v>
      </c>
      <c r="E138">
        <v>707.16</v>
      </c>
      <c r="F138">
        <v>353.58</v>
      </c>
    </row>
    <row r="139" spans="1:6" x14ac:dyDescent="0.25">
      <c r="A139" t="s">
        <v>102</v>
      </c>
      <c r="B139">
        <v>0</v>
      </c>
      <c r="C139">
        <v>0</v>
      </c>
      <c r="D139">
        <v>111.81</v>
      </c>
      <c r="E139">
        <v>145.36000000000001</v>
      </c>
      <c r="F139">
        <v>71.98</v>
      </c>
    </row>
    <row r="140" spans="1:6" x14ac:dyDescent="0.25">
      <c r="A140" t="s">
        <v>103</v>
      </c>
      <c r="B140">
        <v>4000</v>
      </c>
      <c r="C140">
        <v>3800</v>
      </c>
      <c r="D140">
        <v>2800</v>
      </c>
      <c r="E140">
        <v>2300</v>
      </c>
      <c r="F140">
        <v>2400</v>
      </c>
    </row>
    <row r="144" spans="1:6" ht="15" customHeight="1" x14ac:dyDescent="0.25">
      <c r="A144" t="s">
        <v>65</v>
      </c>
    </row>
  </sheetData>
  <hyperlinks>
    <hyperlink ref="B1" r:id="rId1" display="javascript:void(0);" xr:uid="{5A06EE62-2BFB-48A8-B2B0-96DDEA4659EB}"/>
    <hyperlink ref="B90" r:id="rId2" display="javascript:void(0);" xr:uid="{9362665C-7B77-42F8-987F-8D38F698F2F7}"/>
  </hyperlinks>
  <pageMargins left="0.7" right="0.7" top="0.75" bottom="0.75" header="0.3" footer="0.3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9DFF-B0A8-4565-A6B3-5463EF3A4927}">
  <sheetPr codeName="Sheet14"/>
  <dimension ref="A1:M143"/>
  <sheetViews>
    <sheetView workbookViewId="0">
      <selection activeCell="A17" sqref="A17"/>
    </sheetView>
  </sheetViews>
  <sheetFormatPr defaultRowHeight="15" x14ac:dyDescent="0.25"/>
  <sheetData>
    <row r="1" spans="1:13" x14ac:dyDescent="0.25">
      <c r="A1" t="s">
        <v>136</v>
      </c>
      <c r="B1" t="s">
        <v>1</v>
      </c>
      <c r="H1" t="str">
        <f>A1</f>
        <v>Gillette India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32.590000000000003</v>
      </c>
      <c r="J4">
        <f>VLOOKUP(H4,$A$1:F$161,J$2,0)</f>
        <v>32.590000000000003</v>
      </c>
      <c r="K4">
        <f>VLOOKUP(H4,$A$1:F$161,K$2,0)</f>
        <v>32.590000000000003</v>
      </c>
      <c r="L4">
        <f>VLOOKUP(H4,$A$1:F$161,L$2,0)</f>
        <v>32.590000000000003</v>
      </c>
      <c r="M4">
        <f>VLOOKUP(H4,$A$1:F$161,M$2,0)</f>
        <v>32.590000000000003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32.590000000000003</v>
      </c>
      <c r="J5">
        <f>VLOOKUP(H5,$A$1:F$161,J$2,0)</f>
        <v>32.590000000000003</v>
      </c>
      <c r="K5">
        <f>VLOOKUP(H5,$A$1:F$161,K$2,0)</f>
        <v>32.590000000000003</v>
      </c>
      <c r="L5">
        <f>VLOOKUP(H5,$A$1:F$161,L$2,0)</f>
        <v>32.590000000000003</v>
      </c>
      <c r="M5">
        <f>VLOOKUP(H5,$A$1:F$161,M$2,0)</f>
        <v>32.590000000000003</v>
      </c>
    </row>
    <row r="6" spans="1:13" x14ac:dyDescent="0.25">
      <c r="H6" t="s">
        <v>10</v>
      </c>
      <c r="I6">
        <f>VLOOKUP(H6,$A$1:F$161,I$2,0)</f>
        <v>815.69</v>
      </c>
      <c r="J6">
        <f>VLOOKUP(H6,$A$1:F$161,J$2,0)</f>
        <v>747.36</v>
      </c>
      <c r="K6">
        <f>VLOOKUP(H6,$A$1:F$161,K$2,0)</f>
        <v>871.69</v>
      </c>
      <c r="L6">
        <f>VLOOKUP(H6,$A$1:F$161,L$2,0)</f>
        <v>740.76</v>
      </c>
      <c r="M6">
        <f>VLOOKUP(H6,$A$1:F$161,M$2,0)</f>
        <v>661.59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815.69</v>
      </c>
      <c r="J7">
        <f>VLOOKUP(H7,$A$1:F$161,J$2,0)</f>
        <v>747.36</v>
      </c>
      <c r="K7">
        <f>VLOOKUP(H7,$A$1:F$161,K$2,0)</f>
        <v>871.69</v>
      </c>
      <c r="L7">
        <f>VLOOKUP(H7,$A$1:F$161,L$2,0)</f>
        <v>740.76</v>
      </c>
      <c r="M7">
        <f>VLOOKUP(H7,$A$1:F$161,M$2,0)</f>
        <v>661.59</v>
      </c>
    </row>
    <row r="8" spans="1:13" ht="24" customHeight="1" x14ac:dyDescent="0.25">
      <c r="A8" t="s">
        <v>7</v>
      </c>
      <c r="H8" t="s">
        <v>12</v>
      </c>
      <c r="I8">
        <f>VLOOKUP(H8,$A$1:F$161,I$2,0)</f>
        <v>861.2</v>
      </c>
      <c r="J8">
        <f>VLOOKUP(H8,$A$1:F$161,J$2,0)</f>
        <v>789.01</v>
      </c>
      <c r="K8">
        <f>VLOOKUP(H8,$A$1:F$161,K$2,0)</f>
        <v>911.28</v>
      </c>
      <c r="L8">
        <f>VLOOKUP(H8,$A$1:F$161,L$2,0)</f>
        <v>778.36</v>
      </c>
      <c r="M8">
        <f>VLOOKUP(H8,$A$1:F$161,M$2,0)</f>
        <v>694.18</v>
      </c>
    </row>
    <row r="9" spans="1:13" x14ac:dyDescent="0.25">
      <c r="A9" t="s">
        <v>8</v>
      </c>
      <c r="B9">
        <v>32.590000000000003</v>
      </c>
      <c r="C9">
        <v>32.590000000000003</v>
      </c>
      <c r="D9">
        <v>32.590000000000003</v>
      </c>
      <c r="E9">
        <v>32.590000000000003</v>
      </c>
      <c r="F9">
        <v>32.590000000000003</v>
      </c>
      <c r="H9" t="s">
        <v>14</v>
      </c>
      <c r="I9">
        <f>VLOOKUP(H9,$A$1:F$161,I$2,0)</f>
        <v>83.27</v>
      </c>
      <c r="J9">
        <f>VLOOKUP(H9,$A$1:F$161,J$2,0)</f>
        <v>79.11</v>
      </c>
      <c r="K9">
        <f>VLOOKUP(H9,$A$1:F$161,K$2,0)</f>
        <v>61.41</v>
      </c>
      <c r="L9">
        <f>VLOOKUP(H9,$A$1:F$161,L$2,0)</f>
        <v>79.099999999999994</v>
      </c>
      <c r="M9">
        <f>VLOOKUP(H9,$A$1:F$161,M$2,0)</f>
        <v>35.47</v>
      </c>
    </row>
    <row r="10" spans="1:13" x14ac:dyDescent="0.25">
      <c r="A10" t="s">
        <v>9</v>
      </c>
      <c r="B10">
        <v>32.590000000000003</v>
      </c>
      <c r="C10">
        <v>32.590000000000003</v>
      </c>
      <c r="D10">
        <v>32.590000000000003</v>
      </c>
      <c r="E10">
        <v>32.590000000000003</v>
      </c>
      <c r="F10">
        <v>32.590000000000003</v>
      </c>
      <c r="H10" t="s">
        <v>16</v>
      </c>
      <c r="I10">
        <f>VLOOKUP(H10,$A$1:F$161,I$2,0)</f>
        <v>7.0000000000000007E-2</v>
      </c>
      <c r="J10">
        <f>VLOOKUP(H10,$A$1:F$161,J$2,0)</f>
        <v>0.11</v>
      </c>
      <c r="K10">
        <f>VLOOKUP(H10,$A$1:F$161,K$2,0)</f>
        <v>0.14000000000000001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</v>
      </c>
      <c r="B11">
        <v>815.69</v>
      </c>
      <c r="C11">
        <v>747.36</v>
      </c>
      <c r="D11">
        <v>871.69</v>
      </c>
      <c r="E11">
        <v>740.76</v>
      </c>
      <c r="F11">
        <v>661.59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815.69</v>
      </c>
      <c r="C12">
        <v>747.36</v>
      </c>
      <c r="D12">
        <v>871.69</v>
      </c>
      <c r="E12">
        <v>740.76</v>
      </c>
      <c r="F12">
        <v>661.59</v>
      </c>
      <c r="H12" t="s">
        <v>18</v>
      </c>
      <c r="I12">
        <f>VLOOKUP(H12,$A$1:F$161,I$2,0)</f>
        <v>83.34</v>
      </c>
      <c r="J12">
        <f>VLOOKUP(H12,$A$1:F$161,J$2,0)</f>
        <v>79.22</v>
      </c>
      <c r="K12">
        <f>VLOOKUP(H12,$A$1:F$161,K$2,0)</f>
        <v>61.55</v>
      </c>
      <c r="L12">
        <f>VLOOKUP(H12,$A$1:F$161,L$2,0)</f>
        <v>79.099999999999994</v>
      </c>
      <c r="M12">
        <f>VLOOKUP(H12,$A$1:F$161,M$2,0)</f>
        <v>35.47</v>
      </c>
    </row>
    <row r="13" spans="1:13" x14ac:dyDescent="0.25">
      <c r="A13" t="s">
        <v>118</v>
      </c>
      <c r="B13">
        <v>12.92</v>
      </c>
      <c r="C13">
        <v>9.06</v>
      </c>
      <c r="D13">
        <v>7</v>
      </c>
      <c r="E13">
        <v>5.01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861.2</v>
      </c>
      <c r="C14">
        <v>789.01</v>
      </c>
      <c r="D14">
        <v>911.28</v>
      </c>
      <c r="E14">
        <v>778.36</v>
      </c>
      <c r="F14">
        <v>694.18</v>
      </c>
      <c r="H14" t="s">
        <v>21</v>
      </c>
      <c r="I14">
        <f>VLOOKUP(H14,$A$1:F$161,I$2,0)</f>
        <v>544.63</v>
      </c>
      <c r="J14">
        <f>VLOOKUP(H14,$A$1:F$161,J$2,0)</f>
        <v>408.39</v>
      </c>
      <c r="K14">
        <f>VLOOKUP(H14,$A$1:F$161,K$2,0)</f>
        <v>287.35000000000002</v>
      </c>
      <c r="L14">
        <f>VLOOKUP(H14,$A$1:F$161,L$2,0)</f>
        <v>281.19</v>
      </c>
      <c r="M14">
        <f>VLOOKUP(H14,$A$1:F$161,M$2,0)</f>
        <v>329.3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80.55</v>
      </c>
      <c r="J15">
        <f>VLOOKUP(H15,$A$1:F$161,J$2,0)</f>
        <v>83.53</v>
      </c>
      <c r="K15">
        <f>VLOOKUP(H15,$A$1:F$161,K$2,0)</f>
        <v>63.4</v>
      </c>
      <c r="L15">
        <f>VLOOKUP(H15,$A$1:F$161,L$2,0)</f>
        <v>71.09</v>
      </c>
      <c r="M15">
        <f>VLOOKUP(H15,$A$1:F$161,M$2,0)</f>
        <v>149.83000000000001</v>
      </c>
    </row>
    <row r="16" spans="1:13" x14ac:dyDescent="0.25">
      <c r="A16" t="s">
        <v>16</v>
      </c>
      <c r="B16">
        <v>7.0000000000000007E-2</v>
      </c>
      <c r="C16">
        <v>0.11</v>
      </c>
      <c r="D16">
        <v>0.14000000000000001</v>
      </c>
      <c r="E16">
        <v>0</v>
      </c>
      <c r="F16">
        <v>0</v>
      </c>
      <c r="H16" t="s">
        <v>23</v>
      </c>
      <c r="I16">
        <f>VLOOKUP(H16,$A$1:F$161,I$2,0)</f>
        <v>38.58</v>
      </c>
      <c r="J16">
        <f>VLOOKUP(H16,$A$1:F$161,J$2,0)</f>
        <v>35.090000000000003</v>
      </c>
      <c r="K16">
        <f>VLOOKUP(H16,$A$1:F$161,K$2,0)</f>
        <v>28.24</v>
      </c>
      <c r="L16">
        <f>VLOOKUP(H16,$A$1:F$161,L$2,0)</f>
        <v>0.22</v>
      </c>
      <c r="M16">
        <f>VLOOKUP(H16,$A$1:F$161,M$2,0)</f>
        <v>0.22</v>
      </c>
    </row>
    <row r="17" spans="1:13" x14ac:dyDescent="0.25">
      <c r="A17" t="s">
        <v>14</v>
      </c>
      <c r="B17">
        <v>83.27</v>
      </c>
      <c r="C17">
        <v>79.11</v>
      </c>
      <c r="D17">
        <v>61.41</v>
      </c>
      <c r="E17">
        <v>79.099999999999994</v>
      </c>
      <c r="F17">
        <v>35.47</v>
      </c>
      <c r="H17" t="s">
        <v>24</v>
      </c>
      <c r="I17">
        <f>VLOOKUP(H17,$A$1:F$161,I$2,0)</f>
        <v>663.76</v>
      </c>
      <c r="J17">
        <f>VLOOKUP(H17,$A$1:F$161,J$2,0)</f>
        <v>527.01</v>
      </c>
      <c r="K17">
        <f>VLOOKUP(H17,$A$1:F$161,K$2,0)</f>
        <v>378.99</v>
      </c>
      <c r="L17">
        <f>VLOOKUP(H17,$A$1:F$161,L$2,0)</f>
        <v>352.5</v>
      </c>
      <c r="M17">
        <f>VLOOKUP(H17,$A$1:F$161,M$2,0)</f>
        <v>479.35</v>
      </c>
    </row>
    <row r="18" spans="1:13" x14ac:dyDescent="0.25">
      <c r="A18" t="s">
        <v>18</v>
      </c>
      <c r="B18">
        <v>83.34</v>
      </c>
      <c r="C18">
        <v>79.22</v>
      </c>
      <c r="D18">
        <v>61.55</v>
      </c>
      <c r="E18">
        <v>79.099999999999994</v>
      </c>
      <c r="F18">
        <v>35.47</v>
      </c>
      <c r="H18" t="s">
        <v>25</v>
      </c>
      <c r="I18">
        <f>VLOOKUP(H18,$A$1:F$161,I$2,0)</f>
        <v>1608.3</v>
      </c>
      <c r="J18">
        <f>VLOOKUP(H18,$A$1:F$161,J$2,0)</f>
        <v>1395.24</v>
      </c>
      <c r="K18">
        <f>VLOOKUP(H18,$A$1:F$161,K$2,0)</f>
        <v>1351.82</v>
      </c>
      <c r="L18">
        <f>VLOOKUP(H18,$A$1:F$161,L$2,0)</f>
        <v>1209.96</v>
      </c>
      <c r="M18">
        <f>VLOOKUP(H18,$A$1:F$161,M$2,0)</f>
        <v>1209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21</v>
      </c>
      <c r="B20">
        <v>544.63</v>
      </c>
      <c r="C20">
        <v>408.39</v>
      </c>
      <c r="D20">
        <v>287.35000000000002</v>
      </c>
      <c r="E20">
        <v>281.19</v>
      </c>
      <c r="F20">
        <v>329.3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22</v>
      </c>
      <c r="B21">
        <v>80.55</v>
      </c>
      <c r="C21">
        <v>83.53</v>
      </c>
      <c r="D21">
        <v>63.4</v>
      </c>
      <c r="E21">
        <v>71.09</v>
      </c>
      <c r="F21">
        <v>149.83000000000001</v>
      </c>
      <c r="H21" t="s">
        <v>28</v>
      </c>
      <c r="I21">
        <f>VLOOKUP(H21,$A$1:F$161,I$2,0)</f>
        <v>363.04</v>
      </c>
      <c r="J21">
        <f>VLOOKUP(H21,$A$1:F$161,J$2,0)</f>
        <v>309.77</v>
      </c>
      <c r="K21">
        <f>VLOOKUP(H21,$A$1:F$161,K$2,0)</f>
        <v>296.45999999999998</v>
      </c>
      <c r="L21">
        <f>VLOOKUP(H21,$A$1:F$161,L$2,0)</f>
        <v>300.18</v>
      </c>
      <c r="M21">
        <f>VLOOKUP(H21,$A$1:F$161,M$2,0)</f>
        <v>264.41000000000003</v>
      </c>
    </row>
    <row r="22" spans="1:13" x14ac:dyDescent="0.25">
      <c r="A22" t="s">
        <v>23</v>
      </c>
      <c r="B22">
        <v>38.58</v>
      </c>
      <c r="C22">
        <v>35.090000000000003</v>
      </c>
      <c r="D22">
        <v>28.24</v>
      </c>
      <c r="E22">
        <v>0.22</v>
      </c>
      <c r="F22">
        <v>0.22</v>
      </c>
      <c r="H22" t="s">
        <v>29</v>
      </c>
      <c r="I22">
        <f>VLOOKUP(H22,$A$1:F$161,I$2,0)</f>
        <v>64.95</v>
      </c>
      <c r="J22">
        <f>VLOOKUP(H22,$A$1:F$161,J$2,0)</f>
        <v>72.040000000000006</v>
      </c>
      <c r="K22">
        <f>VLOOKUP(H22,$A$1:F$161,K$2,0)</f>
        <v>21.19</v>
      </c>
      <c r="L22">
        <f>VLOOKUP(H22,$A$1:F$161,L$2,0)</f>
        <v>24.55</v>
      </c>
      <c r="M22">
        <f>VLOOKUP(H22,$A$1:F$161,M$2,0)</f>
        <v>40.369999999999997</v>
      </c>
    </row>
    <row r="23" spans="1:13" x14ac:dyDescent="0.25">
      <c r="A23" t="s">
        <v>24</v>
      </c>
      <c r="B23">
        <v>663.76</v>
      </c>
      <c r="C23">
        <v>527.01</v>
      </c>
      <c r="D23">
        <v>378.99</v>
      </c>
      <c r="E23">
        <v>352.5</v>
      </c>
      <c r="F23">
        <v>479.35</v>
      </c>
      <c r="H23" t="s">
        <v>30</v>
      </c>
      <c r="I23">
        <f>VLOOKUP(H23,$A$1:F$161,I$2,0)</f>
        <v>427.99</v>
      </c>
      <c r="J23">
        <f>VLOOKUP(H23,$A$1:F$161,J$2,0)</f>
        <v>381.81</v>
      </c>
      <c r="K23">
        <f>VLOOKUP(H23,$A$1:F$161,K$2,0)</f>
        <v>317.64999999999998</v>
      </c>
      <c r="L23">
        <f>VLOOKUP(H23,$A$1:F$161,L$2,0)</f>
        <v>324.73</v>
      </c>
      <c r="M23">
        <f>VLOOKUP(H23,$A$1:F$161,M$2,0)</f>
        <v>304.77999999999997</v>
      </c>
    </row>
    <row r="24" spans="1:13" x14ac:dyDescent="0.25">
      <c r="A24" t="s">
        <v>25</v>
      </c>
      <c r="B24">
        <v>1608.3</v>
      </c>
      <c r="C24">
        <v>1395.24</v>
      </c>
      <c r="D24">
        <v>1351.82</v>
      </c>
      <c r="E24">
        <v>1209.96</v>
      </c>
      <c r="F24">
        <v>1209</v>
      </c>
      <c r="H24" t="s">
        <v>32</v>
      </c>
      <c r="I24">
        <f>VLOOKUP(H24,$A$1:F$161,I$2,0)</f>
        <v>33.06</v>
      </c>
      <c r="J24">
        <f>VLOOKUP(H24,$A$1:F$161,J$2,0)</f>
        <v>27.87</v>
      </c>
      <c r="K24">
        <f>VLOOKUP(H24,$A$1:F$161,K$2,0)</f>
        <v>23.04</v>
      </c>
      <c r="L24">
        <f>VLOOKUP(H24,$A$1:F$161,L$2,0)</f>
        <v>32.17</v>
      </c>
      <c r="M24">
        <f>VLOOKUP(H24,$A$1:F$161,M$2,0)</f>
        <v>16.399999999999999</v>
      </c>
    </row>
    <row r="25" spans="1:13" x14ac:dyDescent="0.25">
      <c r="A25" t="s">
        <v>26</v>
      </c>
      <c r="H25" t="s">
        <v>33</v>
      </c>
      <c r="I25">
        <f>VLOOKUP(H25,$A$1:F$161,I$2,0)</f>
        <v>19.04</v>
      </c>
      <c r="J25">
        <f>VLOOKUP(H25,$A$1:F$161,J$2,0)</f>
        <v>27.56</v>
      </c>
      <c r="K25">
        <f>VLOOKUP(H25,$A$1:F$161,K$2,0)</f>
        <v>30.73</v>
      </c>
      <c r="L25">
        <f>VLOOKUP(H25,$A$1:F$161,L$2,0)</f>
        <v>26.19</v>
      </c>
      <c r="M25">
        <f>VLOOKUP(H25,$A$1:F$161,M$2,0)</f>
        <v>21.14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175.91</v>
      </c>
      <c r="J26">
        <f>VLOOKUP(H26,$A$1:F$161,J$2,0)</f>
        <v>188.83</v>
      </c>
      <c r="K26">
        <f>VLOOKUP(H26,$A$1:F$161,K$2,0)</f>
        <v>215.63</v>
      </c>
      <c r="L26">
        <f>VLOOKUP(H26,$A$1:F$161,L$2,0)</f>
        <v>229.62</v>
      </c>
      <c r="M26">
        <f>VLOOKUP(H26,$A$1:F$161,M$2,0)</f>
        <v>192.5</v>
      </c>
    </row>
    <row r="27" spans="1:13" x14ac:dyDescent="0.25">
      <c r="A27" t="s">
        <v>28</v>
      </c>
      <c r="B27">
        <v>363.04</v>
      </c>
      <c r="C27">
        <v>309.77</v>
      </c>
      <c r="D27">
        <v>296.45999999999998</v>
      </c>
      <c r="E27">
        <v>300.18</v>
      </c>
      <c r="F27">
        <v>264.41000000000003</v>
      </c>
      <c r="H27" t="s">
        <v>35</v>
      </c>
      <c r="I27">
        <f>VLOOKUP(H27,$A$1:F$161,I$2,0)</f>
        <v>656</v>
      </c>
      <c r="J27">
        <f>VLOOKUP(H27,$A$1:F$161,J$2,0)</f>
        <v>626.07000000000005</v>
      </c>
      <c r="K27">
        <f>VLOOKUP(H27,$A$1:F$161,K$2,0)</f>
        <v>587.04999999999995</v>
      </c>
      <c r="L27">
        <f>VLOOKUP(H27,$A$1:F$161,L$2,0)</f>
        <v>612.71</v>
      </c>
      <c r="M27">
        <f>VLOOKUP(H27,$A$1:F$161,M$2,0)</f>
        <v>534.82000000000005</v>
      </c>
    </row>
    <row r="28" spans="1:13" x14ac:dyDescent="0.25">
      <c r="A28" t="s">
        <v>29</v>
      </c>
      <c r="B28">
        <v>64.95</v>
      </c>
      <c r="C28">
        <v>72.040000000000006</v>
      </c>
      <c r="D28">
        <v>21.19</v>
      </c>
      <c r="E28">
        <v>24.55</v>
      </c>
      <c r="F28">
        <v>40.369999999999997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30</v>
      </c>
      <c r="B29">
        <v>427.99</v>
      </c>
      <c r="C29">
        <v>381.81</v>
      </c>
      <c r="D29">
        <v>317.64999999999998</v>
      </c>
      <c r="E29">
        <v>324.73</v>
      </c>
      <c r="F29">
        <v>304.77999999999997</v>
      </c>
      <c r="H29" t="s">
        <v>38</v>
      </c>
      <c r="I29">
        <f>VLOOKUP(H29,$A$1:F$161,I$2,0)</f>
        <v>373.44</v>
      </c>
      <c r="J29">
        <f>VLOOKUP(H29,$A$1:F$161,J$2,0)</f>
        <v>366.58</v>
      </c>
      <c r="K29">
        <f>VLOOKUP(H29,$A$1:F$161,K$2,0)</f>
        <v>284.27</v>
      </c>
      <c r="L29">
        <f>VLOOKUP(H29,$A$1:F$161,L$2,0)</f>
        <v>234.01</v>
      </c>
      <c r="M29">
        <f>VLOOKUP(H29,$A$1:F$161,M$2,0)</f>
        <v>200.15</v>
      </c>
    </row>
    <row r="30" spans="1:13" x14ac:dyDescent="0.25">
      <c r="A30" t="s">
        <v>32</v>
      </c>
      <c r="B30">
        <v>33.06</v>
      </c>
      <c r="C30">
        <v>27.87</v>
      </c>
      <c r="D30">
        <v>23.04</v>
      </c>
      <c r="E30">
        <v>32.17</v>
      </c>
      <c r="F30">
        <v>16.399999999999999</v>
      </c>
      <c r="H30" t="s">
        <v>39</v>
      </c>
      <c r="I30">
        <f>VLOOKUP(H30,$A$1:F$161,I$2,0)</f>
        <v>256.38</v>
      </c>
      <c r="J30">
        <f>VLOOKUP(H30,$A$1:F$161,J$2,0)</f>
        <v>197.94</v>
      </c>
      <c r="K30">
        <f>VLOOKUP(H30,$A$1:F$161,K$2,0)</f>
        <v>190.67</v>
      </c>
      <c r="L30">
        <f>VLOOKUP(H30,$A$1:F$161,L$2,0)</f>
        <v>181.5</v>
      </c>
      <c r="M30">
        <f>VLOOKUP(H30,$A$1:F$161,M$2,0)</f>
        <v>176.04</v>
      </c>
    </row>
    <row r="31" spans="1:13" x14ac:dyDescent="0.25">
      <c r="A31" t="s">
        <v>33</v>
      </c>
      <c r="B31">
        <v>19.04</v>
      </c>
      <c r="C31">
        <v>27.56</v>
      </c>
      <c r="D31">
        <v>30.73</v>
      </c>
      <c r="E31">
        <v>26.19</v>
      </c>
      <c r="F31">
        <v>21.14</v>
      </c>
      <c r="H31" t="s">
        <v>40</v>
      </c>
      <c r="I31">
        <f>VLOOKUP(H31,$A$1:F$161,I$2,0)</f>
        <v>291.07</v>
      </c>
      <c r="J31">
        <f>VLOOKUP(H31,$A$1:F$161,J$2,0)</f>
        <v>166.32</v>
      </c>
      <c r="K31">
        <f>VLOOKUP(H31,$A$1:F$161,K$2,0)</f>
        <v>232.48</v>
      </c>
      <c r="L31">
        <f>VLOOKUP(H31,$A$1:F$161,L$2,0)</f>
        <v>141.72</v>
      </c>
      <c r="M31">
        <f>VLOOKUP(H31,$A$1:F$161,M$2,0)</f>
        <v>236.63</v>
      </c>
    </row>
    <row r="32" spans="1:13" x14ac:dyDescent="0.25">
      <c r="A32" t="s">
        <v>34</v>
      </c>
      <c r="B32">
        <v>175.91</v>
      </c>
      <c r="C32">
        <v>188.83</v>
      </c>
      <c r="D32">
        <v>215.63</v>
      </c>
      <c r="E32">
        <v>229.62</v>
      </c>
      <c r="F32">
        <v>192.5</v>
      </c>
      <c r="H32" t="s">
        <v>41</v>
      </c>
      <c r="I32">
        <f>VLOOKUP(H32,$A$1:F$161,I$2,0)</f>
        <v>3.44</v>
      </c>
      <c r="J32">
        <f>VLOOKUP(H32,$A$1:F$161,J$2,0)</f>
        <v>4.47</v>
      </c>
      <c r="K32">
        <f>VLOOKUP(H32,$A$1:F$161,K$2,0)</f>
        <v>4.09</v>
      </c>
      <c r="L32">
        <f>VLOOKUP(H32,$A$1:F$161,L$2,0)</f>
        <v>5.53</v>
      </c>
      <c r="M32">
        <f>VLOOKUP(H32,$A$1:F$161,M$2,0)</f>
        <v>5</v>
      </c>
    </row>
    <row r="33" spans="1:13" x14ac:dyDescent="0.25">
      <c r="A33" t="s">
        <v>35</v>
      </c>
      <c r="B33">
        <v>656</v>
      </c>
      <c r="C33">
        <v>626.07000000000005</v>
      </c>
      <c r="D33">
        <v>587.04999999999995</v>
      </c>
      <c r="E33">
        <v>612.71</v>
      </c>
      <c r="F33">
        <v>534.82000000000005</v>
      </c>
      <c r="H33" t="s">
        <v>42</v>
      </c>
      <c r="I33">
        <f>VLOOKUP(H33,$A$1:F$161,I$2,0)</f>
        <v>27.97</v>
      </c>
      <c r="J33">
        <f>VLOOKUP(H33,$A$1:F$161,J$2,0)</f>
        <v>33.86</v>
      </c>
      <c r="K33">
        <f>VLOOKUP(H33,$A$1:F$161,K$2,0)</f>
        <v>53.26</v>
      </c>
      <c r="L33">
        <f>VLOOKUP(H33,$A$1:F$161,L$2,0)</f>
        <v>34.49</v>
      </c>
      <c r="M33">
        <f>VLOOKUP(H33,$A$1:F$161,M$2,0)</f>
        <v>56.36</v>
      </c>
    </row>
    <row r="34" spans="1:13" ht="15" customHeight="1" x14ac:dyDescent="0.25">
      <c r="A34" t="s">
        <v>36</v>
      </c>
      <c r="H34" t="s">
        <v>43</v>
      </c>
      <c r="I34">
        <f>VLOOKUP(H34,$A$1:F$161,I$2,0)</f>
        <v>952.3</v>
      </c>
      <c r="J34">
        <f>VLOOKUP(H34,$A$1:F$161,J$2,0)</f>
        <v>769.17</v>
      </c>
      <c r="K34">
        <f>VLOOKUP(H34,$A$1:F$161,K$2,0)</f>
        <v>764.77</v>
      </c>
      <c r="L34">
        <f>VLOOKUP(H34,$A$1:F$161,L$2,0)</f>
        <v>597.25</v>
      </c>
      <c r="M34">
        <f>VLOOKUP(H34,$A$1:F$161,M$2,0)</f>
        <v>674.18</v>
      </c>
    </row>
    <row r="35" spans="1:13" x14ac:dyDescent="0.25">
      <c r="A35" t="s">
        <v>38</v>
      </c>
      <c r="B35">
        <v>373.44</v>
      </c>
      <c r="C35">
        <v>366.58</v>
      </c>
      <c r="D35">
        <v>284.27</v>
      </c>
      <c r="E35">
        <v>234.01</v>
      </c>
      <c r="F35">
        <v>200.15</v>
      </c>
      <c r="H35" t="s">
        <v>44</v>
      </c>
      <c r="I35">
        <f>VLOOKUP(H35,$A$1:F$161,I$2,0)</f>
        <v>1608.3</v>
      </c>
      <c r="J35">
        <f>VLOOKUP(H35,$A$1:F$161,J$2,0)</f>
        <v>1395.24</v>
      </c>
      <c r="K35">
        <f>VLOOKUP(H35,$A$1:F$161,K$2,0)</f>
        <v>1351.82</v>
      </c>
      <c r="L35">
        <f>VLOOKUP(H35,$A$1:F$161,L$2,0)</f>
        <v>1209.96</v>
      </c>
      <c r="M35">
        <f>VLOOKUP(H35,$A$1:F$161,M$2,0)</f>
        <v>1209</v>
      </c>
    </row>
    <row r="36" spans="1:13" x14ac:dyDescent="0.25">
      <c r="A36" t="s">
        <v>39</v>
      </c>
      <c r="B36">
        <v>256.38</v>
      </c>
      <c r="C36">
        <v>197.94</v>
      </c>
      <c r="D36">
        <v>190.67</v>
      </c>
      <c r="E36">
        <v>181.5</v>
      </c>
      <c r="F36">
        <v>176.04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40</v>
      </c>
      <c r="B37">
        <v>291.07</v>
      </c>
      <c r="C37">
        <v>166.32</v>
      </c>
      <c r="D37">
        <v>232.48</v>
      </c>
      <c r="E37">
        <v>141.72</v>
      </c>
      <c r="F37">
        <v>236.63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41</v>
      </c>
      <c r="B38">
        <v>3.44</v>
      </c>
      <c r="C38">
        <v>4.47</v>
      </c>
      <c r="D38">
        <v>4.09</v>
      </c>
      <c r="E38">
        <v>5.53</v>
      </c>
      <c r="F38">
        <v>5</v>
      </c>
      <c r="H38" t="s">
        <v>47</v>
      </c>
      <c r="I38">
        <f>VLOOKUP(H38,$A$1:F$161,I$2,0)</f>
        <v>1138.24</v>
      </c>
      <c r="J38">
        <f>VLOOKUP(H38,$A$1:F$161,J$2,0)</f>
        <v>945.79</v>
      </c>
      <c r="K38">
        <f>VLOOKUP(H38,$A$1:F$161,K$2,0)</f>
        <v>847.57</v>
      </c>
      <c r="L38">
        <f>VLOOKUP(H38,$A$1:F$161,L$2,0)</f>
        <v>850.43</v>
      </c>
      <c r="M38">
        <f>VLOOKUP(H38,$A$1:F$161,M$2,0)</f>
        <v>848.38</v>
      </c>
    </row>
    <row r="39" spans="1:13" x14ac:dyDescent="0.25">
      <c r="A39" t="s">
        <v>42</v>
      </c>
      <c r="B39">
        <v>27.97</v>
      </c>
      <c r="C39">
        <v>33.86</v>
      </c>
      <c r="D39">
        <v>53.26</v>
      </c>
      <c r="E39">
        <v>34.49</v>
      </c>
      <c r="F39">
        <v>56.36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43</v>
      </c>
      <c r="B40">
        <v>952.3</v>
      </c>
      <c r="C40">
        <v>769.17</v>
      </c>
      <c r="D40">
        <v>764.77</v>
      </c>
      <c r="E40">
        <v>597.25</v>
      </c>
      <c r="F40">
        <v>674.18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44</v>
      </c>
      <c r="B41">
        <v>1608.3</v>
      </c>
      <c r="C41">
        <v>1395.24</v>
      </c>
      <c r="D41">
        <v>1351.82</v>
      </c>
      <c r="E41">
        <v>1209.96</v>
      </c>
      <c r="F41">
        <v>1209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ht="24" customHeight="1" x14ac:dyDescent="0.25">
      <c r="A42" t="s">
        <v>45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ht="36" customHeight="1" x14ac:dyDescent="0.25">
      <c r="A43" t="s">
        <v>46</v>
      </c>
      <c r="H43" t="s">
        <v>68</v>
      </c>
      <c r="I43">
        <f>VLOOKUP(H43,$A$1:F$161,I$2,0)</f>
        <v>2256.16</v>
      </c>
      <c r="J43">
        <f>VLOOKUP(H43,$A$1:F$161,J$2,0)</f>
        <v>2009.42</v>
      </c>
      <c r="K43">
        <f>VLOOKUP(H43,$A$1:F$161,K$2,0)</f>
        <v>1678.67</v>
      </c>
      <c r="L43">
        <f>VLOOKUP(H43,$A$1:F$161,L$2,0)</f>
        <v>1861.15</v>
      </c>
      <c r="M43">
        <f>VLOOKUP(H43,$A$1:F$161,M$2,0)</f>
        <v>1676.67</v>
      </c>
    </row>
    <row r="44" spans="1:13" x14ac:dyDescent="0.25">
      <c r="A44" t="s">
        <v>47</v>
      </c>
      <c r="B44">
        <v>1138.24</v>
      </c>
      <c r="C44">
        <v>945.79</v>
      </c>
      <c r="D44">
        <v>847.57</v>
      </c>
      <c r="E44">
        <v>850.43</v>
      </c>
      <c r="F44">
        <v>848.38</v>
      </c>
      <c r="H44" t="s">
        <v>70</v>
      </c>
      <c r="I44">
        <f>VLOOKUP(H44,$A$1:F$161,I$2,0)</f>
        <v>2256.16</v>
      </c>
      <c r="J44">
        <f>VLOOKUP(H44,$A$1:F$161,J$2,0)</f>
        <v>2009.42</v>
      </c>
      <c r="K44">
        <f>VLOOKUP(H44,$A$1:F$161,K$2,0)</f>
        <v>1678.67</v>
      </c>
      <c r="L44">
        <f>VLOOKUP(H44,$A$1:F$161,L$2,0)</f>
        <v>1861.15</v>
      </c>
      <c r="M44">
        <f>VLOOKUP(H44,$A$1:F$161,M$2,0)</f>
        <v>1676.67</v>
      </c>
    </row>
    <row r="45" spans="1:13" ht="24" customHeight="1" x14ac:dyDescent="0.25">
      <c r="A45" t="s">
        <v>48</v>
      </c>
      <c r="H45" t="s">
        <v>71</v>
      </c>
      <c r="I45">
        <f>VLOOKUP(H45,$A$1:F$161,I$2,0)</f>
        <v>0</v>
      </c>
      <c r="J45">
        <f>VLOOKUP(H45,$A$1:F$161,J$2,0)</f>
        <v>0</v>
      </c>
      <c r="K45">
        <f>VLOOKUP(H45,$A$1:F$161,K$2,0)</f>
        <v>0.39</v>
      </c>
      <c r="L45">
        <f>VLOOKUP(H45,$A$1:F$161,L$2,0)</f>
        <v>0.5</v>
      </c>
      <c r="M45">
        <f>VLOOKUP(H45,$A$1:F$161,M$2,0)</f>
        <v>0.18</v>
      </c>
    </row>
    <row r="46" spans="1:13" ht="24" customHeight="1" x14ac:dyDescent="0.25">
      <c r="A46" t="s">
        <v>49</v>
      </c>
      <c r="H46" t="s">
        <v>72</v>
      </c>
      <c r="I46">
        <f>VLOOKUP(H46,$A$1:F$161,I$2,0)</f>
        <v>2256.16</v>
      </c>
      <c r="J46">
        <f>VLOOKUP(H46,$A$1:F$161,J$2,0)</f>
        <v>2009.42</v>
      </c>
      <c r="K46">
        <f>VLOOKUP(H46,$A$1:F$161,K$2,0)</f>
        <v>1679.06</v>
      </c>
      <c r="L46">
        <f>VLOOKUP(H46,$A$1:F$161,L$2,0)</f>
        <v>1861.65</v>
      </c>
      <c r="M46">
        <f>VLOOKUP(H46,$A$1:F$161,M$2,0)</f>
        <v>1676.85</v>
      </c>
    </row>
    <row r="47" spans="1:13" x14ac:dyDescent="0.25">
      <c r="A47" t="s">
        <v>50</v>
      </c>
      <c r="B47">
        <v>587.6</v>
      </c>
      <c r="C47">
        <v>572.84</v>
      </c>
      <c r="D47">
        <v>469.18</v>
      </c>
      <c r="E47">
        <v>521.09</v>
      </c>
      <c r="F47">
        <v>507.86</v>
      </c>
      <c r="H47" t="s">
        <v>73</v>
      </c>
      <c r="I47">
        <f>VLOOKUP(H47,$A$1:F$161,I$2,0)</f>
        <v>7.74</v>
      </c>
      <c r="J47">
        <f>VLOOKUP(H47,$A$1:F$161,J$2,0)</f>
        <v>31.73</v>
      </c>
      <c r="K47">
        <f>VLOOKUP(H47,$A$1:F$161,K$2,0)</f>
        <v>11.42</v>
      </c>
      <c r="L47">
        <f>VLOOKUP(H47,$A$1:F$161,L$2,0)</f>
        <v>13.6</v>
      </c>
      <c r="M47">
        <f>VLOOKUP(H47,$A$1:F$161,M$2,0)</f>
        <v>12.75</v>
      </c>
    </row>
    <row r="48" spans="1:13" ht="48" customHeight="1" x14ac:dyDescent="0.25">
      <c r="A48" t="s">
        <v>51</v>
      </c>
      <c r="H48" t="s">
        <v>74</v>
      </c>
      <c r="I48">
        <f>VLOOKUP(H48,$A$1:F$161,I$2,0)</f>
        <v>2263.9</v>
      </c>
      <c r="J48">
        <f>VLOOKUP(H48,$A$1:F$161,J$2,0)</f>
        <v>2041.15</v>
      </c>
      <c r="K48">
        <f>VLOOKUP(H48,$A$1:F$161,K$2,0)</f>
        <v>1690.48</v>
      </c>
      <c r="L48">
        <f>VLOOKUP(H48,$A$1:F$161,L$2,0)</f>
        <v>1875.25</v>
      </c>
      <c r="M48">
        <f>VLOOKUP(H48,$A$1:F$161,M$2,0)</f>
        <v>1689.6</v>
      </c>
    </row>
    <row r="49" spans="1:13" x14ac:dyDescent="0.25">
      <c r="A49" t="s">
        <v>52</v>
      </c>
      <c r="B49" t="s">
        <v>53</v>
      </c>
      <c r="C49" t="s">
        <v>53</v>
      </c>
      <c r="D49" t="s">
        <v>53</v>
      </c>
      <c r="E49" t="s">
        <v>53</v>
      </c>
      <c r="F49" t="s">
        <v>53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54</v>
      </c>
      <c r="H50" t="s">
        <v>76</v>
      </c>
      <c r="I50">
        <f>VLOOKUP(H50,$A$1:F$161,I$2,0)</f>
        <v>591.41</v>
      </c>
      <c r="J50">
        <f>VLOOKUP(H50,$A$1:F$161,J$2,0)</f>
        <v>482.67</v>
      </c>
      <c r="K50">
        <f>VLOOKUP(H50,$A$1:F$161,K$2,0)</f>
        <v>188.82</v>
      </c>
      <c r="L50">
        <f>VLOOKUP(H50,$A$1:F$161,L$2,0)</f>
        <v>233.58</v>
      </c>
      <c r="M50">
        <f>VLOOKUP(H50,$A$1:F$161,M$2,0)</f>
        <v>141.32</v>
      </c>
    </row>
    <row r="51" spans="1:13" x14ac:dyDescent="0.25">
      <c r="A51" t="s">
        <v>55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H51" t="s">
        <v>77</v>
      </c>
      <c r="I51">
        <f>VLOOKUP(H51,$A$1:F$161,I$2,0)</f>
        <v>439.51</v>
      </c>
      <c r="J51">
        <f>VLOOKUP(H51,$A$1:F$161,J$2,0)</f>
        <v>416.55</v>
      </c>
      <c r="K51">
        <f>VLOOKUP(H51,$A$1:F$161,K$2,0)</f>
        <v>565.28</v>
      </c>
      <c r="L51">
        <f>VLOOKUP(H51,$A$1:F$161,L$2,0)</f>
        <v>608.47</v>
      </c>
      <c r="M51">
        <f>VLOOKUP(H51,$A$1:F$161,M$2,0)</f>
        <v>530.96</v>
      </c>
    </row>
    <row r="52" spans="1:13" x14ac:dyDescent="0.25">
      <c r="A52" t="s">
        <v>56</v>
      </c>
      <c r="B52">
        <v>175.32</v>
      </c>
      <c r="C52">
        <v>119.8</v>
      </c>
      <c r="D52">
        <v>140.56</v>
      </c>
      <c r="E52">
        <v>143.72999999999999</v>
      </c>
      <c r="F52">
        <v>278.23</v>
      </c>
      <c r="H52" t="s">
        <v>78</v>
      </c>
      <c r="I52">
        <f>VLOOKUP(H52,$A$1:F$161,I$2,0)</f>
        <v>18.54</v>
      </c>
      <c r="J52">
        <f>VLOOKUP(H52,$A$1:F$161,J$2,0)</f>
        <v>-18.489999999999998</v>
      </c>
      <c r="K52">
        <f>VLOOKUP(H52,$A$1:F$161,K$2,0)</f>
        <v>-25.03</v>
      </c>
      <c r="L52">
        <f>VLOOKUP(H52,$A$1:F$161,L$2,0)</f>
        <v>-22.71</v>
      </c>
      <c r="M52">
        <f>VLOOKUP(H52,$A$1:F$161,M$2,0)</f>
        <v>20.86</v>
      </c>
    </row>
    <row r="53" spans="1:13" ht="15" customHeight="1" x14ac:dyDescent="0.25">
      <c r="A53" t="s">
        <v>57</v>
      </c>
      <c r="H53" t="s">
        <v>79</v>
      </c>
      <c r="I53">
        <f>VLOOKUP(H53,$A$1:F$161,I$2,0)</f>
        <v>150.11000000000001</v>
      </c>
      <c r="J53">
        <f>VLOOKUP(H53,$A$1:F$161,J$2,0)</f>
        <v>143.22</v>
      </c>
      <c r="K53">
        <f>VLOOKUP(H53,$A$1:F$161,K$2,0)</f>
        <v>119.18</v>
      </c>
      <c r="L53">
        <f>VLOOKUP(H53,$A$1:F$161,L$2,0)</f>
        <v>108.3</v>
      </c>
      <c r="M53">
        <f>VLOOKUP(H53,$A$1:F$161,M$2,0)</f>
        <v>117.91</v>
      </c>
    </row>
    <row r="54" spans="1:13" x14ac:dyDescent="0.25">
      <c r="A54" t="s">
        <v>58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10.53</v>
      </c>
      <c r="J54">
        <f>VLOOKUP(H54,$A$1:F$161,J$2,0)</f>
        <v>5.25</v>
      </c>
      <c r="K54">
        <f>VLOOKUP(H54,$A$1:F$161,K$2,0)</f>
        <v>5.44</v>
      </c>
      <c r="L54">
        <f>VLOOKUP(H54,$A$1:F$161,L$2,0)</f>
        <v>7.85</v>
      </c>
      <c r="M54">
        <f>VLOOKUP(H54,$A$1:F$161,M$2,0)</f>
        <v>7.46</v>
      </c>
    </row>
    <row r="55" spans="1:13" ht="24" customHeight="1" x14ac:dyDescent="0.25">
      <c r="A55" t="s">
        <v>59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60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68.36</v>
      </c>
      <c r="J56">
        <f>VLOOKUP(H56,$A$1:F$161,J$2,0)</f>
        <v>57.52</v>
      </c>
      <c r="K56">
        <f>VLOOKUP(H56,$A$1:F$161,K$2,0)</f>
        <v>51.05</v>
      </c>
      <c r="L56">
        <f>VLOOKUP(H56,$A$1:F$161,L$2,0)</f>
        <v>47.7</v>
      </c>
      <c r="M56">
        <f>VLOOKUP(H56,$A$1:F$161,M$2,0)</f>
        <v>42.29</v>
      </c>
    </row>
    <row r="57" spans="1:13" x14ac:dyDescent="0.25">
      <c r="A57" t="s">
        <v>61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574.11</v>
      </c>
      <c r="J57">
        <f>VLOOKUP(H57,$A$1:F$161,J$2,0)</f>
        <v>524.97</v>
      </c>
      <c r="K57">
        <f>VLOOKUP(H57,$A$1:F$161,K$2,0)</f>
        <v>471.77</v>
      </c>
      <c r="L57">
        <f>VLOOKUP(H57,$A$1:F$161,L$2,0)</f>
        <v>553.01</v>
      </c>
      <c r="M57">
        <f>VLOOKUP(H57,$A$1:F$161,M$2,0)</f>
        <v>484.2</v>
      </c>
    </row>
    <row r="58" spans="1:13" ht="24" customHeight="1" x14ac:dyDescent="0.25">
      <c r="A58" t="s">
        <v>62</v>
      </c>
      <c r="H58" t="s">
        <v>84</v>
      </c>
      <c r="I58">
        <f>VLOOKUP(H58,$A$1:F$161,I$2,0)</f>
        <v>1852.57</v>
      </c>
      <c r="J58">
        <f>VLOOKUP(H58,$A$1:F$161,J$2,0)</f>
        <v>1611.69</v>
      </c>
      <c r="K58">
        <f>VLOOKUP(H58,$A$1:F$161,K$2,0)</f>
        <v>1376.51</v>
      </c>
      <c r="L58">
        <f>VLOOKUP(H58,$A$1:F$161,L$2,0)</f>
        <v>1536.2</v>
      </c>
      <c r="M58">
        <f>VLOOKUP(H58,$A$1:F$161,M$2,0)</f>
        <v>1345</v>
      </c>
    </row>
    <row r="59" spans="1:13" x14ac:dyDescent="0.25">
      <c r="A59" t="s">
        <v>63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411.33</v>
      </c>
      <c r="J59">
        <f>VLOOKUP(H59,$A$1:F$161,J$2,0)</f>
        <v>429.46</v>
      </c>
      <c r="K59">
        <f>VLOOKUP(H59,$A$1:F$161,K$2,0)</f>
        <v>313.97000000000003</v>
      </c>
      <c r="L59">
        <f>VLOOKUP(H59,$A$1:F$161,L$2,0)</f>
        <v>339.05</v>
      </c>
      <c r="M59">
        <f>VLOOKUP(H59,$A$1:F$161,M$2,0)</f>
        <v>344.6</v>
      </c>
    </row>
    <row r="60" spans="1:13" x14ac:dyDescent="0.25">
      <c r="A60" t="s">
        <v>64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411.33</v>
      </c>
      <c r="J60">
        <f>VLOOKUP(H60,$A$1:F$161,J$2,0)</f>
        <v>429.46</v>
      </c>
      <c r="K60">
        <f>VLOOKUP(H60,$A$1:F$161,K$2,0)</f>
        <v>313.97000000000003</v>
      </c>
      <c r="L60">
        <f>VLOOKUP(H60,$A$1:F$161,L$2,0)</f>
        <v>339.05</v>
      </c>
      <c r="M60">
        <f>VLOOKUP(H60,$A$1:F$161,M$2,0)</f>
        <v>344.6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118.47</v>
      </c>
      <c r="J62">
        <f>VLOOKUP(H62,$A$1:F$161,J$2,0)</f>
        <v>107.9</v>
      </c>
      <c r="K62">
        <f>VLOOKUP(H62,$A$1:F$161,K$2,0)</f>
        <v>82.43</v>
      </c>
      <c r="L62">
        <f>VLOOKUP(H62,$A$1:F$161,L$2,0)</f>
        <v>135.19999999999999</v>
      </c>
      <c r="M62">
        <f>VLOOKUP(H62,$A$1:F$161,M$2,0)</f>
        <v>114.47</v>
      </c>
    </row>
    <row r="63" spans="1:13" x14ac:dyDescent="0.25">
      <c r="H63" t="s">
        <v>90</v>
      </c>
      <c r="I63">
        <f>VLOOKUP(H63,$A$1:F$161,I$2,0)</f>
        <v>-5.53</v>
      </c>
      <c r="J63">
        <f>VLOOKUP(H63,$A$1:F$161,J$2,0)</f>
        <v>0.59</v>
      </c>
      <c r="K63">
        <f>VLOOKUP(H63,$A$1:F$161,K$2,0)</f>
        <v>9.5299999999999994</v>
      </c>
      <c r="L63">
        <f>VLOOKUP(H63,$A$1:F$161,L$2,0)</f>
        <v>-12.99</v>
      </c>
      <c r="M63">
        <f>VLOOKUP(H63,$A$1:F$161,M$2,0)</f>
        <v>1.08</v>
      </c>
    </row>
    <row r="64" spans="1:13" ht="15" customHeight="1" x14ac:dyDescent="0.25">
      <c r="A64" t="s">
        <v>65</v>
      </c>
      <c r="H64" t="s">
        <v>112</v>
      </c>
      <c r="I64">
        <f>VLOOKUP(H64,$A$1:F$161,I$2,0)</f>
        <v>9.06</v>
      </c>
      <c r="J64">
        <f>VLOOKUP(H64,$A$1:F$161,J$2,0)</f>
        <v>10.59</v>
      </c>
      <c r="K64">
        <f>VLOOKUP(H64,$A$1:F$161,K$2,0)</f>
        <v>-8.17</v>
      </c>
      <c r="L64">
        <f>VLOOKUP(H64,$A$1:F$161,L$2,0)</f>
        <v>-36.08</v>
      </c>
      <c r="M64">
        <f>VLOOKUP(H64,$A$1:F$161,M$2,0)</f>
        <v>0</v>
      </c>
    </row>
    <row r="65" spans="8:13" x14ac:dyDescent="0.25">
      <c r="H65" t="s">
        <v>91</v>
      </c>
      <c r="I65">
        <f>VLOOKUP(H65,$A$1:F$161,I$2,0)</f>
        <v>122</v>
      </c>
      <c r="J65">
        <f>VLOOKUP(H65,$A$1:F$161,J$2,0)</f>
        <v>119.08</v>
      </c>
      <c r="K65">
        <f>VLOOKUP(H65,$A$1:F$161,K$2,0)</f>
        <v>83.79</v>
      </c>
      <c r="L65">
        <f>VLOOKUP(H65,$A$1:F$161,L$2,0)</f>
        <v>86.13</v>
      </c>
      <c r="M65">
        <f>VLOOKUP(H65,$A$1:F$161,M$2,0)</f>
        <v>115.55</v>
      </c>
    </row>
    <row r="66" spans="8:13" x14ac:dyDescent="0.25">
      <c r="H66" t="s">
        <v>92</v>
      </c>
      <c r="I66">
        <f>VLOOKUP(H66,$A$1:F$161,I$2,0)</f>
        <v>289.33</v>
      </c>
      <c r="J66">
        <f>VLOOKUP(H66,$A$1:F$161,J$2,0)</f>
        <v>310.38</v>
      </c>
      <c r="K66">
        <f>VLOOKUP(H66,$A$1:F$161,K$2,0)</f>
        <v>230.18</v>
      </c>
      <c r="L66">
        <f>VLOOKUP(H66,$A$1:F$161,L$2,0)</f>
        <v>252.92</v>
      </c>
      <c r="M66">
        <f>VLOOKUP(H66,$A$1:F$161,M$2,0)</f>
        <v>229.05</v>
      </c>
    </row>
    <row r="67" spans="8:13" x14ac:dyDescent="0.25">
      <c r="H67" t="s">
        <v>93</v>
      </c>
      <c r="I67">
        <f>VLOOKUP(H67,$A$1:F$161,I$2,0)</f>
        <v>289.33</v>
      </c>
      <c r="J67">
        <f>VLOOKUP(H67,$A$1:F$161,J$2,0)</f>
        <v>310.38</v>
      </c>
      <c r="K67">
        <f>VLOOKUP(H67,$A$1:F$161,K$2,0)</f>
        <v>230.18</v>
      </c>
      <c r="L67">
        <f>VLOOKUP(H67,$A$1:F$161,L$2,0)</f>
        <v>252.92</v>
      </c>
      <c r="M67">
        <f>VLOOKUP(H67,$A$1:F$161,M$2,0)</f>
        <v>229.05</v>
      </c>
    </row>
    <row r="68" spans="8:13" x14ac:dyDescent="0.25">
      <c r="H68" t="s">
        <v>94</v>
      </c>
      <c r="I68">
        <f>VLOOKUP(H68,$A$1:F$161,I$2,0)</f>
        <v>289.33</v>
      </c>
      <c r="J68">
        <f>VLOOKUP(H68,$A$1:F$161,J$2,0)</f>
        <v>310.38</v>
      </c>
      <c r="K68">
        <f>VLOOKUP(H68,$A$1:F$161,K$2,0)</f>
        <v>230.18</v>
      </c>
      <c r="L68">
        <f>VLOOKUP(H68,$A$1:F$161,L$2,0)</f>
        <v>252.92</v>
      </c>
      <c r="M68">
        <f>VLOOKUP(H68,$A$1:F$161,M$2,0)</f>
        <v>229.05</v>
      </c>
    </row>
    <row r="69" spans="8:13" x14ac:dyDescent="0.25">
      <c r="H69" t="s">
        <v>101</v>
      </c>
      <c r="I69">
        <f>VLOOKUP(H69,$A$1:F$161,I$2,0)</f>
        <v>224.84</v>
      </c>
      <c r="J69">
        <f>VLOOKUP(H69,$A$1:F$161,J$2,0)</f>
        <v>430.12</v>
      </c>
      <c r="K69">
        <f>VLOOKUP(H69,$A$1:F$161,K$2,0)</f>
        <v>81.459999999999994</v>
      </c>
      <c r="L69">
        <f>VLOOKUP(H69,$A$1:F$161,L$2,0)</f>
        <v>136.86000000000001</v>
      </c>
      <c r="M69">
        <f>VLOOKUP(H69,$A$1:F$161,M$2,0)</f>
        <v>32.590000000000003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16.59</v>
      </c>
      <c r="L70">
        <f>VLOOKUP(H70,$A$1:F$161,L$2,0)</f>
        <v>27.86</v>
      </c>
      <c r="M70">
        <f>VLOOKUP(H70,$A$1:F$161,M$2,0)</f>
        <v>6.64</v>
      </c>
    </row>
    <row r="71" spans="8:13" x14ac:dyDescent="0.25">
      <c r="H71" t="s">
        <v>103</v>
      </c>
      <c r="I71">
        <f>VLOOKUP(H71,$A$1:F$161,I$2,0)</f>
        <v>690</v>
      </c>
      <c r="J71">
        <f>VLOOKUP(H71,$A$1:F$161,J$2,0)</f>
        <v>1190</v>
      </c>
      <c r="K71">
        <f>VLOOKUP(H71,$A$1:F$161,K$2,0)</f>
        <v>490</v>
      </c>
      <c r="L71">
        <f>VLOOKUP(H71,$A$1:F$161,L$2,0)</f>
        <v>440</v>
      </c>
      <c r="M71">
        <f>VLOOKUP(H71,$A$1:F$161,M$2,0)</f>
        <v>230</v>
      </c>
    </row>
    <row r="90" spans="1:6" x14ac:dyDescent="0.25">
      <c r="A90" t="s">
        <v>136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134</v>
      </c>
      <c r="C92">
        <v>44348</v>
      </c>
      <c r="D92">
        <v>43983</v>
      </c>
      <c r="E92">
        <v>43617</v>
      </c>
      <c r="F92">
        <v>43252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2256.16</v>
      </c>
      <c r="C97">
        <v>2009.42</v>
      </c>
      <c r="D97">
        <v>1678.67</v>
      </c>
      <c r="E97">
        <v>1861.15</v>
      </c>
      <c r="F97">
        <v>1676.67</v>
      </c>
    </row>
    <row r="98" spans="1:6" x14ac:dyDescent="0.25">
      <c r="A98" t="s">
        <v>70</v>
      </c>
      <c r="B98">
        <v>2256.16</v>
      </c>
      <c r="C98">
        <v>2009.42</v>
      </c>
      <c r="D98">
        <v>1678.67</v>
      </c>
      <c r="E98">
        <v>1861.15</v>
      </c>
      <c r="F98">
        <v>1676.67</v>
      </c>
    </row>
    <row r="99" spans="1:6" x14ac:dyDescent="0.25">
      <c r="A99" t="s">
        <v>71</v>
      </c>
      <c r="B99">
        <v>0</v>
      </c>
      <c r="C99">
        <v>0</v>
      </c>
      <c r="D99">
        <v>0.39</v>
      </c>
      <c r="E99">
        <v>0.5</v>
      </c>
      <c r="F99">
        <v>0.18</v>
      </c>
    </row>
    <row r="100" spans="1:6" x14ac:dyDescent="0.25">
      <c r="A100" t="s">
        <v>72</v>
      </c>
      <c r="B100">
        <v>2256.16</v>
      </c>
      <c r="C100">
        <v>2009.42</v>
      </c>
      <c r="D100">
        <v>1679.06</v>
      </c>
      <c r="E100">
        <v>1861.65</v>
      </c>
      <c r="F100">
        <v>1676.85</v>
      </c>
    </row>
    <row r="101" spans="1:6" x14ac:dyDescent="0.25">
      <c r="A101" t="s">
        <v>73</v>
      </c>
      <c r="B101">
        <v>7.74</v>
      </c>
      <c r="C101">
        <v>31.73</v>
      </c>
      <c r="D101">
        <v>11.42</v>
      </c>
      <c r="E101">
        <v>13.6</v>
      </c>
      <c r="F101">
        <v>12.75</v>
      </c>
    </row>
    <row r="102" spans="1:6" x14ac:dyDescent="0.25">
      <c r="A102" t="s">
        <v>74</v>
      </c>
      <c r="B102">
        <v>2263.9</v>
      </c>
      <c r="C102">
        <v>2041.15</v>
      </c>
      <c r="D102">
        <v>1690.48</v>
      </c>
      <c r="E102">
        <v>1875.25</v>
      </c>
      <c r="F102">
        <v>1689.6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591.41</v>
      </c>
      <c r="C104">
        <v>482.67</v>
      </c>
      <c r="D104">
        <v>188.82</v>
      </c>
      <c r="E104">
        <v>233.58</v>
      </c>
      <c r="F104">
        <v>141.32</v>
      </c>
    </row>
    <row r="105" spans="1:6" x14ac:dyDescent="0.25">
      <c r="A105" t="s">
        <v>77</v>
      </c>
      <c r="B105">
        <v>439.51</v>
      </c>
      <c r="C105">
        <v>416.55</v>
      </c>
      <c r="D105">
        <v>565.28</v>
      </c>
      <c r="E105">
        <v>608.47</v>
      </c>
      <c r="F105">
        <v>530.96</v>
      </c>
    </row>
    <row r="106" spans="1:6" x14ac:dyDescent="0.25">
      <c r="A106" t="s">
        <v>78</v>
      </c>
      <c r="B106">
        <v>18.54</v>
      </c>
      <c r="C106">
        <v>-18.489999999999998</v>
      </c>
      <c r="D106">
        <v>-25.03</v>
      </c>
      <c r="E106">
        <v>-22.71</v>
      </c>
      <c r="F106">
        <v>20.86</v>
      </c>
    </row>
    <row r="107" spans="1:6" x14ac:dyDescent="0.25">
      <c r="A107" t="s">
        <v>79</v>
      </c>
      <c r="B107">
        <v>150.11000000000001</v>
      </c>
      <c r="C107">
        <v>143.22</v>
      </c>
      <c r="D107">
        <v>119.18</v>
      </c>
      <c r="E107">
        <v>108.3</v>
      </c>
      <c r="F107">
        <v>117.91</v>
      </c>
    </row>
    <row r="108" spans="1:6" x14ac:dyDescent="0.25">
      <c r="A108" t="s">
        <v>80</v>
      </c>
      <c r="B108">
        <v>10.53</v>
      </c>
      <c r="C108">
        <v>5.25</v>
      </c>
      <c r="D108">
        <v>5.44</v>
      </c>
      <c r="E108">
        <v>7.85</v>
      </c>
      <c r="F108">
        <v>7.46</v>
      </c>
    </row>
    <row r="109" spans="1:6" x14ac:dyDescent="0.25">
      <c r="A109" t="s">
        <v>82</v>
      </c>
      <c r="B109">
        <v>68.36</v>
      </c>
      <c r="C109">
        <v>57.52</v>
      </c>
      <c r="D109">
        <v>51.05</v>
      </c>
      <c r="E109">
        <v>47.7</v>
      </c>
      <c r="F109">
        <v>42.29</v>
      </c>
    </row>
    <row r="110" spans="1:6" x14ac:dyDescent="0.25">
      <c r="A110" t="s">
        <v>83</v>
      </c>
      <c r="B110">
        <v>574.11</v>
      </c>
      <c r="C110">
        <v>524.97</v>
      </c>
      <c r="D110">
        <v>471.77</v>
      </c>
      <c r="E110">
        <v>553.01</v>
      </c>
      <c r="F110">
        <v>484.2</v>
      </c>
    </row>
    <row r="111" spans="1:6" x14ac:dyDescent="0.25">
      <c r="A111" t="s">
        <v>84</v>
      </c>
      <c r="B111">
        <v>1852.57</v>
      </c>
      <c r="C111">
        <v>1611.69</v>
      </c>
      <c r="D111">
        <v>1376.51</v>
      </c>
      <c r="E111">
        <v>1536.2</v>
      </c>
      <c r="F111">
        <v>1345</v>
      </c>
    </row>
    <row r="112" spans="1:6" x14ac:dyDescent="0.25">
      <c r="B112">
        <v>44713</v>
      </c>
      <c r="C112">
        <v>44348</v>
      </c>
      <c r="D112">
        <v>43983</v>
      </c>
      <c r="E112">
        <v>43617</v>
      </c>
      <c r="F112">
        <v>43252</v>
      </c>
    </row>
    <row r="114" spans="1:6" x14ac:dyDescent="0.25">
      <c r="B114" t="s">
        <v>5</v>
      </c>
      <c r="C114" t="s">
        <v>5</v>
      </c>
      <c r="D114" t="s">
        <v>5</v>
      </c>
      <c r="E114" t="s">
        <v>5</v>
      </c>
      <c r="F114" t="s">
        <v>5</v>
      </c>
    </row>
    <row r="116" spans="1:6" x14ac:dyDescent="0.25">
      <c r="A116" t="s">
        <v>85</v>
      </c>
      <c r="B116">
        <v>411.33</v>
      </c>
      <c r="C116">
        <v>429.46</v>
      </c>
      <c r="D116">
        <v>313.97000000000003</v>
      </c>
      <c r="E116">
        <v>339.05</v>
      </c>
      <c r="F116">
        <v>344.6</v>
      </c>
    </row>
    <row r="117" spans="1:6" x14ac:dyDescent="0.25">
      <c r="A117" t="s">
        <v>87</v>
      </c>
      <c r="B117">
        <v>411.33</v>
      </c>
      <c r="C117">
        <v>429.46</v>
      </c>
      <c r="D117">
        <v>313.97000000000003</v>
      </c>
      <c r="E117">
        <v>339.05</v>
      </c>
      <c r="F117">
        <v>344.6</v>
      </c>
    </row>
    <row r="118" spans="1:6" ht="24" customHeight="1" x14ac:dyDescent="0.25">
      <c r="A118" t="s">
        <v>88</v>
      </c>
    </row>
    <row r="119" spans="1:6" x14ac:dyDescent="0.25">
      <c r="A119" t="s">
        <v>89</v>
      </c>
      <c r="B119">
        <v>118.47</v>
      </c>
      <c r="C119">
        <v>107.9</v>
      </c>
      <c r="D119">
        <v>82.43</v>
      </c>
      <c r="E119">
        <v>135.19999999999999</v>
      </c>
      <c r="F119">
        <v>114.47</v>
      </c>
    </row>
    <row r="120" spans="1:6" x14ac:dyDescent="0.25">
      <c r="A120" t="s">
        <v>90</v>
      </c>
      <c r="B120">
        <v>-5.53</v>
      </c>
      <c r="C120">
        <v>0.59</v>
      </c>
      <c r="D120">
        <v>9.5299999999999994</v>
      </c>
      <c r="E120">
        <v>-12.99</v>
      </c>
      <c r="F120">
        <v>1.08</v>
      </c>
    </row>
    <row r="121" spans="1:6" x14ac:dyDescent="0.25">
      <c r="A121" t="s">
        <v>112</v>
      </c>
      <c r="B121">
        <v>9.06</v>
      </c>
      <c r="C121">
        <v>10.59</v>
      </c>
      <c r="D121">
        <v>-8.17</v>
      </c>
      <c r="E121">
        <v>-36.08</v>
      </c>
      <c r="F121">
        <v>0</v>
      </c>
    </row>
    <row r="122" spans="1:6" x14ac:dyDescent="0.25">
      <c r="A122" t="s">
        <v>91</v>
      </c>
      <c r="B122">
        <v>122</v>
      </c>
      <c r="C122">
        <v>119.08</v>
      </c>
      <c r="D122">
        <v>83.79</v>
      </c>
      <c r="E122">
        <v>86.13</v>
      </c>
      <c r="F122">
        <v>115.55</v>
      </c>
    </row>
    <row r="123" spans="1:6" x14ac:dyDescent="0.25">
      <c r="A123" t="s">
        <v>92</v>
      </c>
      <c r="B123">
        <v>289.33</v>
      </c>
      <c r="C123">
        <v>310.38</v>
      </c>
      <c r="D123">
        <v>230.18</v>
      </c>
      <c r="E123">
        <v>252.92</v>
      </c>
      <c r="F123">
        <v>229.05</v>
      </c>
    </row>
    <row r="124" spans="1:6" x14ac:dyDescent="0.25">
      <c r="A124" t="s">
        <v>93</v>
      </c>
      <c r="B124">
        <v>289.33</v>
      </c>
      <c r="C124">
        <v>310.38</v>
      </c>
      <c r="D124">
        <v>230.18</v>
      </c>
      <c r="E124">
        <v>252.92</v>
      </c>
      <c r="F124">
        <v>229.05</v>
      </c>
    </row>
    <row r="125" spans="1:6" x14ac:dyDescent="0.25">
      <c r="A125" t="s">
        <v>94</v>
      </c>
      <c r="B125">
        <v>289.33</v>
      </c>
      <c r="C125">
        <v>310.38</v>
      </c>
      <c r="D125">
        <v>230.18</v>
      </c>
      <c r="E125">
        <v>252.92</v>
      </c>
      <c r="F125">
        <v>229.05</v>
      </c>
    </row>
    <row r="126" spans="1:6" x14ac:dyDescent="0.25">
      <c r="B126">
        <v>44713</v>
      </c>
      <c r="C126">
        <v>44348</v>
      </c>
      <c r="D126">
        <v>43983</v>
      </c>
      <c r="E126">
        <v>43617</v>
      </c>
      <c r="F126">
        <v>43252</v>
      </c>
    </row>
    <row r="128" spans="1:6" x14ac:dyDescent="0.25">
      <c r="B128" t="s">
        <v>5</v>
      </c>
      <c r="C128" t="s">
        <v>5</v>
      </c>
      <c r="D128" t="s">
        <v>5</v>
      </c>
      <c r="E128" t="s">
        <v>5</v>
      </c>
      <c r="F128" t="s">
        <v>5</v>
      </c>
    </row>
    <row r="130" spans="1:6" ht="24" customHeight="1" x14ac:dyDescent="0.25">
      <c r="A130" t="s">
        <v>45</v>
      </c>
    </row>
    <row r="131" spans="1:6" ht="24" customHeight="1" x14ac:dyDescent="0.25">
      <c r="A131" t="s">
        <v>95</v>
      </c>
    </row>
    <row r="132" spans="1:6" x14ac:dyDescent="0.25">
      <c r="A132" t="s">
        <v>96</v>
      </c>
      <c r="B132">
        <v>88.79</v>
      </c>
      <c r="C132">
        <v>95.25</v>
      </c>
      <c r="D132">
        <v>70.64</v>
      </c>
      <c r="E132">
        <v>77.62</v>
      </c>
      <c r="F132">
        <v>70.290000000000006</v>
      </c>
    </row>
    <row r="133" spans="1:6" x14ac:dyDescent="0.25">
      <c r="A133" t="s">
        <v>97</v>
      </c>
      <c r="B133">
        <v>88.79</v>
      </c>
      <c r="C133">
        <v>95.25</v>
      </c>
      <c r="D133">
        <v>70.64</v>
      </c>
      <c r="E133">
        <v>77.62</v>
      </c>
      <c r="F133">
        <v>70.290000000000006</v>
      </c>
    </row>
    <row r="134" spans="1:6" ht="36" customHeight="1" x14ac:dyDescent="0.25">
      <c r="A134" t="s">
        <v>98</v>
      </c>
    </row>
    <row r="135" spans="1:6" ht="24" customHeight="1" x14ac:dyDescent="0.25">
      <c r="A135" t="s">
        <v>99</v>
      </c>
    </row>
    <row r="136" spans="1:6" ht="36" customHeight="1" x14ac:dyDescent="0.25">
      <c r="A136" t="s">
        <v>100</v>
      </c>
    </row>
    <row r="137" spans="1:6" x14ac:dyDescent="0.25">
      <c r="A137" t="s">
        <v>101</v>
      </c>
      <c r="B137">
        <v>224.84</v>
      </c>
      <c r="C137">
        <v>430.12</v>
      </c>
      <c r="D137">
        <v>81.459999999999994</v>
      </c>
      <c r="E137">
        <v>136.86000000000001</v>
      </c>
      <c r="F137">
        <v>32.590000000000003</v>
      </c>
    </row>
    <row r="138" spans="1:6" x14ac:dyDescent="0.25">
      <c r="A138" t="s">
        <v>102</v>
      </c>
      <c r="B138">
        <v>0</v>
      </c>
      <c r="C138">
        <v>0</v>
      </c>
      <c r="D138">
        <v>16.59</v>
      </c>
      <c r="E138">
        <v>27.86</v>
      </c>
      <c r="F138">
        <v>6.64</v>
      </c>
    </row>
    <row r="139" spans="1:6" x14ac:dyDescent="0.25">
      <c r="A139" t="s">
        <v>103</v>
      </c>
      <c r="B139">
        <v>690</v>
      </c>
      <c r="C139">
        <v>1190</v>
      </c>
      <c r="D139">
        <v>490</v>
      </c>
      <c r="E139">
        <v>440</v>
      </c>
      <c r="F139">
        <v>230</v>
      </c>
    </row>
    <row r="143" spans="1:6" ht="15" customHeight="1" x14ac:dyDescent="0.25">
      <c r="A143" t="s">
        <v>65</v>
      </c>
    </row>
  </sheetData>
  <hyperlinks>
    <hyperlink ref="B1" r:id="rId1" display="javascript:void(0);" xr:uid="{0A699F5B-8F22-4CC0-9A4B-58B2504869F5}"/>
    <hyperlink ref="B90" r:id="rId2" display="javascript:void(0);" xr:uid="{8EEB1B1A-F443-4C6B-B538-96AA5A2B9066}"/>
  </hyperlinks>
  <pageMargins left="0.7" right="0.7" top="0.75" bottom="0.75" header="0.3" footer="0.3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02B4A-F846-4896-85AC-5D57A2A52198}">
  <sheetPr codeName="Sheet15"/>
  <dimension ref="A1:M143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137</v>
      </c>
      <c r="B1" t="s">
        <v>1</v>
      </c>
      <c r="H1" t="str">
        <f>A1</f>
        <v>Sheela Foam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24.39</v>
      </c>
      <c r="J4">
        <f>VLOOKUP(H4,$A$1:F$161,J$2,0)</f>
        <v>24.39</v>
      </c>
      <c r="K4">
        <f>VLOOKUP(H4,$A$1:F$161,K$2,0)</f>
        <v>24.39</v>
      </c>
      <c r="L4">
        <f>VLOOKUP(H4,$A$1:F$161,L$2,0)</f>
        <v>24.39</v>
      </c>
      <c r="M4">
        <f>VLOOKUP(H4,$A$1:F$161,M$2,0)</f>
        <v>24.39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24.39</v>
      </c>
      <c r="J5">
        <f>VLOOKUP(H5,$A$1:F$161,J$2,0)</f>
        <v>24.39</v>
      </c>
      <c r="K5">
        <f>VLOOKUP(H5,$A$1:F$161,K$2,0)</f>
        <v>24.39</v>
      </c>
      <c r="L5">
        <f>VLOOKUP(H5,$A$1:F$161,L$2,0)</f>
        <v>24.39</v>
      </c>
      <c r="M5">
        <f>VLOOKUP(H5,$A$1:F$161,M$2,0)</f>
        <v>24.39</v>
      </c>
    </row>
    <row r="6" spans="1:13" x14ac:dyDescent="0.25">
      <c r="H6" t="s">
        <v>10</v>
      </c>
      <c r="I6">
        <f>VLOOKUP(H6,$A$1:F$161,I$2,0)</f>
        <v>1185.1300000000001</v>
      </c>
      <c r="J6">
        <f>VLOOKUP(H6,$A$1:F$161,J$2,0)</f>
        <v>988.98</v>
      </c>
      <c r="K6">
        <f>VLOOKUP(H6,$A$1:F$161,K$2,0)</f>
        <v>805.73</v>
      </c>
      <c r="L6">
        <f>VLOOKUP(H6,$A$1:F$161,L$2,0)</f>
        <v>644.67999999999995</v>
      </c>
      <c r="M6">
        <f>VLOOKUP(H6,$A$1:F$161,M$2,0)</f>
        <v>521.94000000000005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1185.1300000000001</v>
      </c>
      <c r="J7">
        <f>VLOOKUP(H7,$A$1:F$161,J$2,0)</f>
        <v>988.98</v>
      </c>
      <c r="K7">
        <f>VLOOKUP(H7,$A$1:F$161,K$2,0)</f>
        <v>805.73</v>
      </c>
      <c r="L7">
        <f>VLOOKUP(H7,$A$1:F$161,L$2,0)</f>
        <v>644.67999999999995</v>
      </c>
      <c r="M7">
        <f>VLOOKUP(H7,$A$1:F$161,M$2,0)</f>
        <v>521.94000000000005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1209.52</v>
      </c>
      <c r="J8">
        <f>VLOOKUP(H8,$A$1:F$161,J$2,0)</f>
        <v>1013.37</v>
      </c>
      <c r="K8">
        <f>VLOOKUP(H8,$A$1:F$161,K$2,0)</f>
        <v>830.12</v>
      </c>
      <c r="L8">
        <f>VLOOKUP(H8,$A$1:F$161,L$2,0)</f>
        <v>669.08</v>
      </c>
      <c r="M8">
        <f>VLOOKUP(H8,$A$1:F$161,M$2,0)</f>
        <v>546.33000000000004</v>
      </c>
    </row>
    <row r="9" spans="1:13" x14ac:dyDescent="0.25">
      <c r="A9" t="s">
        <v>8</v>
      </c>
      <c r="B9">
        <v>24.39</v>
      </c>
      <c r="C9">
        <v>24.39</v>
      </c>
      <c r="D9">
        <v>24.39</v>
      </c>
      <c r="E9">
        <v>24.39</v>
      </c>
      <c r="F9">
        <v>24.39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0.3</v>
      </c>
      <c r="M9">
        <f>VLOOKUP(H9,$A$1:F$161,M$2,0)</f>
        <v>0.3</v>
      </c>
    </row>
    <row r="10" spans="1:13" x14ac:dyDescent="0.25">
      <c r="A10" t="s">
        <v>9</v>
      </c>
      <c r="B10">
        <v>24.39</v>
      </c>
      <c r="C10">
        <v>24.39</v>
      </c>
      <c r="D10">
        <v>24.39</v>
      </c>
      <c r="E10">
        <v>24.39</v>
      </c>
      <c r="F10">
        <v>24.39</v>
      </c>
      <c r="H10" t="s">
        <v>16</v>
      </c>
      <c r="I10">
        <f>VLOOKUP(H10,$A$1:F$161,I$2,0)</f>
        <v>68.84</v>
      </c>
      <c r="J10">
        <f>VLOOKUP(H10,$A$1:F$161,J$2,0)</f>
        <v>86.35</v>
      </c>
      <c r="K10">
        <f>VLOOKUP(H10,$A$1:F$161,K$2,0)</f>
        <v>76.27</v>
      </c>
      <c r="L10">
        <f>VLOOKUP(H10,$A$1:F$161,L$2,0)</f>
        <v>69.650000000000006</v>
      </c>
      <c r="M10">
        <f>VLOOKUP(H10,$A$1:F$161,M$2,0)</f>
        <v>54.45</v>
      </c>
    </row>
    <row r="11" spans="1:13" x14ac:dyDescent="0.25">
      <c r="A11" t="s">
        <v>10</v>
      </c>
      <c r="B11">
        <v>1185.1300000000001</v>
      </c>
      <c r="C11">
        <v>988.98</v>
      </c>
      <c r="D11">
        <v>805.73</v>
      </c>
      <c r="E11">
        <v>644.67999999999995</v>
      </c>
      <c r="F11">
        <v>521.94000000000005</v>
      </c>
      <c r="H11" t="s">
        <v>17</v>
      </c>
      <c r="I11">
        <f>VLOOKUP(H11,$A$1:F$161,I$2,0)</f>
        <v>14.08</v>
      </c>
      <c r="J11">
        <f>VLOOKUP(H11,$A$1:F$161,J$2,0)</f>
        <v>4.62</v>
      </c>
      <c r="K11">
        <f>VLOOKUP(H11,$A$1:F$161,K$2,0)</f>
        <v>7.32</v>
      </c>
      <c r="L11">
        <f>VLOOKUP(H11,$A$1:F$161,L$2,0)</f>
        <v>6.76</v>
      </c>
      <c r="M11">
        <f>VLOOKUP(H11,$A$1:F$161,M$2,0)</f>
        <v>14.64</v>
      </c>
    </row>
    <row r="12" spans="1:13" x14ac:dyDescent="0.25">
      <c r="A12" t="s">
        <v>11</v>
      </c>
      <c r="B12">
        <v>1185.1300000000001</v>
      </c>
      <c r="C12">
        <v>988.98</v>
      </c>
      <c r="D12">
        <v>805.73</v>
      </c>
      <c r="E12">
        <v>644.67999999999995</v>
      </c>
      <c r="F12">
        <v>521.94000000000005</v>
      </c>
      <c r="H12" t="s">
        <v>18</v>
      </c>
      <c r="I12">
        <f>VLOOKUP(H12,$A$1:F$161,I$2,0)</f>
        <v>87.74</v>
      </c>
      <c r="J12">
        <f>VLOOKUP(H12,$A$1:F$161,J$2,0)</f>
        <v>99.26</v>
      </c>
      <c r="K12">
        <f>VLOOKUP(H12,$A$1:F$161,K$2,0)</f>
        <v>90.38</v>
      </c>
      <c r="L12">
        <f>VLOOKUP(H12,$A$1:F$161,L$2,0)</f>
        <v>88.13</v>
      </c>
      <c r="M12">
        <f>VLOOKUP(H12,$A$1:F$161,M$2,0)</f>
        <v>74.95</v>
      </c>
    </row>
    <row r="13" spans="1:13" x14ac:dyDescent="0.25">
      <c r="A13" t="s">
        <v>12</v>
      </c>
      <c r="B13">
        <v>1209.52</v>
      </c>
      <c r="C13">
        <v>1013.37</v>
      </c>
      <c r="D13">
        <v>830.12</v>
      </c>
      <c r="E13">
        <v>669.08</v>
      </c>
      <c r="F13">
        <v>546.33000000000004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209.48</v>
      </c>
      <c r="J14">
        <f>VLOOKUP(H14,$A$1:F$161,J$2,0)</f>
        <v>160.21</v>
      </c>
      <c r="K14">
        <f>VLOOKUP(H14,$A$1:F$161,K$2,0)</f>
        <v>114.05</v>
      </c>
      <c r="L14">
        <f>VLOOKUP(H14,$A$1:F$161,L$2,0)</f>
        <v>116.55</v>
      </c>
      <c r="M14">
        <f>VLOOKUP(H14,$A$1:F$161,M$2,0)</f>
        <v>113.15</v>
      </c>
    </row>
    <row r="15" spans="1:13" x14ac:dyDescent="0.25">
      <c r="A15" t="s">
        <v>14</v>
      </c>
      <c r="B15">
        <v>0</v>
      </c>
      <c r="C15">
        <v>0</v>
      </c>
      <c r="D15">
        <v>0</v>
      </c>
      <c r="E15">
        <v>0.3</v>
      </c>
      <c r="F15">
        <v>0.3</v>
      </c>
      <c r="H15" t="s">
        <v>22</v>
      </c>
      <c r="I15">
        <f>VLOOKUP(H15,$A$1:F$161,I$2,0)</f>
        <v>114.57</v>
      </c>
      <c r="J15">
        <f>VLOOKUP(H15,$A$1:F$161,J$2,0)</f>
        <v>150.32</v>
      </c>
      <c r="K15">
        <f>VLOOKUP(H15,$A$1:F$161,K$2,0)</f>
        <v>129.47</v>
      </c>
      <c r="L15">
        <f>VLOOKUP(H15,$A$1:F$161,L$2,0)</f>
        <v>144.22999999999999</v>
      </c>
      <c r="M15">
        <f>VLOOKUP(H15,$A$1:F$161,M$2,0)</f>
        <v>142.15</v>
      </c>
    </row>
    <row r="16" spans="1:13" x14ac:dyDescent="0.25">
      <c r="A16" t="s">
        <v>15</v>
      </c>
      <c r="B16">
        <v>4.82</v>
      </c>
      <c r="C16">
        <v>8.2899999999999991</v>
      </c>
      <c r="D16">
        <v>6.79</v>
      </c>
      <c r="E16">
        <v>11.42</v>
      </c>
      <c r="F16">
        <v>5.56</v>
      </c>
      <c r="H16" t="s">
        <v>23</v>
      </c>
      <c r="I16">
        <f>VLOOKUP(H16,$A$1:F$161,I$2,0)</f>
        <v>2.48</v>
      </c>
      <c r="J16">
        <f>VLOOKUP(H16,$A$1:F$161,J$2,0)</f>
        <v>4.3499999999999996</v>
      </c>
      <c r="K16">
        <f>VLOOKUP(H16,$A$1:F$161,K$2,0)</f>
        <v>5.47</v>
      </c>
      <c r="L16">
        <f>VLOOKUP(H16,$A$1:F$161,L$2,0)</f>
        <v>4.8600000000000003</v>
      </c>
      <c r="M16">
        <f>VLOOKUP(H16,$A$1:F$161,M$2,0)</f>
        <v>11.72</v>
      </c>
    </row>
    <row r="17" spans="1:13" x14ac:dyDescent="0.25">
      <c r="A17" t="s">
        <v>16</v>
      </c>
      <c r="B17">
        <v>68.84</v>
      </c>
      <c r="C17">
        <v>86.35</v>
      </c>
      <c r="D17">
        <v>76.27</v>
      </c>
      <c r="E17">
        <v>69.650000000000006</v>
      </c>
      <c r="F17">
        <v>54.45</v>
      </c>
      <c r="H17" t="s">
        <v>24</v>
      </c>
      <c r="I17">
        <f>VLOOKUP(H17,$A$1:F$161,I$2,0)</f>
        <v>326.52999999999997</v>
      </c>
      <c r="J17">
        <f>VLOOKUP(H17,$A$1:F$161,J$2,0)</f>
        <v>314.88</v>
      </c>
      <c r="K17">
        <f>VLOOKUP(H17,$A$1:F$161,K$2,0)</f>
        <v>249.02</v>
      </c>
      <c r="L17">
        <f>VLOOKUP(H17,$A$1:F$161,L$2,0)</f>
        <v>265.64999999999998</v>
      </c>
      <c r="M17">
        <f>VLOOKUP(H17,$A$1:F$161,M$2,0)</f>
        <v>267.19</v>
      </c>
    </row>
    <row r="18" spans="1:13" x14ac:dyDescent="0.25">
      <c r="A18" t="s">
        <v>17</v>
      </c>
      <c r="B18">
        <v>14.08</v>
      </c>
      <c r="C18">
        <v>4.62</v>
      </c>
      <c r="D18">
        <v>7.32</v>
      </c>
      <c r="E18">
        <v>6.76</v>
      </c>
      <c r="F18">
        <v>14.64</v>
      </c>
      <c r="H18" t="s">
        <v>25</v>
      </c>
      <c r="I18">
        <f>VLOOKUP(H18,$A$1:F$161,I$2,0)</f>
        <v>1623.79</v>
      </c>
      <c r="J18">
        <f>VLOOKUP(H18,$A$1:F$161,J$2,0)</f>
        <v>1427.52</v>
      </c>
      <c r="K18">
        <f>VLOOKUP(H18,$A$1:F$161,K$2,0)</f>
        <v>1169.52</v>
      </c>
      <c r="L18">
        <f>VLOOKUP(H18,$A$1:F$161,L$2,0)</f>
        <v>1022.85</v>
      </c>
      <c r="M18">
        <f>VLOOKUP(H18,$A$1:F$161,M$2,0)</f>
        <v>888.47</v>
      </c>
    </row>
    <row r="19" spans="1:13" x14ac:dyDescent="0.25">
      <c r="A19" t="s">
        <v>18</v>
      </c>
      <c r="B19">
        <v>87.74</v>
      </c>
      <c r="C19">
        <v>99.26</v>
      </c>
      <c r="D19">
        <v>90.38</v>
      </c>
      <c r="E19">
        <v>88.13</v>
      </c>
      <c r="F19">
        <v>74.95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0</v>
      </c>
      <c r="C21">
        <v>0</v>
      </c>
      <c r="D21">
        <v>0.02</v>
      </c>
      <c r="E21">
        <v>0</v>
      </c>
      <c r="F21">
        <v>0.18</v>
      </c>
      <c r="H21" t="s">
        <v>28</v>
      </c>
      <c r="I21">
        <f>VLOOKUP(H21,$A$1:F$161,I$2,0)</f>
        <v>253.37</v>
      </c>
      <c r="J21">
        <f>VLOOKUP(H21,$A$1:F$161,J$2,0)</f>
        <v>273.7</v>
      </c>
      <c r="K21">
        <f>VLOOKUP(H21,$A$1:F$161,K$2,0)</f>
        <v>275.27999999999997</v>
      </c>
      <c r="L21">
        <f>VLOOKUP(H21,$A$1:F$161,L$2,0)</f>
        <v>265.38</v>
      </c>
      <c r="M21">
        <f>VLOOKUP(H21,$A$1:F$161,M$2,0)</f>
        <v>252.39</v>
      </c>
    </row>
    <row r="22" spans="1:13" x14ac:dyDescent="0.25">
      <c r="A22" t="s">
        <v>21</v>
      </c>
      <c r="B22">
        <v>209.48</v>
      </c>
      <c r="C22">
        <v>160.21</v>
      </c>
      <c r="D22">
        <v>114.05</v>
      </c>
      <c r="E22">
        <v>116.55</v>
      </c>
      <c r="F22">
        <v>113.15</v>
      </c>
      <c r="H22" t="s">
        <v>29</v>
      </c>
      <c r="I22">
        <f>VLOOKUP(H22,$A$1:F$161,I$2,0)</f>
        <v>0.64</v>
      </c>
      <c r="J22">
        <f>VLOOKUP(H22,$A$1:F$161,J$2,0)</f>
        <v>1.17</v>
      </c>
      <c r="K22">
        <f>VLOOKUP(H22,$A$1:F$161,K$2,0)</f>
        <v>16.53</v>
      </c>
      <c r="L22">
        <f>VLOOKUP(H22,$A$1:F$161,L$2,0)</f>
        <v>0.74</v>
      </c>
      <c r="M22">
        <f>VLOOKUP(H22,$A$1:F$161,M$2,0)</f>
        <v>3.72</v>
      </c>
    </row>
    <row r="23" spans="1:13" x14ac:dyDescent="0.25">
      <c r="A23" t="s">
        <v>22</v>
      </c>
      <c r="B23">
        <v>114.57</v>
      </c>
      <c r="C23">
        <v>150.32</v>
      </c>
      <c r="D23">
        <v>129.47</v>
      </c>
      <c r="E23">
        <v>144.22999999999999</v>
      </c>
      <c r="F23">
        <v>142.15</v>
      </c>
      <c r="H23" t="s">
        <v>30</v>
      </c>
      <c r="I23">
        <f>VLOOKUP(H23,$A$1:F$161,I$2,0)</f>
        <v>257.63</v>
      </c>
      <c r="J23">
        <f>VLOOKUP(H23,$A$1:F$161,J$2,0)</f>
        <v>278.72000000000003</v>
      </c>
      <c r="K23">
        <f>VLOOKUP(H23,$A$1:F$161,K$2,0)</f>
        <v>295.45999999999998</v>
      </c>
      <c r="L23">
        <f>VLOOKUP(H23,$A$1:F$161,L$2,0)</f>
        <v>269.97000000000003</v>
      </c>
      <c r="M23">
        <f>VLOOKUP(H23,$A$1:F$161,M$2,0)</f>
        <v>257.38</v>
      </c>
    </row>
    <row r="24" spans="1:13" x14ac:dyDescent="0.25">
      <c r="A24" t="s">
        <v>23</v>
      </c>
      <c r="B24">
        <v>2.48</v>
      </c>
      <c r="C24">
        <v>4.3499999999999996</v>
      </c>
      <c r="D24">
        <v>5.47</v>
      </c>
      <c r="E24">
        <v>4.8600000000000003</v>
      </c>
      <c r="F24">
        <v>11.72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24</v>
      </c>
      <c r="B25">
        <v>326.52999999999997</v>
      </c>
      <c r="C25">
        <v>314.88</v>
      </c>
      <c r="D25">
        <v>249.02</v>
      </c>
      <c r="E25">
        <v>265.64999999999998</v>
      </c>
      <c r="F25">
        <v>267.19</v>
      </c>
      <c r="H25" t="s">
        <v>33</v>
      </c>
      <c r="I25">
        <f>VLOOKUP(H25,$A$1:F$161,I$2,0)</f>
        <v>77.78</v>
      </c>
      <c r="J25">
        <f>VLOOKUP(H25,$A$1:F$161,J$2,0)</f>
        <v>50.68</v>
      </c>
      <c r="K25">
        <f>VLOOKUP(H25,$A$1:F$161,K$2,0)</f>
        <v>48.45</v>
      </c>
      <c r="L25">
        <f>VLOOKUP(H25,$A$1:F$161,L$2,0)</f>
        <v>2.35</v>
      </c>
      <c r="M25">
        <f>VLOOKUP(H25,$A$1:F$161,M$2,0)</f>
        <v>2.16</v>
      </c>
    </row>
    <row r="26" spans="1:13" x14ac:dyDescent="0.25">
      <c r="A26" t="s">
        <v>25</v>
      </c>
      <c r="B26">
        <v>1623.79</v>
      </c>
      <c r="C26">
        <v>1427.52</v>
      </c>
      <c r="D26">
        <v>1169.52</v>
      </c>
      <c r="E26">
        <v>1022.85</v>
      </c>
      <c r="F26">
        <v>888.47</v>
      </c>
      <c r="H26" t="s">
        <v>34</v>
      </c>
      <c r="I26">
        <f>VLOOKUP(H26,$A$1:F$161,I$2,0)</f>
        <v>25.08</v>
      </c>
      <c r="J26">
        <f>VLOOKUP(H26,$A$1:F$161,J$2,0)</f>
        <v>3.03</v>
      </c>
      <c r="K26">
        <f>VLOOKUP(H26,$A$1:F$161,K$2,0)</f>
        <v>11.3</v>
      </c>
      <c r="L26">
        <f>VLOOKUP(H26,$A$1:F$161,L$2,0)</f>
        <v>12.51</v>
      </c>
      <c r="M26">
        <f>VLOOKUP(H26,$A$1:F$161,M$2,0)</f>
        <v>5.64</v>
      </c>
    </row>
    <row r="27" spans="1:13" x14ac:dyDescent="0.25">
      <c r="A27" t="s">
        <v>26</v>
      </c>
      <c r="H27" t="s">
        <v>35</v>
      </c>
      <c r="I27">
        <f>VLOOKUP(H27,$A$1:F$161,I$2,0)</f>
        <v>1115.9000000000001</v>
      </c>
      <c r="J27">
        <f>VLOOKUP(H27,$A$1:F$161,J$2,0)</f>
        <v>849.74</v>
      </c>
      <c r="K27">
        <f>VLOOKUP(H27,$A$1:F$161,K$2,0)</f>
        <v>580.76</v>
      </c>
      <c r="L27">
        <f>VLOOKUP(H27,$A$1:F$161,L$2,0)</f>
        <v>433.38</v>
      </c>
      <c r="M27">
        <f>VLOOKUP(H27,$A$1:F$161,M$2,0)</f>
        <v>399.33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253.37</v>
      </c>
      <c r="C29">
        <v>273.7</v>
      </c>
      <c r="D29">
        <v>275.27999999999997</v>
      </c>
      <c r="E29">
        <v>265.38</v>
      </c>
      <c r="F29">
        <v>252.39</v>
      </c>
      <c r="H29" t="s">
        <v>38</v>
      </c>
      <c r="I29">
        <f>VLOOKUP(H29,$A$1:F$161,I$2,0)</f>
        <v>203.47</v>
      </c>
      <c r="J29">
        <f>VLOOKUP(H29,$A$1:F$161,J$2,0)</f>
        <v>228.32</v>
      </c>
      <c r="K29">
        <f>VLOOKUP(H29,$A$1:F$161,K$2,0)</f>
        <v>165.18</v>
      </c>
      <c r="L29">
        <f>VLOOKUP(H29,$A$1:F$161,L$2,0)</f>
        <v>152.96</v>
      </c>
      <c r="M29">
        <f>VLOOKUP(H29,$A$1:F$161,M$2,0)</f>
        <v>129.85</v>
      </c>
    </row>
    <row r="30" spans="1:13" x14ac:dyDescent="0.25">
      <c r="A30" t="s">
        <v>29</v>
      </c>
      <c r="B30">
        <v>0.64</v>
      </c>
      <c r="C30">
        <v>1.17</v>
      </c>
      <c r="D30">
        <v>16.53</v>
      </c>
      <c r="E30">
        <v>0.74</v>
      </c>
      <c r="F30">
        <v>3.72</v>
      </c>
      <c r="H30" t="s">
        <v>39</v>
      </c>
      <c r="I30">
        <f>VLOOKUP(H30,$A$1:F$161,I$2,0)</f>
        <v>151.63</v>
      </c>
      <c r="J30">
        <f>VLOOKUP(H30,$A$1:F$161,J$2,0)</f>
        <v>163.05000000000001</v>
      </c>
      <c r="K30">
        <f>VLOOKUP(H30,$A$1:F$161,K$2,0)</f>
        <v>126.4</v>
      </c>
      <c r="L30">
        <f>VLOOKUP(H30,$A$1:F$161,L$2,0)</f>
        <v>102.66</v>
      </c>
      <c r="M30">
        <f>VLOOKUP(H30,$A$1:F$161,M$2,0)</f>
        <v>101.6</v>
      </c>
    </row>
    <row r="31" spans="1:13" x14ac:dyDescent="0.25">
      <c r="A31" t="s">
        <v>121</v>
      </c>
      <c r="B31">
        <v>3.63</v>
      </c>
      <c r="C31">
        <v>3.84</v>
      </c>
      <c r="D31">
        <v>3.65</v>
      </c>
      <c r="E31">
        <v>3.85</v>
      </c>
      <c r="F31">
        <v>1.28</v>
      </c>
      <c r="H31" t="s">
        <v>40</v>
      </c>
      <c r="I31">
        <f>VLOOKUP(H31,$A$1:F$161,I$2,0)</f>
        <v>14.63</v>
      </c>
      <c r="J31">
        <f>VLOOKUP(H31,$A$1:F$161,J$2,0)</f>
        <v>35.51</v>
      </c>
      <c r="K31">
        <f>VLOOKUP(H31,$A$1:F$161,K$2,0)</f>
        <v>29.15</v>
      </c>
      <c r="L31">
        <f>VLOOKUP(H31,$A$1:F$161,L$2,0)</f>
        <v>12.24</v>
      </c>
      <c r="M31">
        <f>VLOOKUP(H31,$A$1:F$161,M$2,0)</f>
        <v>144.84</v>
      </c>
    </row>
    <row r="32" spans="1:13" x14ac:dyDescent="0.25">
      <c r="A32" t="s">
        <v>30</v>
      </c>
      <c r="B32">
        <v>257.63</v>
      </c>
      <c r="C32">
        <v>278.72000000000003</v>
      </c>
      <c r="D32">
        <v>295.45999999999998</v>
      </c>
      <c r="E32">
        <v>269.97000000000003</v>
      </c>
      <c r="F32">
        <v>257.38</v>
      </c>
      <c r="H32" t="s">
        <v>41</v>
      </c>
      <c r="I32">
        <f>VLOOKUP(H32,$A$1:F$161,I$2,0)</f>
        <v>5.55</v>
      </c>
      <c r="J32">
        <f>VLOOKUP(H32,$A$1:F$161,J$2,0)</f>
        <v>5.55</v>
      </c>
      <c r="K32">
        <f>VLOOKUP(H32,$A$1:F$161,K$2,0)</f>
        <v>5.61</v>
      </c>
      <c r="L32">
        <f>VLOOKUP(H32,$A$1:F$161,L$2,0)</f>
        <v>0.19</v>
      </c>
      <c r="M32">
        <f>VLOOKUP(H32,$A$1:F$161,M$2,0)</f>
        <v>0.39</v>
      </c>
    </row>
    <row r="33" spans="1:13" x14ac:dyDescent="0.25">
      <c r="A33" t="s">
        <v>31</v>
      </c>
      <c r="B33">
        <v>755.41</v>
      </c>
      <c r="C33">
        <v>517.30999999999995</v>
      </c>
      <c r="D33">
        <v>225.56</v>
      </c>
      <c r="E33">
        <v>148.56</v>
      </c>
      <c r="F33">
        <v>134.15</v>
      </c>
      <c r="H33" t="s">
        <v>42</v>
      </c>
      <c r="I33">
        <f>VLOOKUP(H33,$A$1:F$161,I$2,0)</f>
        <v>48.63</v>
      </c>
      <c r="J33">
        <f>VLOOKUP(H33,$A$1:F$161,J$2,0)</f>
        <v>39.35</v>
      </c>
      <c r="K33">
        <f>VLOOKUP(H33,$A$1:F$161,K$2,0)</f>
        <v>44.5</v>
      </c>
      <c r="L33">
        <f>VLOOKUP(H33,$A$1:F$161,L$2,0)</f>
        <v>53.75</v>
      </c>
      <c r="M33">
        <f>VLOOKUP(H33,$A$1:F$161,M$2,0)</f>
        <v>51.86</v>
      </c>
    </row>
    <row r="34" spans="1:13" x14ac:dyDescent="0.25">
      <c r="A34" t="s">
        <v>33</v>
      </c>
      <c r="B34">
        <v>77.78</v>
      </c>
      <c r="C34">
        <v>50.68</v>
      </c>
      <c r="D34">
        <v>48.45</v>
      </c>
      <c r="E34">
        <v>2.35</v>
      </c>
      <c r="F34">
        <v>2.16</v>
      </c>
      <c r="H34" t="s">
        <v>43</v>
      </c>
      <c r="I34">
        <f>VLOOKUP(H34,$A$1:F$161,I$2,0)</f>
        <v>507.9</v>
      </c>
      <c r="J34">
        <f>VLOOKUP(H34,$A$1:F$161,J$2,0)</f>
        <v>577.78</v>
      </c>
      <c r="K34">
        <f>VLOOKUP(H34,$A$1:F$161,K$2,0)</f>
        <v>588.76</v>
      </c>
      <c r="L34">
        <f>VLOOKUP(H34,$A$1:F$161,L$2,0)</f>
        <v>589.47</v>
      </c>
      <c r="M34">
        <f>VLOOKUP(H34,$A$1:F$161,M$2,0)</f>
        <v>489.14</v>
      </c>
    </row>
    <row r="35" spans="1:13" x14ac:dyDescent="0.25">
      <c r="A35" t="s">
        <v>34</v>
      </c>
      <c r="B35">
        <v>25.08</v>
      </c>
      <c r="C35">
        <v>3.03</v>
      </c>
      <c r="D35">
        <v>11.3</v>
      </c>
      <c r="E35">
        <v>12.51</v>
      </c>
      <c r="F35">
        <v>5.64</v>
      </c>
      <c r="H35" t="s">
        <v>44</v>
      </c>
      <c r="I35">
        <f>VLOOKUP(H35,$A$1:F$161,I$2,0)</f>
        <v>1623.79</v>
      </c>
      <c r="J35">
        <f>VLOOKUP(H35,$A$1:F$161,J$2,0)</f>
        <v>1427.52</v>
      </c>
      <c r="K35">
        <f>VLOOKUP(H35,$A$1:F$161,K$2,0)</f>
        <v>1169.52</v>
      </c>
      <c r="L35">
        <f>VLOOKUP(H35,$A$1:F$161,L$2,0)</f>
        <v>1022.85</v>
      </c>
      <c r="M35">
        <f>VLOOKUP(H35,$A$1:F$161,M$2,0)</f>
        <v>888.47</v>
      </c>
    </row>
    <row r="36" spans="1:13" x14ac:dyDescent="0.25">
      <c r="A36" t="s">
        <v>35</v>
      </c>
      <c r="B36">
        <v>1115.9000000000001</v>
      </c>
      <c r="C36">
        <v>849.74</v>
      </c>
      <c r="D36">
        <v>580.76</v>
      </c>
      <c r="E36">
        <v>433.38</v>
      </c>
      <c r="F36">
        <v>399.33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37</v>
      </c>
      <c r="B38">
        <v>83.98</v>
      </c>
      <c r="C38">
        <v>106</v>
      </c>
      <c r="D38">
        <v>217.92</v>
      </c>
      <c r="E38">
        <v>267.67</v>
      </c>
      <c r="F38">
        <v>60.59</v>
      </c>
      <c r="H38" t="s">
        <v>47</v>
      </c>
      <c r="I38">
        <f>VLOOKUP(H38,$A$1:F$161,I$2,0)</f>
        <v>20.350000000000001</v>
      </c>
      <c r="J38">
        <f>VLOOKUP(H38,$A$1:F$161,J$2,0)</f>
        <v>54.54</v>
      </c>
      <c r="K38">
        <f>VLOOKUP(H38,$A$1:F$161,K$2,0)</f>
        <v>55.47</v>
      </c>
      <c r="L38">
        <f>VLOOKUP(H38,$A$1:F$161,L$2,0)</f>
        <v>42.21</v>
      </c>
      <c r="M38">
        <f>VLOOKUP(H38,$A$1:F$161,M$2,0)</f>
        <v>27.39</v>
      </c>
    </row>
    <row r="39" spans="1:13" x14ac:dyDescent="0.25">
      <c r="A39" t="s">
        <v>38</v>
      </c>
      <c r="B39">
        <v>203.47</v>
      </c>
      <c r="C39">
        <v>228.32</v>
      </c>
      <c r="D39">
        <v>165.18</v>
      </c>
      <c r="E39">
        <v>152.96</v>
      </c>
      <c r="F39">
        <v>129.85</v>
      </c>
      <c r="H39" t="s">
        <v>62</v>
      </c>
      <c r="I39">
        <f>VLOOKUP(H39,$A$1:F$161,I$2,0)</f>
        <v>83.98</v>
      </c>
      <c r="J39">
        <f>VLOOKUP(H39,$A$1:F$161,J$2,0)</f>
        <v>106</v>
      </c>
      <c r="K39">
        <f>VLOOKUP(H39,$A$1:F$161,K$2,0)</f>
        <v>217.92</v>
      </c>
      <c r="L39">
        <f>VLOOKUP(H39,$A$1:F$161,L$2,0)</f>
        <v>267.67</v>
      </c>
      <c r="M39">
        <f>VLOOKUP(H39,$A$1:F$161,M$2,0)</f>
        <v>60.59</v>
      </c>
    </row>
    <row r="40" spans="1:13" x14ac:dyDescent="0.25">
      <c r="A40" t="s">
        <v>39</v>
      </c>
      <c r="B40">
        <v>151.63</v>
      </c>
      <c r="C40">
        <v>163.05000000000001</v>
      </c>
      <c r="D40">
        <v>126.4</v>
      </c>
      <c r="E40">
        <v>102.66</v>
      </c>
      <c r="F40">
        <v>101.6</v>
      </c>
      <c r="H40" t="s">
        <v>63</v>
      </c>
      <c r="I40">
        <f>VLOOKUP(H40,$A$1:F$161,I$2,0)</f>
        <v>83.98</v>
      </c>
      <c r="J40">
        <f>VLOOKUP(H40,$A$1:F$161,J$2,0)</f>
        <v>106</v>
      </c>
      <c r="K40">
        <f>VLOOKUP(H40,$A$1:F$161,K$2,0)</f>
        <v>217.92</v>
      </c>
      <c r="L40">
        <f>VLOOKUP(H40,$A$1:F$161,L$2,0)</f>
        <v>257.67</v>
      </c>
      <c r="M40">
        <f>VLOOKUP(H40,$A$1:F$161,M$2,0)</f>
        <v>60.59</v>
      </c>
    </row>
    <row r="41" spans="1:13" x14ac:dyDescent="0.25">
      <c r="A41" t="s">
        <v>40</v>
      </c>
      <c r="B41">
        <v>14.63</v>
      </c>
      <c r="C41">
        <v>35.51</v>
      </c>
      <c r="D41">
        <v>29.15</v>
      </c>
      <c r="E41">
        <v>12.24</v>
      </c>
      <c r="F41">
        <v>144.84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>
        <f>VLOOKUP(H41,$A$1:F$161,L$2,0)</f>
        <v>10</v>
      </c>
      <c r="M41" t="str">
        <f>VLOOKUP(H41,$A$1:F$161,M$2,0)</f>
        <v>-</v>
      </c>
    </row>
    <row r="42" spans="1:13" x14ac:dyDescent="0.25">
      <c r="A42" t="s">
        <v>41</v>
      </c>
      <c r="B42">
        <v>5.55</v>
      </c>
      <c r="C42">
        <v>5.55</v>
      </c>
      <c r="D42">
        <v>5.61</v>
      </c>
      <c r="E42">
        <v>0.19</v>
      </c>
      <c r="F42">
        <v>0.39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42</v>
      </c>
      <c r="B43">
        <v>48.63</v>
      </c>
      <c r="C43">
        <v>39.35</v>
      </c>
      <c r="D43">
        <v>44.5</v>
      </c>
      <c r="E43">
        <v>53.75</v>
      </c>
      <c r="F43">
        <v>51.86</v>
      </c>
      <c r="H43" t="s">
        <v>68</v>
      </c>
      <c r="I43">
        <f>VLOOKUP(H43,$A$1:F$161,I$2,0)</f>
        <v>2122.56</v>
      </c>
      <c r="J43">
        <f>VLOOKUP(H43,$A$1:F$161,J$2,0)</f>
        <v>1687.89</v>
      </c>
      <c r="K43">
        <f>VLOOKUP(H43,$A$1:F$161,K$2,0)</f>
        <v>1745.25</v>
      </c>
      <c r="L43">
        <f>VLOOKUP(H43,$A$1:F$161,L$2,0)</f>
        <v>1802.97</v>
      </c>
      <c r="M43">
        <f>VLOOKUP(H43,$A$1:F$161,M$2,0)</f>
        <v>1686.38</v>
      </c>
    </row>
    <row r="44" spans="1:13" x14ac:dyDescent="0.25">
      <c r="A44" t="s">
        <v>43</v>
      </c>
      <c r="B44">
        <v>507.9</v>
      </c>
      <c r="C44">
        <v>577.78</v>
      </c>
      <c r="D44">
        <v>588.76</v>
      </c>
      <c r="E44">
        <v>589.47</v>
      </c>
      <c r="F44">
        <v>489.14</v>
      </c>
      <c r="H44" t="s">
        <v>70</v>
      </c>
      <c r="I44">
        <f>VLOOKUP(H44,$A$1:F$161,I$2,0)</f>
        <v>2122.56</v>
      </c>
      <c r="J44">
        <f>VLOOKUP(H44,$A$1:F$161,J$2,0)</f>
        <v>1687.89</v>
      </c>
      <c r="K44">
        <f>VLOOKUP(H44,$A$1:F$161,K$2,0)</f>
        <v>1745.25</v>
      </c>
      <c r="L44">
        <f>VLOOKUP(H44,$A$1:F$161,L$2,0)</f>
        <v>1802.97</v>
      </c>
      <c r="M44">
        <f>VLOOKUP(H44,$A$1:F$161,M$2,0)</f>
        <v>1647.25</v>
      </c>
    </row>
    <row r="45" spans="1:13" x14ac:dyDescent="0.25">
      <c r="A45" t="s">
        <v>44</v>
      </c>
      <c r="B45">
        <v>1623.79</v>
      </c>
      <c r="C45">
        <v>1427.52</v>
      </c>
      <c r="D45">
        <v>1169.52</v>
      </c>
      <c r="E45">
        <v>1022.85</v>
      </c>
      <c r="F45">
        <v>888.47</v>
      </c>
      <c r="H45" t="s">
        <v>71</v>
      </c>
      <c r="I45">
        <f>VLOOKUP(H45,$A$1:F$161,I$2,0)</f>
        <v>1.88</v>
      </c>
      <c r="J45">
        <f>VLOOKUP(H45,$A$1:F$161,J$2,0)</f>
        <v>1.6</v>
      </c>
      <c r="K45">
        <f>VLOOKUP(H45,$A$1:F$161,K$2,0)</f>
        <v>9.52</v>
      </c>
      <c r="L45">
        <f>VLOOKUP(H45,$A$1:F$161,L$2,0)</f>
        <v>10.78</v>
      </c>
      <c r="M45">
        <f>VLOOKUP(H45,$A$1:F$161,M$2,0)</f>
        <v>9.27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2124.44</v>
      </c>
      <c r="J46">
        <f>VLOOKUP(H46,$A$1:F$161,J$2,0)</f>
        <v>1689.49</v>
      </c>
      <c r="K46">
        <f>VLOOKUP(H46,$A$1:F$161,K$2,0)</f>
        <v>1754.77</v>
      </c>
      <c r="L46">
        <f>VLOOKUP(H46,$A$1:F$161,L$2,0)</f>
        <v>1813.76</v>
      </c>
      <c r="M46">
        <f>VLOOKUP(H46,$A$1:F$161,M$2,0)</f>
        <v>1656.52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70.22</v>
      </c>
      <c r="J47">
        <f>VLOOKUP(H47,$A$1:F$161,J$2,0)</f>
        <v>51.8</v>
      </c>
      <c r="K47">
        <f>VLOOKUP(H47,$A$1:F$161,K$2,0)</f>
        <v>43.98</v>
      </c>
      <c r="L47">
        <f>VLOOKUP(H47,$A$1:F$161,L$2,0)</f>
        <v>30.49</v>
      </c>
      <c r="M47">
        <f>VLOOKUP(H47,$A$1:F$161,M$2,0)</f>
        <v>24.97</v>
      </c>
    </row>
    <row r="48" spans="1:13" x14ac:dyDescent="0.25">
      <c r="A48" t="s">
        <v>47</v>
      </c>
      <c r="B48">
        <v>20.350000000000001</v>
      </c>
      <c r="C48">
        <v>54.54</v>
      </c>
      <c r="D48">
        <v>55.47</v>
      </c>
      <c r="E48">
        <v>42.21</v>
      </c>
      <c r="F48">
        <v>27.39</v>
      </c>
      <c r="H48" t="s">
        <v>74</v>
      </c>
      <c r="I48">
        <f>VLOOKUP(H48,$A$1:F$161,I$2,0)</f>
        <v>2194.66</v>
      </c>
      <c r="J48">
        <f>VLOOKUP(H48,$A$1:F$161,J$2,0)</f>
        <v>1741.29</v>
      </c>
      <c r="K48">
        <f>VLOOKUP(H48,$A$1:F$161,K$2,0)</f>
        <v>1798.75</v>
      </c>
      <c r="L48">
        <f>VLOOKUP(H48,$A$1:F$161,L$2,0)</f>
        <v>1844.24</v>
      </c>
      <c r="M48">
        <f>VLOOKUP(H48,$A$1:F$161,M$2,0)</f>
        <v>1681.5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49</v>
      </c>
      <c r="H50" t="s">
        <v>76</v>
      </c>
      <c r="I50">
        <f>VLOOKUP(H50,$A$1:F$161,I$2,0)</f>
        <v>1251.2</v>
      </c>
      <c r="J50">
        <f>VLOOKUP(H50,$A$1:F$161,J$2,0)</f>
        <v>949.77</v>
      </c>
      <c r="K50">
        <f>VLOOKUP(H50,$A$1:F$161,K$2,0)</f>
        <v>884.86</v>
      </c>
      <c r="L50">
        <f>VLOOKUP(H50,$A$1:F$161,L$2,0)</f>
        <v>1010.77</v>
      </c>
      <c r="M50">
        <f>VLOOKUP(H50,$A$1:F$161,M$2,0)</f>
        <v>925.39</v>
      </c>
    </row>
    <row r="51" spans="1:13" x14ac:dyDescent="0.25">
      <c r="A51" t="s">
        <v>50</v>
      </c>
      <c r="B51">
        <v>1.84</v>
      </c>
      <c r="C51">
        <v>141.81</v>
      </c>
      <c r="D51">
        <v>131.04</v>
      </c>
      <c r="E51">
        <v>271.52999999999997</v>
      </c>
      <c r="F51">
        <v>274.86</v>
      </c>
      <c r="H51" t="s">
        <v>77</v>
      </c>
      <c r="I51">
        <f>VLOOKUP(H51,$A$1:F$161,I$2,0)</f>
        <v>53.31</v>
      </c>
      <c r="J51">
        <f>VLOOKUP(H51,$A$1:F$161,J$2,0)</f>
        <v>17.989999999999998</v>
      </c>
      <c r="K51">
        <f>VLOOKUP(H51,$A$1:F$161,K$2,0)</f>
        <v>17.98</v>
      </c>
      <c r="L51">
        <f>VLOOKUP(H51,$A$1:F$161,L$2,0)</f>
        <v>46.63</v>
      </c>
      <c r="M51">
        <f>VLOOKUP(H51,$A$1:F$161,M$2,0)</f>
        <v>40.229999999999997</v>
      </c>
    </row>
    <row r="52" spans="1:13" ht="48" customHeight="1" x14ac:dyDescent="0.25">
      <c r="A52" t="s">
        <v>51</v>
      </c>
      <c r="H52" t="s">
        <v>78</v>
      </c>
      <c r="I52">
        <f>VLOOKUP(H52,$A$1:F$161,I$2,0)</f>
        <v>-8.66</v>
      </c>
      <c r="J52">
        <f>VLOOKUP(H52,$A$1:F$161,J$2,0)</f>
        <v>-8.5</v>
      </c>
      <c r="K52">
        <f>VLOOKUP(H52,$A$1:F$161,K$2,0)</f>
        <v>3.86</v>
      </c>
      <c r="L52">
        <f>VLOOKUP(H52,$A$1:F$161,L$2,0)</f>
        <v>-7.42</v>
      </c>
      <c r="M52">
        <f>VLOOKUP(H52,$A$1:F$161,M$2,0)</f>
        <v>-17.12</v>
      </c>
    </row>
    <row r="53" spans="1:13" x14ac:dyDescent="0.25">
      <c r="A53" t="s">
        <v>52</v>
      </c>
      <c r="B53" t="s">
        <v>53</v>
      </c>
      <c r="C53" t="s">
        <v>53</v>
      </c>
      <c r="D53" t="s">
        <v>53</v>
      </c>
      <c r="E53" t="s">
        <v>53</v>
      </c>
      <c r="F53" t="s">
        <v>53</v>
      </c>
      <c r="H53" t="s">
        <v>79</v>
      </c>
      <c r="I53">
        <f>VLOOKUP(H53,$A$1:F$161,I$2,0)</f>
        <v>131.88</v>
      </c>
      <c r="J53">
        <f>VLOOKUP(H53,$A$1:F$161,J$2,0)</f>
        <v>119.86</v>
      </c>
      <c r="K53">
        <f>VLOOKUP(H53,$A$1:F$161,K$2,0)</f>
        <v>141.07</v>
      </c>
      <c r="L53">
        <f>VLOOKUP(H53,$A$1:F$161,L$2,0)</f>
        <v>110.73</v>
      </c>
      <c r="M53">
        <f>VLOOKUP(H53,$A$1:F$161,M$2,0)</f>
        <v>100.83</v>
      </c>
    </row>
    <row r="54" spans="1:13" ht="24" customHeight="1" x14ac:dyDescent="0.25">
      <c r="A54" t="s">
        <v>54</v>
      </c>
      <c r="H54" t="s">
        <v>80</v>
      </c>
      <c r="I54">
        <f>VLOOKUP(H54,$A$1:F$161,I$2,0)</f>
        <v>7.11</v>
      </c>
      <c r="J54">
        <f>VLOOKUP(H54,$A$1:F$161,J$2,0)</f>
        <v>8.68</v>
      </c>
      <c r="K54">
        <f>VLOOKUP(H54,$A$1:F$161,K$2,0)</f>
        <v>8.14</v>
      </c>
      <c r="L54">
        <f>VLOOKUP(H54,$A$1:F$161,L$2,0)</f>
        <v>7.34</v>
      </c>
      <c r="M54">
        <f>VLOOKUP(H54,$A$1:F$161,M$2,0)</f>
        <v>5.76</v>
      </c>
    </row>
    <row r="55" spans="1:13" x14ac:dyDescent="0.25">
      <c r="A55" t="s">
        <v>55</v>
      </c>
      <c r="B55">
        <v>0.55000000000000004</v>
      </c>
      <c r="C55">
        <v>21.33</v>
      </c>
      <c r="D55">
        <v>16.43</v>
      </c>
      <c r="E55">
        <v>23.49</v>
      </c>
      <c r="F55">
        <v>20.43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56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32.39</v>
      </c>
      <c r="J56">
        <f>VLOOKUP(H56,$A$1:F$161,J$2,0)</f>
        <v>32.53</v>
      </c>
      <c r="K56">
        <f>VLOOKUP(H56,$A$1:F$161,K$2,0)</f>
        <v>33.090000000000003</v>
      </c>
      <c r="L56">
        <f>VLOOKUP(H56,$A$1:F$161,L$2,0)</f>
        <v>31.09</v>
      </c>
      <c r="M56">
        <f>VLOOKUP(H56,$A$1:F$161,M$2,0)</f>
        <v>27.78</v>
      </c>
    </row>
    <row r="57" spans="1:13" ht="15" customHeight="1" x14ac:dyDescent="0.25">
      <c r="A57" t="s">
        <v>57</v>
      </c>
      <c r="H57" t="s">
        <v>83</v>
      </c>
      <c r="I57">
        <f>VLOOKUP(H57,$A$1:F$161,I$2,0)</f>
        <v>428.85</v>
      </c>
      <c r="J57">
        <f>VLOOKUP(H57,$A$1:F$161,J$2,0)</f>
        <v>344.27</v>
      </c>
      <c r="K57">
        <f>VLOOKUP(H57,$A$1:F$161,K$2,0)</f>
        <v>430.09</v>
      </c>
      <c r="L57">
        <f>VLOOKUP(H57,$A$1:F$161,L$2,0)</f>
        <v>427.4</v>
      </c>
      <c r="M57">
        <f>VLOOKUP(H57,$A$1:F$161,M$2,0)</f>
        <v>348.3</v>
      </c>
    </row>
    <row r="58" spans="1:13" x14ac:dyDescent="0.25">
      <c r="A58" t="s">
        <v>58</v>
      </c>
      <c r="B58">
        <v>2.4500000000000002</v>
      </c>
      <c r="C58">
        <v>2.4500000000000002</v>
      </c>
      <c r="D58">
        <v>2.4500000000000002</v>
      </c>
      <c r="E58">
        <v>2.4500000000000002</v>
      </c>
      <c r="F58">
        <v>2.4500000000000002</v>
      </c>
      <c r="H58" t="s">
        <v>84</v>
      </c>
      <c r="I58">
        <f>VLOOKUP(H58,$A$1:F$161,I$2,0)</f>
        <v>1930.1</v>
      </c>
      <c r="J58">
        <f>VLOOKUP(H58,$A$1:F$161,J$2,0)</f>
        <v>1497.83</v>
      </c>
      <c r="K58">
        <f>VLOOKUP(H58,$A$1:F$161,K$2,0)</f>
        <v>1571.61</v>
      </c>
      <c r="L58">
        <f>VLOOKUP(H58,$A$1:F$161,L$2,0)</f>
        <v>1668.64</v>
      </c>
      <c r="M58">
        <f>VLOOKUP(H58,$A$1:F$161,M$2,0)</f>
        <v>1499</v>
      </c>
    </row>
    <row r="59" spans="1:13" ht="24" customHeight="1" x14ac:dyDescent="0.25">
      <c r="A59" t="s">
        <v>59</v>
      </c>
      <c r="H59" t="s">
        <v>85</v>
      </c>
      <c r="I59">
        <f>VLOOKUP(H59,$A$1:F$161,I$2,0)</f>
        <v>264.56</v>
      </c>
      <c r="J59">
        <f>VLOOKUP(H59,$A$1:F$161,J$2,0)</f>
        <v>243.46</v>
      </c>
      <c r="K59">
        <f>VLOOKUP(H59,$A$1:F$161,K$2,0)</f>
        <v>227.14</v>
      </c>
      <c r="L59">
        <f>VLOOKUP(H59,$A$1:F$161,L$2,0)</f>
        <v>175.6</v>
      </c>
      <c r="M59">
        <f>VLOOKUP(H59,$A$1:F$161,M$2,0)</f>
        <v>182.5</v>
      </c>
    </row>
    <row r="60" spans="1:13" x14ac:dyDescent="0.25">
      <c r="A60" t="s">
        <v>60</v>
      </c>
      <c r="B60">
        <v>478.76</v>
      </c>
      <c r="C60" t="s">
        <v>53</v>
      </c>
      <c r="D60">
        <v>11.83</v>
      </c>
      <c r="E60">
        <v>49.17</v>
      </c>
      <c r="F60">
        <v>37.450000000000003</v>
      </c>
      <c r="H60" t="s">
        <v>87</v>
      </c>
      <c r="I60">
        <f>VLOOKUP(H60,$A$1:F$161,I$2,0)</f>
        <v>264.56</v>
      </c>
      <c r="J60">
        <f>VLOOKUP(H60,$A$1:F$161,J$2,0)</f>
        <v>243.46</v>
      </c>
      <c r="K60">
        <f>VLOOKUP(H60,$A$1:F$161,K$2,0)</f>
        <v>215.15</v>
      </c>
      <c r="L60">
        <f>VLOOKUP(H60,$A$1:F$161,L$2,0)</f>
        <v>175.6</v>
      </c>
      <c r="M60">
        <f>VLOOKUP(H60,$A$1:F$161,M$2,0)</f>
        <v>182.5</v>
      </c>
    </row>
    <row r="61" spans="1:13" x14ac:dyDescent="0.25">
      <c r="A61" t="s">
        <v>61</v>
      </c>
      <c r="B61">
        <v>50.07</v>
      </c>
      <c r="C61">
        <v>303.60000000000002</v>
      </c>
      <c r="D61">
        <v>0</v>
      </c>
      <c r="E61">
        <v>0</v>
      </c>
      <c r="F61">
        <v>0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ht="24" customHeight="1" x14ac:dyDescent="0.25">
      <c r="A62" t="s">
        <v>62</v>
      </c>
      <c r="H62" t="s">
        <v>89</v>
      </c>
      <c r="I62">
        <f>VLOOKUP(H62,$A$1:F$161,I$2,0)</f>
        <v>70.94</v>
      </c>
      <c r="J62">
        <f>VLOOKUP(H62,$A$1:F$161,J$2,0)</f>
        <v>61.23</v>
      </c>
      <c r="K62">
        <f>VLOOKUP(H62,$A$1:F$161,K$2,0)</f>
        <v>54.23</v>
      </c>
      <c r="L62">
        <f>VLOOKUP(H62,$A$1:F$161,L$2,0)</f>
        <v>47.18</v>
      </c>
      <c r="M62">
        <f>VLOOKUP(H62,$A$1:F$161,M$2,0)</f>
        <v>55.94</v>
      </c>
    </row>
    <row r="63" spans="1:13" x14ac:dyDescent="0.25">
      <c r="A63" t="s">
        <v>63</v>
      </c>
      <c r="B63">
        <v>83.98</v>
      </c>
      <c r="C63">
        <v>106</v>
      </c>
      <c r="D63">
        <v>217.92</v>
      </c>
      <c r="E63">
        <v>257.67</v>
      </c>
      <c r="F63">
        <v>60.59</v>
      </c>
      <c r="H63" t="s">
        <v>90</v>
      </c>
      <c r="I63">
        <f>VLOOKUP(H63,$A$1:F$161,I$2,0)</f>
        <v>-3.47</v>
      </c>
      <c r="J63">
        <f>VLOOKUP(H63,$A$1:F$161,J$2,0)</f>
        <v>1.5</v>
      </c>
      <c r="K63">
        <f>VLOOKUP(H63,$A$1:F$161,K$2,0)</f>
        <v>-4.59</v>
      </c>
      <c r="L63">
        <f>VLOOKUP(H63,$A$1:F$161,L$2,0)</f>
        <v>5.86</v>
      </c>
      <c r="M63">
        <f>VLOOKUP(H63,$A$1:F$161,M$2,0)</f>
        <v>0.63</v>
      </c>
    </row>
    <row r="64" spans="1:13" x14ac:dyDescent="0.25">
      <c r="A64" t="s">
        <v>64</v>
      </c>
      <c r="B64" t="s">
        <v>53</v>
      </c>
      <c r="C64" t="s">
        <v>53</v>
      </c>
      <c r="D64" t="s">
        <v>53</v>
      </c>
      <c r="E64">
        <v>10</v>
      </c>
      <c r="F64" t="s">
        <v>53</v>
      </c>
      <c r="H64" t="s">
        <v>112</v>
      </c>
      <c r="I64">
        <f>VLOOKUP(H64,$A$1:F$161,I$2,0)</f>
        <v>-0.22</v>
      </c>
      <c r="J64">
        <f>VLOOKUP(H64,$A$1:F$161,J$2,0)</f>
        <v>-0.42</v>
      </c>
      <c r="K64">
        <f>VLOOKUP(H64,$A$1:F$161,K$2,0)</f>
        <v>0</v>
      </c>
      <c r="L64">
        <f>VLOOKUP(H64,$A$1:F$161,L$2,0)</f>
        <v>-1.1100000000000001</v>
      </c>
      <c r="M64">
        <f>VLOOKUP(H64,$A$1:F$161,M$2,0)</f>
        <v>0</v>
      </c>
    </row>
    <row r="65" spans="1:13" x14ac:dyDescent="0.25">
      <c r="H65" t="s">
        <v>91</v>
      </c>
      <c r="I65">
        <f>VLOOKUP(H65,$A$1:F$161,I$2,0)</f>
        <v>67.25</v>
      </c>
      <c r="J65">
        <f>VLOOKUP(H65,$A$1:F$161,J$2,0)</f>
        <v>62.31</v>
      </c>
      <c r="K65">
        <f>VLOOKUP(H65,$A$1:F$161,K$2,0)</f>
        <v>49.63</v>
      </c>
      <c r="L65">
        <f>VLOOKUP(H65,$A$1:F$161,L$2,0)</f>
        <v>51.93</v>
      </c>
      <c r="M65">
        <f>VLOOKUP(H65,$A$1:F$161,M$2,0)</f>
        <v>56.57</v>
      </c>
    </row>
    <row r="66" spans="1:13" x14ac:dyDescent="0.25">
      <c r="H66" t="s">
        <v>92</v>
      </c>
      <c r="I66">
        <f>VLOOKUP(H66,$A$1:F$161,I$2,0)</f>
        <v>197.31</v>
      </c>
      <c r="J66">
        <f>VLOOKUP(H66,$A$1:F$161,J$2,0)</f>
        <v>181.15</v>
      </c>
      <c r="K66">
        <f>VLOOKUP(H66,$A$1:F$161,K$2,0)</f>
        <v>165.51</v>
      </c>
      <c r="L66">
        <f>VLOOKUP(H66,$A$1:F$161,L$2,0)</f>
        <v>123.67</v>
      </c>
      <c r="M66">
        <f>VLOOKUP(H66,$A$1:F$161,M$2,0)</f>
        <v>125.94</v>
      </c>
    </row>
    <row r="67" spans="1:13" x14ac:dyDescent="0.25">
      <c r="H67" t="s">
        <v>93</v>
      </c>
      <c r="I67">
        <f>VLOOKUP(H67,$A$1:F$161,I$2,0)</f>
        <v>197.31</v>
      </c>
      <c r="J67">
        <f>VLOOKUP(H67,$A$1:F$161,J$2,0)</f>
        <v>181.15</v>
      </c>
      <c r="K67">
        <f>VLOOKUP(H67,$A$1:F$161,K$2,0)</f>
        <v>165.51</v>
      </c>
      <c r="L67">
        <f>VLOOKUP(H67,$A$1:F$161,L$2,0)</f>
        <v>123.67</v>
      </c>
      <c r="M67">
        <f>VLOOKUP(H67,$A$1:F$161,M$2,0)</f>
        <v>125.94</v>
      </c>
    </row>
    <row r="68" spans="1:13" ht="15" customHeight="1" x14ac:dyDescent="0.25">
      <c r="A68" t="s">
        <v>65</v>
      </c>
      <c r="H68" t="s">
        <v>94</v>
      </c>
      <c r="I68">
        <f>VLOOKUP(H68,$A$1:F$161,I$2,0)</f>
        <v>197.31</v>
      </c>
      <c r="J68">
        <f>VLOOKUP(H68,$A$1:F$161,J$2,0)</f>
        <v>181.15</v>
      </c>
      <c r="K68">
        <f>VLOOKUP(H68,$A$1:F$161,K$2,0)</f>
        <v>165.51</v>
      </c>
      <c r="L68">
        <f>VLOOKUP(H68,$A$1:F$161,L$2,0)</f>
        <v>123.67</v>
      </c>
      <c r="M68">
        <f>VLOOKUP(H68,$A$1:F$161,M$2,0)</f>
        <v>125.94</v>
      </c>
    </row>
    <row r="69" spans="1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1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137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2122.56</v>
      </c>
      <c r="C97">
        <v>1687.89</v>
      </c>
      <c r="D97">
        <v>1745.25</v>
      </c>
      <c r="E97">
        <v>1802.97</v>
      </c>
      <c r="F97">
        <v>1686.38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39.130000000000003</v>
      </c>
    </row>
    <row r="99" spans="1:6" x14ac:dyDescent="0.25">
      <c r="A99" t="s">
        <v>70</v>
      </c>
      <c r="B99">
        <v>2122.56</v>
      </c>
      <c r="C99">
        <v>1687.89</v>
      </c>
      <c r="D99">
        <v>1745.25</v>
      </c>
      <c r="E99">
        <v>1802.97</v>
      </c>
      <c r="F99">
        <v>1647.25</v>
      </c>
    </row>
    <row r="100" spans="1:6" x14ac:dyDescent="0.25">
      <c r="A100" t="s">
        <v>71</v>
      </c>
      <c r="B100">
        <v>1.88</v>
      </c>
      <c r="C100">
        <v>1.6</v>
      </c>
      <c r="D100">
        <v>9.52</v>
      </c>
      <c r="E100">
        <v>10.78</v>
      </c>
      <c r="F100">
        <v>9.27</v>
      </c>
    </row>
    <row r="101" spans="1:6" x14ac:dyDescent="0.25">
      <c r="A101" t="s">
        <v>72</v>
      </c>
      <c r="B101">
        <v>2124.44</v>
      </c>
      <c r="C101">
        <v>1689.49</v>
      </c>
      <c r="D101">
        <v>1754.77</v>
      </c>
      <c r="E101">
        <v>1813.76</v>
      </c>
      <c r="F101">
        <v>1656.52</v>
      </c>
    </row>
    <row r="102" spans="1:6" x14ac:dyDescent="0.25">
      <c r="A102" t="s">
        <v>73</v>
      </c>
      <c r="B102">
        <v>70.22</v>
      </c>
      <c r="C102">
        <v>51.8</v>
      </c>
      <c r="D102">
        <v>43.98</v>
      </c>
      <c r="E102">
        <v>30.49</v>
      </c>
      <c r="F102">
        <v>24.97</v>
      </c>
    </row>
    <row r="103" spans="1:6" x14ac:dyDescent="0.25">
      <c r="A103" t="s">
        <v>74</v>
      </c>
      <c r="B103">
        <v>2194.66</v>
      </c>
      <c r="C103">
        <v>1741.29</v>
      </c>
      <c r="D103">
        <v>1798.75</v>
      </c>
      <c r="E103">
        <v>1844.24</v>
      </c>
      <c r="F103">
        <v>1681.5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1251.2</v>
      </c>
      <c r="C105">
        <v>949.77</v>
      </c>
      <c r="D105">
        <v>884.86</v>
      </c>
      <c r="E105">
        <v>1010.77</v>
      </c>
      <c r="F105">
        <v>925.39</v>
      </c>
    </row>
    <row r="106" spans="1:6" x14ac:dyDescent="0.25">
      <c r="A106" t="s">
        <v>77</v>
      </c>
      <c r="B106">
        <v>53.31</v>
      </c>
      <c r="C106">
        <v>17.989999999999998</v>
      </c>
      <c r="D106">
        <v>17.98</v>
      </c>
      <c r="E106">
        <v>46.63</v>
      </c>
      <c r="F106">
        <v>40.229999999999997</v>
      </c>
    </row>
    <row r="107" spans="1:6" x14ac:dyDescent="0.25">
      <c r="A107" t="s">
        <v>111</v>
      </c>
      <c r="B107">
        <v>34.020000000000003</v>
      </c>
      <c r="C107">
        <v>33.22</v>
      </c>
      <c r="D107">
        <v>52.52</v>
      </c>
      <c r="E107">
        <v>42.11</v>
      </c>
      <c r="F107">
        <v>67.83</v>
      </c>
    </row>
    <row r="108" spans="1:6" x14ac:dyDescent="0.25">
      <c r="A108" t="s">
        <v>78</v>
      </c>
      <c r="B108">
        <v>-8.66</v>
      </c>
      <c r="C108">
        <v>-8.5</v>
      </c>
      <c r="D108">
        <v>3.86</v>
      </c>
      <c r="E108">
        <v>-7.42</v>
      </c>
      <c r="F108">
        <v>-17.12</v>
      </c>
    </row>
    <row r="109" spans="1:6" x14ac:dyDescent="0.25">
      <c r="A109" t="s">
        <v>79</v>
      </c>
      <c r="B109">
        <v>131.88</v>
      </c>
      <c r="C109">
        <v>119.86</v>
      </c>
      <c r="D109">
        <v>141.07</v>
      </c>
      <c r="E109">
        <v>110.73</v>
      </c>
      <c r="F109">
        <v>100.83</v>
      </c>
    </row>
    <row r="110" spans="1:6" x14ac:dyDescent="0.25">
      <c r="A110" t="s">
        <v>80</v>
      </c>
      <c r="B110">
        <v>7.11</v>
      </c>
      <c r="C110">
        <v>8.68</v>
      </c>
      <c r="D110">
        <v>8.14</v>
      </c>
      <c r="E110">
        <v>7.34</v>
      </c>
      <c r="F110">
        <v>5.76</v>
      </c>
    </row>
    <row r="111" spans="1:6" x14ac:dyDescent="0.25">
      <c r="A111" t="s">
        <v>82</v>
      </c>
      <c r="B111">
        <v>32.39</v>
      </c>
      <c r="C111">
        <v>32.53</v>
      </c>
      <c r="D111">
        <v>33.090000000000003</v>
      </c>
      <c r="E111">
        <v>31.09</v>
      </c>
      <c r="F111">
        <v>27.78</v>
      </c>
    </row>
    <row r="112" spans="1:6" x14ac:dyDescent="0.25">
      <c r="A112" t="s">
        <v>83</v>
      </c>
      <c r="B112">
        <v>428.85</v>
      </c>
      <c r="C112">
        <v>344.27</v>
      </c>
      <c r="D112">
        <v>430.09</v>
      </c>
      <c r="E112">
        <v>427.4</v>
      </c>
      <c r="F112">
        <v>348.3</v>
      </c>
    </row>
    <row r="113" spans="1:6" x14ac:dyDescent="0.25">
      <c r="A113" t="s">
        <v>84</v>
      </c>
      <c r="B113">
        <v>1930.1</v>
      </c>
      <c r="C113">
        <v>1497.83</v>
      </c>
      <c r="D113">
        <v>1571.61</v>
      </c>
      <c r="E113">
        <v>1668.64</v>
      </c>
      <c r="F113">
        <v>1499</v>
      </c>
    </row>
    <row r="114" spans="1:6" x14ac:dyDescent="0.25">
      <c r="B114">
        <v>44621</v>
      </c>
      <c r="C114">
        <v>44256</v>
      </c>
      <c r="D114">
        <v>43891</v>
      </c>
      <c r="E114">
        <v>43525</v>
      </c>
      <c r="F114">
        <v>43160</v>
      </c>
    </row>
    <row r="116" spans="1:6" x14ac:dyDescent="0.25">
      <c r="B116" t="s">
        <v>5</v>
      </c>
      <c r="C116" t="s">
        <v>5</v>
      </c>
      <c r="D116" t="s">
        <v>5</v>
      </c>
      <c r="E116" t="s">
        <v>5</v>
      </c>
      <c r="F116" t="s">
        <v>5</v>
      </c>
    </row>
    <row r="118" spans="1:6" x14ac:dyDescent="0.25">
      <c r="A118" t="s">
        <v>85</v>
      </c>
      <c r="B118">
        <v>264.56</v>
      </c>
      <c r="C118">
        <v>243.46</v>
      </c>
      <c r="D118">
        <v>227.14</v>
      </c>
      <c r="E118">
        <v>175.6</v>
      </c>
      <c r="F118">
        <v>182.5</v>
      </c>
    </row>
    <row r="119" spans="1:6" x14ac:dyDescent="0.25">
      <c r="A119" t="s">
        <v>86</v>
      </c>
      <c r="B119">
        <v>0</v>
      </c>
      <c r="C119">
        <v>0</v>
      </c>
      <c r="D119">
        <v>-11.99</v>
      </c>
      <c r="E119">
        <v>0</v>
      </c>
      <c r="F119">
        <v>0</v>
      </c>
    </row>
    <row r="120" spans="1:6" x14ac:dyDescent="0.25">
      <c r="A120" t="s">
        <v>87</v>
      </c>
      <c r="B120">
        <v>264.56</v>
      </c>
      <c r="C120">
        <v>243.46</v>
      </c>
      <c r="D120">
        <v>215.15</v>
      </c>
      <c r="E120">
        <v>175.6</v>
      </c>
      <c r="F120">
        <v>182.5</v>
      </c>
    </row>
    <row r="121" spans="1:6" ht="24" customHeight="1" x14ac:dyDescent="0.25">
      <c r="A121" t="s">
        <v>88</v>
      </c>
    </row>
    <row r="122" spans="1:6" x14ac:dyDescent="0.25">
      <c r="A122" t="s">
        <v>89</v>
      </c>
      <c r="B122">
        <v>70.94</v>
      </c>
      <c r="C122">
        <v>61.23</v>
      </c>
      <c r="D122">
        <v>54.23</v>
      </c>
      <c r="E122">
        <v>47.18</v>
      </c>
      <c r="F122">
        <v>55.94</v>
      </c>
    </row>
    <row r="123" spans="1:6" x14ac:dyDescent="0.25">
      <c r="A123" t="s">
        <v>90</v>
      </c>
      <c r="B123">
        <v>-3.47</v>
      </c>
      <c r="C123">
        <v>1.5</v>
      </c>
      <c r="D123">
        <v>-4.59</v>
      </c>
      <c r="E123">
        <v>5.86</v>
      </c>
      <c r="F123">
        <v>0.63</v>
      </c>
    </row>
    <row r="124" spans="1:6" x14ac:dyDescent="0.25">
      <c r="A124" t="s">
        <v>112</v>
      </c>
      <c r="B124">
        <v>-0.22</v>
      </c>
      <c r="C124">
        <v>-0.42</v>
      </c>
      <c r="D124">
        <v>0</v>
      </c>
      <c r="E124">
        <v>-1.1100000000000001</v>
      </c>
      <c r="F124">
        <v>0</v>
      </c>
    </row>
    <row r="125" spans="1:6" x14ac:dyDescent="0.25">
      <c r="A125" t="s">
        <v>91</v>
      </c>
      <c r="B125">
        <v>67.25</v>
      </c>
      <c r="C125">
        <v>62.31</v>
      </c>
      <c r="D125">
        <v>49.63</v>
      </c>
      <c r="E125">
        <v>51.93</v>
      </c>
      <c r="F125">
        <v>56.57</v>
      </c>
    </row>
    <row r="126" spans="1:6" x14ac:dyDescent="0.25">
      <c r="A126" t="s">
        <v>92</v>
      </c>
      <c r="B126">
        <v>197.31</v>
      </c>
      <c r="C126">
        <v>181.15</v>
      </c>
      <c r="D126">
        <v>165.51</v>
      </c>
      <c r="E126">
        <v>123.67</v>
      </c>
      <c r="F126">
        <v>125.94</v>
      </c>
    </row>
    <row r="127" spans="1:6" x14ac:dyDescent="0.25">
      <c r="A127" t="s">
        <v>93</v>
      </c>
      <c r="B127">
        <v>197.31</v>
      </c>
      <c r="C127">
        <v>181.15</v>
      </c>
      <c r="D127">
        <v>165.51</v>
      </c>
      <c r="E127">
        <v>123.67</v>
      </c>
      <c r="F127">
        <v>125.94</v>
      </c>
    </row>
    <row r="128" spans="1:6" x14ac:dyDescent="0.25">
      <c r="A128" t="s">
        <v>94</v>
      </c>
      <c r="B128">
        <v>197.31</v>
      </c>
      <c r="C128">
        <v>181.15</v>
      </c>
      <c r="D128">
        <v>165.51</v>
      </c>
      <c r="E128">
        <v>123.67</v>
      </c>
      <c r="F128">
        <v>125.94</v>
      </c>
    </row>
    <row r="129" spans="1:6" x14ac:dyDescent="0.25">
      <c r="B129">
        <v>44621</v>
      </c>
      <c r="C129">
        <v>44256</v>
      </c>
      <c r="D129">
        <v>43891</v>
      </c>
      <c r="E129">
        <v>43525</v>
      </c>
      <c r="F129">
        <v>43160</v>
      </c>
    </row>
    <row r="131" spans="1:6" x14ac:dyDescent="0.25">
      <c r="B131" t="s">
        <v>5</v>
      </c>
      <c r="C131" t="s">
        <v>5</v>
      </c>
      <c r="D131" t="s">
        <v>5</v>
      </c>
      <c r="E131" t="s">
        <v>5</v>
      </c>
      <c r="F131" t="s">
        <v>5</v>
      </c>
    </row>
    <row r="133" spans="1:6" ht="24" customHeight="1" x14ac:dyDescent="0.25">
      <c r="A133" t="s">
        <v>45</v>
      </c>
    </row>
    <row r="134" spans="1:6" ht="24" customHeight="1" x14ac:dyDescent="0.25">
      <c r="A134" t="s">
        <v>95</v>
      </c>
    </row>
    <row r="135" spans="1:6" x14ac:dyDescent="0.25">
      <c r="A135" t="s">
        <v>96</v>
      </c>
      <c r="B135">
        <v>40.450000000000003</v>
      </c>
      <c r="C135">
        <v>37.130000000000003</v>
      </c>
      <c r="D135">
        <v>33.93</v>
      </c>
      <c r="E135">
        <v>25.35</v>
      </c>
      <c r="F135">
        <v>25.82</v>
      </c>
    </row>
    <row r="136" spans="1:6" x14ac:dyDescent="0.25">
      <c r="A136" t="s">
        <v>97</v>
      </c>
      <c r="B136">
        <v>40.450000000000003</v>
      </c>
      <c r="C136">
        <v>37.130000000000003</v>
      </c>
      <c r="D136">
        <v>33.93</v>
      </c>
      <c r="E136">
        <v>25.35</v>
      </c>
      <c r="F136">
        <v>25.82</v>
      </c>
    </row>
    <row r="137" spans="1:6" ht="36" customHeight="1" x14ac:dyDescent="0.25">
      <c r="A137" t="s">
        <v>98</v>
      </c>
    </row>
    <row r="138" spans="1:6" ht="24" customHeight="1" x14ac:dyDescent="0.25">
      <c r="A138" t="s">
        <v>99</v>
      </c>
    </row>
    <row r="139" spans="1:6" ht="36" customHeight="1" x14ac:dyDescent="0.25">
      <c r="A139" t="s">
        <v>100</v>
      </c>
    </row>
    <row r="143" spans="1:6" ht="15" customHeight="1" x14ac:dyDescent="0.25">
      <c r="A143" t="s">
        <v>65</v>
      </c>
    </row>
  </sheetData>
  <hyperlinks>
    <hyperlink ref="B1" r:id="rId1" display="javascript:void(0);" xr:uid="{2C9459A6-1028-4351-A75E-C6E2C718C212}"/>
    <hyperlink ref="B90" r:id="rId2" display="javascript:void(0);" xr:uid="{E67A7567-CF70-4814-A1A8-39465EDF017F}"/>
  </hyperlinks>
  <pageMargins left="0.7" right="0.7" top="0.75" bottom="0.75" header="0.3" footer="0.3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182-D5AB-457B-8BC7-3AE807368360}">
  <sheetPr codeName="Sheet16"/>
  <dimension ref="A1:M135"/>
  <sheetViews>
    <sheetView workbookViewId="0">
      <selection activeCell="A16" sqref="A16"/>
    </sheetView>
  </sheetViews>
  <sheetFormatPr defaultRowHeight="15" x14ac:dyDescent="0.25"/>
  <sheetData>
    <row r="1" spans="1:13" x14ac:dyDescent="0.25">
      <c r="A1" t="s">
        <v>138</v>
      </c>
      <c r="B1" t="s">
        <v>1</v>
      </c>
      <c r="H1" t="str">
        <f>A1</f>
        <v>VIP Industries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28.29</v>
      </c>
      <c r="J4">
        <f>VLOOKUP(H4,$A$1:F$161,J$2,0)</f>
        <v>28.26</v>
      </c>
      <c r="K4">
        <f>VLOOKUP(H4,$A$1:F$161,K$2,0)</f>
        <v>28.26</v>
      </c>
      <c r="L4">
        <f>VLOOKUP(H4,$A$1:F$161,L$2,0)</f>
        <v>28.26</v>
      </c>
      <c r="M4">
        <f>VLOOKUP(H4,$A$1:F$161,M$2,0)</f>
        <v>28.26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28.29</v>
      </c>
      <c r="J5">
        <f>VLOOKUP(H5,$A$1:F$161,J$2,0)</f>
        <v>28.26</v>
      </c>
      <c r="K5">
        <f>VLOOKUP(H5,$A$1:F$161,K$2,0)</f>
        <v>28.26</v>
      </c>
      <c r="L5">
        <f>VLOOKUP(H5,$A$1:F$161,L$2,0)</f>
        <v>28.26</v>
      </c>
      <c r="M5">
        <f>VLOOKUP(H5,$A$1:F$161,M$2,0)</f>
        <v>28.26</v>
      </c>
    </row>
    <row r="6" spans="1:13" x14ac:dyDescent="0.25">
      <c r="H6" t="s">
        <v>10</v>
      </c>
      <c r="I6">
        <f>VLOOKUP(H6,$A$1:F$161,I$2,0)</f>
        <v>531.38</v>
      </c>
      <c r="J6">
        <f>VLOOKUP(H6,$A$1:F$161,J$2,0)</f>
        <v>488.92</v>
      </c>
      <c r="K6">
        <f>VLOOKUP(H6,$A$1:F$161,K$2,0)</f>
        <v>581.85</v>
      </c>
      <c r="L6">
        <f>VLOOKUP(H6,$A$1:F$161,L$2,0)</f>
        <v>553.12</v>
      </c>
      <c r="M6">
        <f>VLOOKUP(H6,$A$1:F$161,M$2,0)</f>
        <v>460.83</v>
      </c>
    </row>
    <row r="7" spans="1:13" ht="24" customHeight="1" x14ac:dyDescent="0.25">
      <c r="A7" t="s">
        <v>6</v>
      </c>
      <c r="H7" t="s">
        <v>11</v>
      </c>
      <c r="I7">
        <f>VLOOKUP(H7,$A$1:F$161,I$2,0)</f>
        <v>531.38</v>
      </c>
      <c r="J7">
        <f>VLOOKUP(H7,$A$1:F$161,J$2,0)</f>
        <v>488.92</v>
      </c>
      <c r="K7">
        <f>VLOOKUP(H7,$A$1:F$161,K$2,0)</f>
        <v>581.85</v>
      </c>
      <c r="L7">
        <f>VLOOKUP(H7,$A$1:F$161,L$2,0)</f>
        <v>553.12</v>
      </c>
      <c r="M7">
        <f>VLOOKUP(H7,$A$1:F$161,M$2,0)</f>
        <v>460.83</v>
      </c>
    </row>
    <row r="8" spans="1:13" ht="24" customHeight="1" x14ac:dyDescent="0.25">
      <c r="A8" t="s">
        <v>7</v>
      </c>
      <c r="H8" t="s">
        <v>12</v>
      </c>
      <c r="I8">
        <f>VLOOKUP(H8,$A$1:F$161,I$2,0)</f>
        <v>559.66999999999996</v>
      </c>
      <c r="J8">
        <f>VLOOKUP(H8,$A$1:F$161,J$2,0)</f>
        <v>517.17999999999995</v>
      </c>
      <c r="K8">
        <f>VLOOKUP(H8,$A$1:F$161,K$2,0)</f>
        <v>610.11</v>
      </c>
      <c r="L8">
        <f>VLOOKUP(H8,$A$1:F$161,L$2,0)</f>
        <v>581.38</v>
      </c>
      <c r="M8">
        <f>VLOOKUP(H8,$A$1:F$161,M$2,0)</f>
        <v>489.09</v>
      </c>
    </row>
    <row r="9" spans="1:13" x14ac:dyDescent="0.25">
      <c r="A9" t="s">
        <v>8</v>
      </c>
      <c r="B9">
        <v>28.29</v>
      </c>
      <c r="C9">
        <v>28.26</v>
      </c>
      <c r="D9">
        <v>28.26</v>
      </c>
      <c r="E9">
        <v>28.26</v>
      </c>
      <c r="F9">
        <v>28.26</v>
      </c>
      <c r="H9" t="s">
        <v>14</v>
      </c>
      <c r="I9">
        <f>VLOOKUP(H9,$A$1:F$161,I$2,0)</f>
        <v>139.38999999999999</v>
      </c>
      <c r="J9">
        <f>VLOOKUP(H9,$A$1:F$161,J$2,0)</f>
        <v>163</v>
      </c>
      <c r="K9">
        <f>VLOOKUP(H9,$A$1:F$161,K$2,0)</f>
        <v>182.86</v>
      </c>
      <c r="L9">
        <f>VLOOKUP(H9,$A$1:F$161,L$2,0)</f>
        <v>2.56</v>
      </c>
      <c r="M9">
        <f>VLOOKUP(H9,$A$1:F$161,M$2,0)</f>
        <v>0.69</v>
      </c>
    </row>
    <row r="10" spans="1:13" x14ac:dyDescent="0.25">
      <c r="A10" t="s">
        <v>9</v>
      </c>
      <c r="B10">
        <v>28.29</v>
      </c>
      <c r="C10">
        <v>28.26</v>
      </c>
      <c r="D10">
        <v>28.26</v>
      </c>
      <c r="E10">
        <v>28.26</v>
      </c>
      <c r="F10">
        <v>28.26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531.38</v>
      </c>
      <c r="C11">
        <v>488.92</v>
      </c>
      <c r="D11">
        <v>581.85</v>
      </c>
      <c r="E11">
        <v>553.12</v>
      </c>
      <c r="F11">
        <v>460.83</v>
      </c>
      <c r="H11" t="s">
        <v>17</v>
      </c>
      <c r="I11">
        <f>VLOOKUP(H11,$A$1:F$161,I$2,0)</f>
        <v>13.38</v>
      </c>
      <c r="J11">
        <f>VLOOKUP(H11,$A$1:F$161,J$2,0)</f>
        <v>11.75</v>
      </c>
      <c r="K11">
        <f>VLOOKUP(H11,$A$1:F$161,K$2,0)</f>
        <v>12.45</v>
      </c>
      <c r="L11">
        <f>VLOOKUP(H11,$A$1:F$161,L$2,0)</f>
        <v>11.87</v>
      </c>
      <c r="M11">
        <f>VLOOKUP(H11,$A$1:F$161,M$2,0)</f>
        <v>9.25</v>
      </c>
    </row>
    <row r="12" spans="1:13" x14ac:dyDescent="0.25">
      <c r="A12" t="s">
        <v>11</v>
      </c>
      <c r="B12">
        <v>531.38</v>
      </c>
      <c r="C12">
        <v>488.92</v>
      </c>
      <c r="D12">
        <v>581.85</v>
      </c>
      <c r="E12">
        <v>553.12</v>
      </c>
      <c r="F12">
        <v>460.83</v>
      </c>
      <c r="H12" t="s">
        <v>18</v>
      </c>
      <c r="I12">
        <f>VLOOKUP(H12,$A$1:F$161,I$2,0)</f>
        <v>153.71</v>
      </c>
      <c r="J12">
        <f>VLOOKUP(H12,$A$1:F$161,J$2,0)</f>
        <v>175.79</v>
      </c>
      <c r="K12">
        <f>VLOOKUP(H12,$A$1:F$161,K$2,0)</f>
        <v>196.07</v>
      </c>
      <c r="L12">
        <f>VLOOKUP(H12,$A$1:F$161,L$2,0)</f>
        <v>14.43</v>
      </c>
      <c r="M12">
        <f>VLOOKUP(H12,$A$1:F$161,M$2,0)</f>
        <v>9.94</v>
      </c>
    </row>
    <row r="13" spans="1:13" x14ac:dyDescent="0.25">
      <c r="A13" t="s">
        <v>12</v>
      </c>
      <c r="B13">
        <v>559.66999999999996</v>
      </c>
      <c r="C13">
        <v>517.17999999999995</v>
      </c>
      <c r="D13">
        <v>610.11</v>
      </c>
      <c r="E13">
        <v>581.38</v>
      </c>
      <c r="F13">
        <v>489.09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282.39</v>
      </c>
      <c r="J14">
        <f>VLOOKUP(H14,$A$1:F$161,J$2,0)</f>
        <v>154.03</v>
      </c>
      <c r="K14">
        <f>VLOOKUP(H14,$A$1:F$161,K$2,0)</f>
        <v>292</v>
      </c>
      <c r="L14">
        <f>VLOOKUP(H14,$A$1:F$161,L$2,0)</f>
        <v>318.39999999999998</v>
      </c>
      <c r="M14">
        <f>VLOOKUP(H14,$A$1:F$161,M$2,0)</f>
        <v>212.48</v>
      </c>
    </row>
    <row r="15" spans="1:13" x14ac:dyDescent="0.25">
      <c r="A15" t="s">
        <v>15</v>
      </c>
      <c r="B15">
        <v>0.94</v>
      </c>
      <c r="C15">
        <v>1.04</v>
      </c>
      <c r="D15">
        <v>0.76</v>
      </c>
      <c r="E15">
        <v>0</v>
      </c>
      <c r="F15">
        <v>0</v>
      </c>
      <c r="H15" t="s">
        <v>22</v>
      </c>
      <c r="I15">
        <f>VLOOKUP(H15,$A$1:F$161,I$2,0)</f>
        <v>100.09</v>
      </c>
      <c r="J15">
        <f>VLOOKUP(H15,$A$1:F$161,J$2,0)</f>
        <v>85.41</v>
      </c>
      <c r="K15">
        <f>VLOOKUP(H15,$A$1:F$161,K$2,0)</f>
        <v>103.61</v>
      </c>
      <c r="L15">
        <f>VLOOKUP(H15,$A$1:F$161,L$2,0)</f>
        <v>65.760000000000005</v>
      </c>
      <c r="M15">
        <f>VLOOKUP(H15,$A$1:F$161,M$2,0)</f>
        <v>57.37</v>
      </c>
    </row>
    <row r="16" spans="1:13" x14ac:dyDescent="0.25">
      <c r="A16" t="s">
        <v>14</v>
      </c>
      <c r="B16">
        <v>139.38999999999999</v>
      </c>
      <c r="C16">
        <v>163</v>
      </c>
      <c r="D16">
        <v>182.86</v>
      </c>
      <c r="E16">
        <v>2.56</v>
      </c>
      <c r="F16">
        <v>0.69</v>
      </c>
      <c r="H16" t="s">
        <v>23</v>
      </c>
      <c r="I16">
        <f>VLOOKUP(H16,$A$1:F$161,I$2,0)</f>
        <v>11.65</v>
      </c>
      <c r="J16">
        <f>VLOOKUP(H16,$A$1:F$161,J$2,0)</f>
        <v>8.81</v>
      </c>
      <c r="K16">
        <f>VLOOKUP(H16,$A$1:F$161,K$2,0)</f>
        <v>10.76</v>
      </c>
      <c r="L16">
        <f>VLOOKUP(H16,$A$1:F$161,L$2,0)</f>
        <v>4.9400000000000004</v>
      </c>
      <c r="M16">
        <f>VLOOKUP(H16,$A$1:F$161,M$2,0)</f>
        <v>3.77</v>
      </c>
    </row>
    <row r="17" spans="1:13" x14ac:dyDescent="0.25">
      <c r="A17" t="s">
        <v>17</v>
      </c>
      <c r="B17">
        <v>13.38</v>
      </c>
      <c r="C17">
        <v>11.75</v>
      </c>
      <c r="D17">
        <v>12.45</v>
      </c>
      <c r="E17">
        <v>11.87</v>
      </c>
      <c r="F17">
        <v>9.25</v>
      </c>
      <c r="H17" t="s">
        <v>24</v>
      </c>
      <c r="I17">
        <f>VLOOKUP(H17,$A$1:F$161,I$2,0)</f>
        <v>516.83000000000004</v>
      </c>
      <c r="J17">
        <f>VLOOKUP(H17,$A$1:F$161,J$2,0)</f>
        <v>401.95</v>
      </c>
      <c r="K17">
        <f>VLOOKUP(H17,$A$1:F$161,K$2,0)</f>
        <v>438.56</v>
      </c>
      <c r="L17">
        <f>VLOOKUP(H17,$A$1:F$161,L$2,0)</f>
        <v>475.25</v>
      </c>
      <c r="M17">
        <f>VLOOKUP(H17,$A$1:F$161,M$2,0)</f>
        <v>273.62</v>
      </c>
    </row>
    <row r="18" spans="1:13" x14ac:dyDescent="0.25">
      <c r="A18" t="s">
        <v>18</v>
      </c>
      <c r="B18">
        <v>153.71</v>
      </c>
      <c r="C18">
        <v>175.79</v>
      </c>
      <c r="D18">
        <v>196.07</v>
      </c>
      <c r="E18">
        <v>14.43</v>
      </c>
      <c r="F18">
        <v>9.94</v>
      </c>
      <c r="H18" t="s">
        <v>25</v>
      </c>
      <c r="I18">
        <f>VLOOKUP(H18,$A$1:F$161,I$2,0)</f>
        <v>1230.21</v>
      </c>
      <c r="J18">
        <f>VLOOKUP(H18,$A$1:F$161,J$2,0)</f>
        <v>1094.92</v>
      </c>
      <c r="K18">
        <f>VLOOKUP(H18,$A$1:F$161,K$2,0)</f>
        <v>1244.74</v>
      </c>
      <c r="L18">
        <f>VLOOKUP(H18,$A$1:F$161,L$2,0)</f>
        <v>1071.06</v>
      </c>
      <c r="M18">
        <f>VLOOKUP(H18,$A$1:F$161,M$2,0)</f>
        <v>772.65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122.7</v>
      </c>
      <c r="C20">
        <v>153.69999999999999</v>
      </c>
      <c r="D20">
        <v>32.19</v>
      </c>
      <c r="E20">
        <v>86.15</v>
      </c>
      <c r="F20">
        <v>0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282.39</v>
      </c>
      <c r="C21">
        <v>154.03</v>
      </c>
      <c r="D21">
        <v>292</v>
      </c>
      <c r="E21">
        <v>318.39999999999998</v>
      </c>
      <c r="F21">
        <v>212.48</v>
      </c>
      <c r="H21" t="s">
        <v>28</v>
      </c>
      <c r="I21">
        <f>VLOOKUP(H21,$A$1:F$161,I$2,0)</f>
        <v>263.2</v>
      </c>
      <c r="J21">
        <f>VLOOKUP(H21,$A$1:F$161,J$2,0)</f>
        <v>285.97000000000003</v>
      </c>
      <c r="K21">
        <f>VLOOKUP(H21,$A$1:F$161,K$2,0)</f>
        <v>360.06</v>
      </c>
      <c r="L21">
        <f>VLOOKUP(H21,$A$1:F$161,L$2,0)</f>
        <v>113.82</v>
      </c>
      <c r="M21">
        <f>VLOOKUP(H21,$A$1:F$161,M$2,0)</f>
        <v>75.959999999999994</v>
      </c>
    </row>
    <row r="22" spans="1:13" x14ac:dyDescent="0.25">
      <c r="A22" t="s">
        <v>22</v>
      </c>
      <c r="B22">
        <v>100.09</v>
      </c>
      <c r="C22">
        <v>85.41</v>
      </c>
      <c r="D22">
        <v>103.61</v>
      </c>
      <c r="E22">
        <v>65.760000000000005</v>
      </c>
      <c r="F22">
        <v>57.37</v>
      </c>
      <c r="H22" t="s">
        <v>29</v>
      </c>
      <c r="I22">
        <f>VLOOKUP(H22,$A$1:F$161,I$2,0)</f>
        <v>7.13</v>
      </c>
      <c r="J22">
        <f>VLOOKUP(H22,$A$1:F$161,J$2,0)</f>
        <v>1.98</v>
      </c>
      <c r="K22">
        <f>VLOOKUP(H22,$A$1:F$161,K$2,0)</f>
        <v>2.7</v>
      </c>
      <c r="L22">
        <f>VLOOKUP(H22,$A$1:F$161,L$2,0)</f>
        <v>5.69</v>
      </c>
      <c r="M22">
        <f>VLOOKUP(H22,$A$1:F$161,M$2,0)</f>
        <v>2.66</v>
      </c>
    </row>
    <row r="23" spans="1:13" x14ac:dyDescent="0.25">
      <c r="A23" t="s">
        <v>23</v>
      </c>
      <c r="B23">
        <v>11.65</v>
      </c>
      <c r="C23">
        <v>8.81</v>
      </c>
      <c r="D23">
        <v>10.76</v>
      </c>
      <c r="E23">
        <v>4.9400000000000004</v>
      </c>
      <c r="F23">
        <v>3.77</v>
      </c>
      <c r="H23" t="s">
        <v>30</v>
      </c>
      <c r="I23">
        <f>VLOOKUP(H23,$A$1:F$161,I$2,0)</f>
        <v>272.27</v>
      </c>
      <c r="J23">
        <f>VLOOKUP(H23,$A$1:F$161,J$2,0)</f>
        <v>290.48</v>
      </c>
      <c r="K23">
        <f>VLOOKUP(H23,$A$1:F$161,K$2,0)</f>
        <v>366.75</v>
      </c>
      <c r="L23">
        <f>VLOOKUP(H23,$A$1:F$161,L$2,0)</f>
        <v>122.49</v>
      </c>
      <c r="M23">
        <f>VLOOKUP(H23,$A$1:F$161,M$2,0)</f>
        <v>80.239999999999995</v>
      </c>
    </row>
    <row r="24" spans="1:13" x14ac:dyDescent="0.25">
      <c r="A24" t="s">
        <v>24</v>
      </c>
      <c r="B24">
        <v>516.83000000000004</v>
      </c>
      <c r="C24">
        <v>401.95</v>
      </c>
      <c r="D24">
        <v>438.56</v>
      </c>
      <c r="E24">
        <v>475.25</v>
      </c>
      <c r="F24">
        <v>273.62</v>
      </c>
      <c r="H24" t="s">
        <v>32</v>
      </c>
      <c r="I24">
        <f>VLOOKUP(H24,$A$1:F$161,I$2,0)</f>
        <v>21.4</v>
      </c>
      <c r="J24">
        <f>VLOOKUP(H24,$A$1:F$161,J$2,0)</f>
        <v>33.979999999999997</v>
      </c>
      <c r="K24">
        <f>VLOOKUP(H24,$A$1:F$161,K$2,0)</f>
        <v>7.5</v>
      </c>
      <c r="L24">
        <f>VLOOKUP(H24,$A$1:F$161,L$2,0)</f>
        <v>4.93</v>
      </c>
      <c r="M24">
        <f>VLOOKUP(H24,$A$1:F$161,M$2,0)</f>
        <v>5.4</v>
      </c>
    </row>
    <row r="25" spans="1:13" x14ac:dyDescent="0.25">
      <c r="A25" t="s">
        <v>25</v>
      </c>
      <c r="B25">
        <v>1230.21</v>
      </c>
      <c r="C25">
        <v>1094.92</v>
      </c>
      <c r="D25">
        <v>1244.74</v>
      </c>
      <c r="E25">
        <v>1071.06</v>
      </c>
      <c r="F25">
        <v>772.65</v>
      </c>
      <c r="H25" t="s">
        <v>33</v>
      </c>
      <c r="I25">
        <f>VLOOKUP(H25,$A$1:F$161,I$2,0)</f>
        <v>0</v>
      </c>
      <c r="J25">
        <f>VLOOKUP(H25,$A$1:F$161,J$2,0)</f>
        <v>17.82</v>
      </c>
      <c r="K25">
        <f>VLOOKUP(H25,$A$1:F$161,K$2,0)</f>
        <v>21.84</v>
      </c>
      <c r="L25">
        <f>VLOOKUP(H25,$A$1:F$161,L$2,0)</f>
        <v>21.38</v>
      </c>
      <c r="M25">
        <f>VLOOKUP(H25,$A$1:F$161,M$2,0)</f>
        <v>15</v>
      </c>
    </row>
    <row r="26" spans="1:13" x14ac:dyDescent="0.25">
      <c r="A26" t="s">
        <v>26</v>
      </c>
      <c r="H26" t="s">
        <v>34</v>
      </c>
      <c r="I26">
        <f>VLOOKUP(H26,$A$1:F$161,I$2,0)</f>
        <v>35.26</v>
      </c>
      <c r="J26">
        <f>VLOOKUP(H26,$A$1:F$161,J$2,0)</f>
        <v>13.34</v>
      </c>
      <c r="K26">
        <f>VLOOKUP(H26,$A$1:F$161,K$2,0)</f>
        <v>17.47</v>
      </c>
      <c r="L26">
        <f>VLOOKUP(H26,$A$1:F$161,L$2,0)</f>
        <v>14.16</v>
      </c>
      <c r="M26">
        <f>VLOOKUP(H26,$A$1:F$161,M$2,0)</f>
        <v>10.42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329.96</v>
      </c>
      <c r="J27">
        <f>VLOOKUP(H27,$A$1:F$161,J$2,0)</f>
        <v>356.56</v>
      </c>
      <c r="K27">
        <f>VLOOKUP(H27,$A$1:F$161,K$2,0)</f>
        <v>413.98</v>
      </c>
      <c r="L27">
        <f>VLOOKUP(H27,$A$1:F$161,L$2,0)</f>
        <v>163.72999999999999</v>
      </c>
      <c r="M27">
        <f>VLOOKUP(H27,$A$1:F$161,M$2,0)</f>
        <v>111.56</v>
      </c>
    </row>
    <row r="28" spans="1:13" x14ac:dyDescent="0.25">
      <c r="A28" t="s">
        <v>28</v>
      </c>
      <c r="B28">
        <v>263.2</v>
      </c>
      <c r="C28">
        <v>285.97000000000003</v>
      </c>
      <c r="D28">
        <v>360.06</v>
      </c>
      <c r="E28">
        <v>113.82</v>
      </c>
      <c r="F28">
        <v>75.959999999999994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106</v>
      </c>
      <c r="B29">
        <v>1.58</v>
      </c>
      <c r="C29">
        <v>2.23</v>
      </c>
      <c r="D29">
        <v>3.93</v>
      </c>
      <c r="E29">
        <v>2.87</v>
      </c>
      <c r="F29">
        <v>1.08</v>
      </c>
      <c r="H29" t="s">
        <v>38</v>
      </c>
      <c r="I29">
        <f>VLOOKUP(H29,$A$1:F$161,I$2,0)</f>
        <v>518.38</v>
      </c>
      <c r="J29">
        <f>VLOOKUP(H29,$A$1:F$161,J$2,0)</f>
        <v>301.64999999999998</v>
      </c>
      <c r="K29">
        <f>VLOOKUP(H29,$A$1:F$161,K$2,0)</f>
        <v>451.36</v>
      </c>
      <c r="L29">
        <f>VLOOKUP(H29,$A$1:F$161,L$2,0)</f>
        <v>527.35</v>
      </c>
      <c r="M29">
        <f>VLOOKUP(H29,$A$1:F$161,M$2,0)</f>
        <v>316.52</v>
      </c>
    </row>
    <row r="30" spans="1:13" x14ac:dyDescent="0.25">
      <c r="A30" t="s">
        <v>29</v>
      </c>
      <c r="B30">
        <v>7.13</v>
      </c>
      <c r="C30">
        <v>1.98</v>
      </c>
      <c r="D30">
        <v>2.7</v>
      </c>
      <c r="E30">
        <v>5.69</v>
      </c>
      <c r="F30">
        <v>2.66</v>
      </c>
      <c r="H30" t="s">
        <v>39</v>
      </c>
      <c r="I30">
        <f>VLOOKUP(H30,$A$1:F$161,I$2,0)</f>
        <v>218.51</v>
      </c>
      <c r="J30">
        <f>VLOOKUP(H30,$A$1:F$161,J$2,0)</f>
        <v>148.47</v>
      </c>
      <c r="K30">
        <f>VLOOKUP(H30,$A$1:F$161,K$2,0)</f>
        <v>267.44</v>
      </c>
      <c r="L30">
        <f>VLOOKUP(H30,$A$1:F$161,L$2,0)</f>
        <v>298.61</v>
      </c>
      <c r="M30">
        <f>VLOOKUP(H30,$A$1:F$161,M$2,0)</f>
        <v>176.57</v>
      </c>
    </row>
    <row r="31" spans="1:13" x14ac:dyDescent="0.25">
      <c r="A31" t="s">
        <v>120</v>
      </c>
      <c r="B31">
        <v>0.36</v>
      </c>
      <c r="C31">
        <v>0.3</v>
      </c>
      <c r="D31">
        <v>0.06</v>
      </c>
      <c r="E31">
        <v>0.11</v>
      </c>
      <c r="F31">
        <v>0.54</v>
      </c>
      <c r="H31" t="s">
        <v>40</v>
      </c>
      <c r="I31">
        <f>VLOOKUP(H31,$A$1:F$161,I$2,0)</f>
        <v>20.73</v>
      </c>
      <c r="J31">
        <f>VLOOKUP(H31,$A$1:F$161,J$2,0)</f>
        <v>90.5</v>
      </c>
      <c r="K31">
        <f>VLOOKUP(H31,$A$1:F$161,K$2,0)</f>
        <v>10.76</v>
      </c>
      <c r="L31">
        <f>VLOOKUP(H31,$A$1:F$161,L$2,0)</f>
        <v>14.23</v>
      </c>
      <c r="M31">
        <f>VLOOKUP(H31,$A$1:F$161,M$2,0)</f>
        <v>23.8</v>
      </c>
    </row>
    <row r="32" spans="1:13" x14ac:dyDescent="0.25">
      <c r="A32" t="s">
        <v>30</v>
      </c>
      <c r="B32">
        <v>272.27</v>
      </c>
      <c r="C32">
        <v>290.48</v>
      </c>
      <c r="D32">
        <v>366.75</v>
      </c>
      <c r="E32">
        <v>122.49</v>
      </c>
      <c r="F32">
        <v>80.239999999999995</v>
      </c>
      <c r="H32" t="s">
        <v>41</v>
      </c>
      <c r="I32">
        <f>VLOOKUP(H32,$A$1:F$161,I$2,0)</f>
        <v>0</v>
      </c>
      <c r="J32">
        <f>VLOOKUP(H32,$A$1:F$161,J$2,0)</f>
        <v>6.16</v>
      </c>
      <c r="K32">
        <f>VLOOKUP(H32,$A$1:F$161,K$2,0)</f>
        <v>8.24</v>
      </c>
      <c r="L32">
        <f>VLOOKUP(H32,$A$1:F$161,L$2,0)</f>
        <v>3.9</v>
      </c>
      <c r="M32">
        <f>VLOOKUP(H32,$A$1:F$161,M$2,0)</f>
        <v>4.13</v>
      </c>
    </row>
    <row r="33" spans="1:13" x14ac:dyDescent="0.25">
      <c r="A33" t="s">
        <v>31</v>
      </c>
      <c r="B33">
        <v>1.03</v>
      </c>
      <c r="C33">
        <v>0.94</v>
      </c>
      <c r="D33">
        <v>0.42</v>
      </c>
      <c r="E33">
        <v>0.77</v>
      </c>
      <c r="F33">
        <v>0.5</v>
      </c>
      <c r="H33" t="s">
        <v>42</v>
      </c>
      <c r="I33">
        <f>VLOOKUP(H33,$A$1:F$161,I$2,0)</f>
        <v>101.95</v>
      </c>
      <c r="J33">
        <f>VLOOKUP(H33,$A$1:F$161,J$2,0)</f>
        <v>51.54</v>
      </c>
      <c r="K33">
        <f>VLOOKUP(H33,$A$1:F$161,K$2,0)</f>
        <v>52.61</v>
      </c>
      <c r="L33">
        <f>VLOOKUP(H33,$A$1:F$161,L$2,0)</f>
        <v>63.24</v>
      </c>
      <c r="M33">
        <f>VLOOKUP(H33,$A$1:F$161,M$2,0)</f>
        <v>68.7</v>
      </c>
    </row>
    <row r="34" spans="1:13" x14ac:dyDescent="0.25">
      <c r="A34" t="s">
        <v>32</v>
      </c>
      <c r="B34">
        <v>21.4</v>
      </c>
      <c r="C34">
        <v>33.979999999999997</v>
      </c>
      <c r="D34">
        <v>7.5</v>
      </c>
      <c r="E34">
        <v>4.93</v>
      </c>
      <c r="F34">
        <v>5.4</v>
      </c>
      <c r="H34" t="s">
        <v>43</v>
      </c>
      <c r="I34">
        <f>VLOOKUP(H34,$A$1:F$161,I$2,0)</f>
        <v>900.25</v>
      </c>
      <c r="J34">
        <f>VLOOKUP(H34,$A$1:F$161,J$2,0)</f>
        <v>738.36</v>
      </c>
      <c r="K34">
        <f>VLOOKUP(H34,$A$1:F$161,K$2,0)</f>
        <v>830.76</v>
      </c>
      <c r="L34">
        <f>VLOOKUP(H34,$A$1:F$161,L$2,0)</f>
        <v>907.33</v>
      </c>
      <c r="M34">
        <f>VLOOKUP(H34,$A$1:F$161,M$2,0)</f>
        <v>661.09</v>
      </c>
    </row>
    <row r="35" spans="1:13" x14ac:dyDescent="0.25">
      <c r="A35" t="s">
        <v>33</v>
      </c>
      <c r="B35">
        <v>0</v>
      </c>
      <c r="C35">
        <v>17.82</v>
      </c>
      <c r="D35">
        <v>21.84</v>
      </c>
      <c r="E35">
        <v>21.38</v>
      </c>
      <c r="F35">
        <v>15</v>
      </c>
      <c r="H35" t="s">
        <v>44</v>
      </c>
      <c r="I35">
        <f>VLOOKUP(H35,$A$1:F$161,I$2,0)</f>
        <v>1230.21</v>
      </c>
      <c r="J35">
        <f>VLOOKUP(H35,$A$1:F$161,J$2,0)</f>
        <v>1094.92</v>
      </c>
      <c r="K35">
        <f>VLOOKUP(H35,$A$1:F$161,K$2,0)</f>
        <v>1244.74</v>
      </c>
      <c r="L35">
        <f>VLOOKUP(H35,$A$1:F$161,L$2,0)</f>
        <v>1071.06</v>
      </c>
      <c r="M35">
        <f>VLOOKUP(H35,$A$1:F$161,M$2,0)</f>
        <v>772.65</v>
      </c>
    </row>
    <row r="36" spans="1:13" x14ac:dyDescent="0.25">
      <c r="A36" t="s">
        <v>34</v>
      </c>
      <c r="B36">
        <v>35.26</v>
      </c>
      <c r="C36">
        <v>13.34</v>
      </c>
      <c r="D36">
        <v>17.47</v>
      </c>
      <c r="E36">
        <v>14.16</v>
      </c>
      <c r="F36">
        <v>10.42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329.96</v>
      </c>
      <c r="C37">
        <v>356.56</v>
      </c>
      <c r="D37">
        <v>413.98</v>
      </c>
      <c r="E37">
        <v>163.72999999999999</v>
      </c>
      <c r="F37">
        <v>111.56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373.1</v>
      </c>
      <c r="J38">
        <f>VLOOKUP(H38,$A$1:F$161,J$2,0)</f>
        <v>323.24</v>
      </c>
      <c r="K38">
        <f>VLOOKUP(H38,$A$1:F$161,K$2,0)</f>
        <v>252.3</v>
      </c>
      <c r="L38">
        <f>VLOOKUP(H38,$A$1:F$161,L$2,0)</f>
        <v>190.22</v>
      </c>
      <c r="M38">
        <f>VLOOKUP(H38,$A$1:F$161,M$2,0)</f>
        <v>151.57</v>
      </c>
    </row>
    <row r="39" spans="1:13" x14ac:dyDescent="0.25">
      <c r="A39" t="s">
        <v>37</v>
      </c>
      <c r="B39">
        <v>40.68</v>
      </c>
      <c r="C39">
        <v>140.04</v>
      </c>
      <c r="D39">
        <v>40.35</v>
      </c>
      <c r="E39">
        <v>0</v>
      </c>
      <c r="F39">
        <v>71.37</v>
      </c>
      <c r="H39" t="s">
        <v>62</v>
      </c>
      <c r="I39">
        <f>VLOOKUP(H39,$A$1:F$161,I$2,0)</f>
        <v>40.68</v>
      </c>
      <c r="J39">
        <f>VLOOKUP(H39,$A$1:F$161,J$2,0)</f>
        <v>140.04</v>
      </c>
      <c r="K39">
        <f>VLOOKUP(H39,$A$1:F$161,K$2,0)</f>
        <v>40.35</v>
      </c>
      <c r="L39">
        <f>VLOOKUP(H39,$A$1:F$161,L$2,0)</f>
        <v>0</v>
      </c>
      <c r="M39">
        <f>VLOOKUP(H39,$A$1:F$161,M$2,0)</f>
        <v>71.37</v>
      </c>
    </row>
    <row r="40" spans="1:13" x14ac:dyDescent="0.25">
      <c r="A40" t="s">
        <v>38</v>
      </c>
      <c r="B40">
        <v>518.38</v>
      </c>
      <c r="C40">
        <v>301.64999999999998</v>
      </c>
      <c r="D40">
        <v>451.36</v>
      </c>
      <c r="E40">
        <v>527.35</v>
      </c>
      <c r="F40">
        <v>316.52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39</v>
      </c>
      <c r="B41">
        <v>218.51</v>
      </c>
      <c r="C41">
        <v>148.47</v>
      </c>
      <c r="D41">
        <v>267.44</v>
      </c>
      <c r="E41">
        <v>298.61</v>
      </c>
      <c r="F41">
        <v>176.57</v>
      </c>
      <c r="H41" t="s">
        <v>64</v>
      </c>
      <c r="I41">
        <f>VLOOKUP(H41,$A$1:F$161,I$2,0)</f>
        <v>0</v>
      </c>
      <c r="J41">
        <f>VLOOKUP(H41,$A$1:F$161,J$2,0)</f>
        <v>0</v>
      </c>
      <c r="K41">
        <f>VLOOKUP(H41,$A$1:F$161,K$2,0)</f>
        <v>0</v>
      </c>
      <c r="L41">
        <f>VLOOKUP(H41,$A$1:F$161,L$2,0)</f>
        <v>0</v>
      </c>
      <c r="M41">
        <f>VLOOKUP(H41,$A$1:F$161,M$2,0)</f>
        <v>71.37</v>
      </c>
    </row>
    <row r="42" spans="1:13" x14ac:dyDescent="0.25">
      <c r="A42" t="s">
        <v>40</v>
      </c>
      <c r="B42">
        <v>20.73</v>
      </c>
      <c r="C42">
        <v>90.5</v>
      </c>
      <c r="D42">
        <v>10.76</v>
      </c>
      <c r="E42">
        <v>14.23</v>
      </c>
      <c r="F42">
        <v>23.8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41</v>
      </c>
      <c r="B43">
        <v>0</v>
      </c>
      <c r="C43">
        <v>6.16</v>
      </c>
      <c r="D43">
        <v>8.24</v>
      </c>
      <c r="E43">
        <v>3.9</v>
      </c>
      <c r="F43">
        <v>4.13</v>
      </c>
      <c r="H43" t="s">
        <v>68</v>
      </c>
      <c r="I43">
        <f>VLOOKUP(H43,$A$1:F$161,I$2,0)</f>
        <v>1286.92</v>
      </c>
      <c r="J43">
        <f>VLOOKUP(H43,$A$1:F$161,J$2,0)</f>
        <v>617.19000000000005</v>
      </c>
      <c r="K43">
        <f>VLOOKUP(H43,$A$1:F$161,K$2,0)</f>
        <v>1716.03</v>
      </c>
      <c r="L43">
        <f>VLOOKUP(H43,$A$1:F$161,L$2,0)</f>
        <v>1780.77</v>
      </c>
      <c r="M43">
        <f>VLOOKUP(H43,$A$1:F$161,M$2,0)</f>
        <v>1415.04</v>
      </c>
    </row>
    <row r="44" spans="1:13" x14ac:dyDescent="0.25">
      <c r="A44" t="s">
        <v>42</v>
      </c>
      <c r="B44">
        <v>101.95</v>
      </c>
      <c r="C44">
        <v>51.54</v>
      </c>
      <c r="D44">
        <v>52.61</v>
      </c>
      <c r="E44">
        <v>63.24</v>
      </c>
      <c r="F44">
        <v>68.7</v>
      </c>
      <c r="H44" t="s">
        <v>70</v>
      </c>
      <c r="I44">
        <f>VLOOKUP(H44,$A$1:F$161,I$2,0)</f>
        <v>1286.92</v>
      </c>
      <c r="J44">
        <f>VLOOKUP(H44,$A$1:F$161,J$2,0)</f>
        <v>617.19000000000005</v>
      </c>
      <c r="K44">
        <f>VLOOKUP(H44,$A$1:F$161,K$2,0)</f>
        <v>1716.03</v>
      </c>
      <c r="L44">
        <f>VLOOKUP(H44,$A$1:F$161,L$2,0)</f>
        <v>1780.77</v>
      </c>
      <c r="M44">
        <f>VLOOKUP(H44,$A$1:F$161,M$2,0)</f>
        <v>1408.29</v>
      </c>
    </row>
    <row r="45" spans="1:13" x14ac:dyDescent="0.25">
      <c r="A45" t="s">
        <v>43</v>
      </c>
      <c r="B45">
        <v>900.25</v>
      </c>
      <c r="C45">
        <v>738.36</v>
      </c>
      <c r="D45">
        <v>830.76</v>
      </c>
      <c r="E45">
        <v>907.33</v>
      </c>
      <c r="F45">
        <v>661.09</v>
      </c>
      <c r="H45" t="s">
        <v>71</v>
      </c>
      <c r="I45">
        <f>VLOOKUP(H45,$A$1:F$161,I$2,0)</f>
        <v>2.59</v>
      </c>
      <c r="J45">
        <f>VLOOKUP(H45,$A$1:F$161,J$2,0)</f>
        <v>1.37</v>
      </c>
      <c r="K45">
        <f>VLOOKUP(H45,$A$1:F$161,K$2,0)</f>
        <v>2.29</v>
      </c>
      <c r="L45">
        <f>VLOOKUP(H45,$A$1:F$161,L$2,0)</f>
        <v>3.89</v>
      </c>
      <c r="M45">
        <f>VLOOKUP(H45,$A$1:F$161,M$2,0)</f>
        <v>1.3</v>
      </c>
    </row>
    <row r="46" spans="1:13" x14ac:dyDescent="0.25">
      <c r="A46" t="s">
        <v>44</v>
      </c>
      <c r="B46">
        <v>1230.21</v>
      </c>
      <c r="C46">
        <v>1094.92</v>
      </c>
      <c r="D46">
        <v>1244.74</v>
      </c>
      <c r="E46">
        <v>1071.06</v>
      </c>
      <c r="F46">
        <v>772.65</v>
      </c>
      <c r="H46" t="s">
        <v>72</v>
      </c>
      <c r="I46">
        <f>VLOOKUP(H46,$A$1:F$161,I$2,0)</f>
        <v>1289.51</v>
      </c>
      <c r="J46">
        <f>VLOOKUP(H46,$A$1:F$161,J$2,0)</f>
        <v>618.55999999999995</v>
      </c>
      <c r="K46">
        <f>VLOOKUP(H46,$A$1:F$161,K$2,0)</f>
        <v>1718.32</v>
      </c>
      <c r="L46">
        <f>VLOOKUP(H46,$A$1:F$161,L$2,0)</f>
        <v>1784.66</v>
      </c>
      <c r="M46">
        <f>VLOOKUP(H46,$A$1:F$161,M$2,0)</f>
        <v>1409.59</v>
      </c>
    </row>
    <row r="47" spans="1:13" ht="24" customHeight="1" x14ac:dyDescent="0.25">
      <c r="A47" t="s">
        <v>45</v>
      </c>
      <c r="H47" t="s">
        <v>73</v>
      </c>
      <c r="I47">
        <f>VLOOKUP(H47,$A$1:F$161,I$2,0)</f>
        <v>36.36</v>
      </c>
      <c r="J47">
        <f>VLOOKUP(H47,$A$1:F$161,J$2,0)</f>
        <v>48.35</v>
      </c>
      <c r="K47">
        <f>VLOOKUP(H47,$A$1:F$161,K$2,0)</f>
        <v>12.5</v>
      </c>
      <c r="L47">
        <f>VLOOKUP(H47,$A$1:F$161,L$2,0)</f>
        <v>8.32</v>
      </c>
      <c r="M47">
        <f>VLOOKUP(H47,$A$1:F$161,M$2,0)</f>
        <v>9.31</v>
      </c>
    </row>
    <row r="48" spans="1:13" ht="36" customHeight="1" x14ac:dyDescent="0.25">
      <c r="A48" t="s">
        <v>46</v>
      </c>
      <c r="H48" t="s">
        <v>74</v>
      </c>
      <c r="I48">
        <f>VLOOKUP(H48,$A$1:F$161,I$2,0)</f>
        <v>1325.87</v>
      </c>
      <c r="J48">
        <f>VLOOKUP(H48,$A$1:F$161,J$2,0)</f>
        <v>666.91</v>
      </c>
      <c r="K48">
        <f>VLOOKUP(H48,$A$1:F$161,K$2,0)</f>
        <v>1730.82</v>
      </c>
      <c r="L48">
        <f>VLOOKUP(H48,$A$1:F$161,L$2,0)</f>
        <v>1792.98</v>
      </c>
      <c r="M48">
        <f>VLOOKUP(H48,$A$1:F$161,M$2,0)</f>
        <v>1418.9</v>
      </c>
    </row>
    <row r="49" spans="1:13" x14ac:dyDescent="0.25">
      <c r="A49" t="s">
        <v>47</v>
      </c>
      <c r="B49">
        <v>373.1</v>
      </c>
      <c r="C49">
        <v>323.24</v>
      </c>
      <c r="D49">
        <v>252.3</v>
      </c>
      <c r="E49">
        <v>190.22</v>
      </c>
      <c r="F49">
        <v>151.57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15" customHeight="1" x14ac:dyDescent="0.25">
      <c r="A50" t="s">
        <v>57</v>
      </c>
      <c r="H50" t="s">
        <v>76</v>
      </c>
      <c r="I50">
        <f>VLOOKUP(H50,$A$1:F$161,I$2,0)</f>
        <v>567</v>
      </c>
      <c r="J50">
        <f>VLOOKUP(H50,$A$1:F$161,J$2,0)</f>
        <v>163.92</v>
      </c>
      <c r="K50">
        <f>VLOOKUP(H50,$A$1:F$161,K$2,0)</f>
        <v>357.24</v>
      </c>
      <c r="L50">
        <f>VLOOKUP(H50,$A$1:F$161,L$2,0)</f>
        <v>306.88</v>
      </c>
      <c r="M50">
        <f>VLOOKUP(H50,$A$1:F$161,M$2,0)</f>
        <v>179.31</v>
      </c>
    </row>
    <row r="51" spans="1:13" x14ac:dyDescent="0.25">
      <c r="A51" t="s">
        <v>58</v>
      </c>
      <c r="B51">
        <v>3.53</v>
      </c>
      <c r="C51">
        <v>3.53</v>
      </c>
      <c r="D51">
        <v>3.53</v>
      </c>
      <c r="E51">
        <v>3.53</v>
      </c>
      <c r="F51">
        <v>3.53</v>
      </c>
      <c r="H51" t="s">
        <v>77</v>
      </c>
      <c r="I51">
        <f>VLOOKUP(H51,$A$1:F$161,I$2,0)</f>
        <v>213.56</v>
      </c>
      <c r="J51">
        <f>VLOOKUP(H51,$A$1:F$161,J$2,0)</f>
        <v>48.75</v>
      </c>
      <c r="K51">
        <f>VLOOKUP(H51,$A$1:F$161,K$2,0)</f>
        <v>382.01</v>
      </c>
      <c r="L51">
        <f>VLOOKUP(H51,$A$1:F$161,L$2,0)</f>
        <v>767.7</v>
      </c>
      <c r="M51">
        <f>VLOOKUP(H51,$A$1:F$161,M$2,0)</f>
        <v>554.91999999999996</v>
      </c>
    </row>
    <row r="52" spans="1:13" ht="24" customHeight="1" x14ac:dyDescent="0.25">
      <c r="A52" t="s">
        <v>59</v>
      </c>
      <c r="H52" t="s">
        <v>78</v>
      </c>
      <c r="I52">
        <f>VLOOKUP(H52,$A$1:F$161,I$2,0)</f>
        <v>-135.56</v>
      </c>
      <c r="J52">
        <f>VLOOKUP(H52,$A$1:F$161,J$2,0)</f>
        <v>153.49</v>
      </c>
      <c r="K52">
        <f>VLOOKUP(H52,$A$1:F$161,K$2,0)</f>
        <v>66.67</v>
      </c>
      <c r="L52">
        <f>VLOOKUP(H52,$A$1:F$161,L$2,0)</f>
        <v>-170.21</v>
      </c>
      <c r="M52">
        <f>VLOOKUP(H52,$A$1:F$161,M$2,0)</f>
        <v>-22.55</v>
      </c>
    </row>
    <row r="53" spans="1:13" x14ac:dyDescent="0.25">
      <c r="A53" t="s">
        <v>60</v>
      </c>
      <c r="B53">
        <v>1.03</v>
      </c>
      <c r="C53">
        <v>0.94</v>
      </c>
      <c r="D53">
        <v>0.42</v>
      </c>
      <c r="E53">
        <v>0.77</v>
      </c>
      <c r="F53">
        <v>0.49</v>
      </c>
      <c r="H53" t="s">
        <v>79</v>
      </c>
      <c r="I53">
        <f>VLOOKUP(H53,$A$1:F$161,I$2,0)</f>
        <v>188.72</v>
      </c>
      <c r="J53">
        <f>VLOOKUP(H53,$A$1:F$161,J$2,0)</f>
        <v>137.6</v>
      </c>
      <c r="K53">
        <f>VLOOKUP(H53,$A$1:F$161,K$2,0)</f>
        <v>210.49</v>
      </c>
      <c r="L53">
        <f>VLOOKUP(H53,$A$1:F$161,L$2,0)</f>
        <v>201.07</v>
      </c>
      <c r="M53">
        <f>VLOOKUP(H53,$A$1:F$161,M$2,0)</f>
        <v>159.38999999999999</v>
      </c>
    </row>
    <row r="54" spans="1:13" x14ac:dyDescent="0.25">
      <c r="A54" t="s">
        <v>61</v>
      </c>
      <c r="B54">
        <v>0</v>
      </c>
      <c r="C54">
        <v>0</v>
      </c>
      <c r="D54">
        <v>0</v>
      </c>
      <c r="E54">
        <v>0</v>
      </c>
      <c r="F54">
        <v>0.01</v>
      </c>
      <c r="H54" t="s">
        <v>80</v>
      </c>
      <c r="I54">
        <f>VLOOKUP(H54,$A$1:F$161,I$2,0)</f>
        <v>24.64</v>
      </c>
      <c r="J54">
        <f>VLOOKUP(H54,$A$1:F$161,J$2,0)</f>
        <v>29.75</v>
      </c>
      <c r="K54">
        <f>VLOOKUP(H54,$A$1:F$161,K$2,0)</f>
        <v>23</v>
      </c>
      <c r="L54">
        <f>VLOOKUP(H54,$A$1:F$161,L$2,0)</f>
        <v>1.49</v>
      </c>
      <c r="M54">
        <f>VLOOKUP(H54,$A$1:F$161,M$2,0)</f>
        <v>0.3</v>
      </c>
    </row>
    <row r="55" spans="1:13" ht="24" customHeight="1" x14ac:dyDescent="0.25">
      <c r="A55" t="s">
        <v>62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64</v>
      </c>
      <c r="B56">
        <v>0</v>
      </c>
      <c r="C56">
        <v>0</v>
      </c>
      <c r="D56">
        <v>0</v>
      </c>
      <c r="E56">
        <v>0</v>
      </c>
      <c r="F56">
        <v>71.37</v>
      </c>
      <c r="H56" t="s">
        <v>82</v>
      </c>
      <c r="I56">
        <f>VLOOKUP(H56,$A$1:F$161,I$2,0)</f>
        <v>69.959999999999994</v>
      </c>
      <c r="J56">
        <f>VLOOKUP(H56,$A$1:F$161,J$2,0)</f>
        <v>77.94</v>
      </c>
      <c r="K56">
        <f>VLOOKUP(H56,$A$1:F$161,K$2,0)</f>
        <v>83.87</v>
      </c>
      <c r="L56">
        <f>VLOOKUP(H56,$A$1:F$161,L$2,0)</f>
        <v>16.61</v>
      </c>
      <c r="M56">
        <f>VLOOKUP(H56,$A$1:F$161,M$2,0)</f>
        <v>12.85</v>
      </c>
    </row>
    <row r="57" spans="1:13" x14ac:dyDescent="0.25">
      <c r="H57" t="s">
        <v>83</v>
      </c>
      <c r="I57">
        <f>VLOOKUP(H57,$A$1:F$161,I$2,0)</f>
        <v>311.39</v>
      </c>
      <c r="J57">
        <f>VLOOKUP(H57,$A$1:F$161,J$2,0)</f>
        <v>180.07</v>
      </c>
      <c r="K57">
        <f>VLOOKUP(H57,$A$1:F$161,K$2,0)</f>
        <v>410.63</v>
      </c>
      <c r="L57">
        <f>VLOOKUP(H57,$A$1:F$161,L$2,0)</f>
        <v>454.5</v>
      </c>
      <c r="M57">
        <f>VLOOKUP(H57,$A$1:F$161,M$2,0)</f>
        <v>345.15</v>
      </c>
    </row>
    <row r="58" spans="1:13" x14ac:dyDescent="0.25">
      <c r="H58" t="s">
        <v>84</v>
      </c>
      <c r="I58">
        <f>VLOOKUP(H58,$A$1:F$161,I$2,0)</f>
        <v>1239.71</v>
      </c>
      <c r="J58">
        <f>VLOOKUP(H58,$A$1:F$161,J$2,0)</f>
        <v>791.52</v>
      </c>
      <c r="K58">
        <f>VLOOKUP(H58,$A$1:F$161,K$2,0)</f>
        <v>1533.91</v>
      </c>
      <c r="L58">
        <f>VLOOKUP(H58,$A$1:F$161,L$2,0)</f>
        <v>1578.04</v>
      </c>
      <c r="M58">
        <f>VLOOKUP(H58,$A$1:F$161,M$2,0)</f>
        <v>1229.3699999999999</v>
      </c>
    </row>
    <row r="59" spans="1:13" x14ac:dyDescent="0.25">
      <c r="H59" t="s">
        <v>85</v>
      </c>
      <c r="I59">
        <f>VLOOKUP(H59,$A$1:F$161,I$2,0)</f>
        <v>86.16</v>
      </c>
      <c r="J59">
        <f>VLOOKUP(H59,$A$1:F$161,J$2,0)</f>
        <v>-124.61</v>
      </c>
      <c r="K59">
        <f>VLOOKUP(H59,$A$1:F$161,K$2,0)</f>
        <v>196.91</v>
      </c>
      <c r="L59">
        <f>VLOOKUP(H59,$A$1:F$161,L$2,0)</f>
        <v>214.94</v>
      </c>
      <c r="M59">
        <f>VLOOKUP(H59,$A$1:F$161,M$2,0)</f>
        <v>189.53</v>
      </c>
    </row>
    <row r="60" spans="1:13" ht="15" customHeight="1" x14ac:dyDescent="0.25">
      <c r="A60" t="s">
        <v>65</v>
      </c>
      <c r="H60" t="s">
        <v>87</v>
      </c>
      <c r="I60">
        <f>VLOOKUP(H60,$A$1:F$161,I$2,0)</f>
        <v>86.16</v>
      </c>
      <c r="J60">
        <f>VLOOKUP(H60,$A$1:F$161,J$2,0)</f>
        <v>-124.61</v>
      </c>
      <c r="K60">
        <f>VLOOKUP(H60,$A$1:F$161,K$2,0)</f>
        <v>148.41</v>
      </c>
      <c r="L60">
        <f>VLOOKUP(H60,$A$1:F$161,L$2,0)</f>
        <v>214.94</v>
      </c>
      <c r="M60">
        <f>VLOOKUP(H60,$A$1:F$161,M$2,0)</f>
        <v>189.53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6.96</v>
      </c>
      <c r="J62">
        <f>VLOOKUP(H62,$A$1:F$161,J$2,0)</f>
        <v>0.43</v>
      </c>
      <c r="K62">
        <f>VLOOKUP(H62,$A$1:F$161,K$2,0)</f>
        <v>38.409999999999997</v>
      </c>
      <c r="L62">
        <f>VLOOKUP(H62,$A$1:F$161,L$2,0)</f>
        <v>69.13</v>
      </c>
      <c r="M62">
        <f>VLOOKUP(H62,$A$1:F$161,M$2,0)</f>
        <v>62.04</v>
      </c>
    </row>
    <row r="63" spans="1:13" x14ac:dyDescent="0.25">
      <c r="H63" t="s">
        <v>90</v>
      </c>
      <c r="I63">
        <f>VLOOKUP(H63,$A$1:F$161,I$2,0)</f>
        <v>12.36</v>
      </c>
      <c r="J63">
        <f>VLOOKUP(H63,$A$1:F$161,J$2,0)</f>
        <v>-27.38</v>
      </c>
      <c r="K63">
        <f>VLOOKUP(H63,$A$1:F$161,K$2,0)</f>
        <v>-1.73</v>
      </c>
      <c r="L63">
        <f>VLOOKUP(H63,$A$1:F$161,L$2,0)</f>
        <v>0.03</v>
      </c>
      <c r="M63">
        <f>VLOOKUP(H63,$A$1:F$161,M$2,0)</f>
        <v>0.31</v>
      </c>
    </row>
    <row r="64" spans="1:13" x14ac:dyDescent="0.25">
      <c r="H64" t="s">
        <v>112</v>
      </c>
      <c r="I64">
        <f>VLOOKUP(H64,$A$1:F$161,I$2,0)</f>
        <v>-0.09</v>
      </c>
      <c r="J64">
        <f>VLOOKUP(H64,$A$1:F$161,J$2,0)</f>
        <v>-0.17</v>
      </c>
      <c r="K64">
        <f>VLOOKUP(H64,$A$1:F$161,K$2,0)</f>
        <v>0</v>
      </c>
      <c r="L64">
        <f>VLOOKUP(H64,$A$1:F$161,L$2,0)</f>
        <v>0.51</v>
      </c>
      <c r="M64">
        <f>VLOOKUP(H64,$A$1:F$161,M$2,0)</f>
        <v>0.43</v>
      </c>
    </row>
    <row r="65" spans="8:13" x14ac:dyDescent="0.25">
      <c r="H65" t="s">
        <v>91</v>
      </c>
      <c r="I65">
        <f>VLOOKUP(H65,$A$1:F$161,I$2,0)</f>
        <v>19.23</v>
      </c>
      <c r="J65">
        <f>VLOOKUP(H65,$A$1:F$161,J$2,0)</f>
        <v>-27.12</v>
      </c>
      <c r="K65">
        <f>VLOOKUP(H65,$A$1:F$161,K$2,0)</f>
        <v>36.68</v>
      </c>
      <c r="L65">
        <f>VLOOKUP(H65,$A$1:F$161,L$2,0)</f>
        <v>69.67</v>
      </c>
      <c r="M65">
        <f>VLOOKUP(H65,$A$1:F$161,M$2,0)</f>
        <v>62.78</v>
      </c>
    </row>
    <row r="66" spans="8:13" x14ac:dyDescent="0.25">
      <c r="H66" t="s">
        <v>92</v>
      </c>
      <c r="I66">
        <f>VLOOKUP(H66,$A$1:F$161,I$2,0)</f>
        <v>66.930000000000007</v>
      </c>
      <c r="J66">
        <f>VLOOKUP(H66,$A$1:F$161,J$2,0)</f>
        <v>-97.49</v>
      </c>
      <c r="K66">
        <f>VLOOKUP(H66,$A$1:F$161,K$2,0)</f>
        <v>111.73</v>
      </c>
      <c r="L66">
        <f>VLOOKUP(H66,$A$1:F$161,L$2,0)</f>
        <v>145.27000000000001</v>
      </c>
      <c r="M66">
        <f>VLOOKUP(H66,$A$1:F$161,M$2,0)</f>
        <v>126.75</v>
      </c>
    </row>
    <row r="67" spans="8:13" x14ac:dyDescent="0.25">
      <c r="H67" t="s">
        <v>93</v>
      </c>
      <c r="I67">
        <f>VLOOKUP(H67,$A$1:F$161,I$2,0)</f>
        <v>66.930000000000007</v>
      </c>
      <c r="J67">
        <f>VLOOKUP(H67,$A$1:F$161,J$2,0)</f>
        <v>-97.49</v>
      </c>
      <c r="K67">
        <f>VLOOKUP(H67,$A$1:F$161,K$2,0)</f>
        <v>111.73</v>
      </c>
      <c r="L67">
        <f>VLOOKUP(H67,$A$1:F$161,L$2,0)</f>
        <v>145.27000000000001</v>
      </c>
      <c r="M67">
        <f>VLOOKUP(H67,$A$1:F$161,M$2,0)</f>
        <v>126.75</v>
      </c>
    </row>
    <row r="68" spans="8:13" x14ac:dyDescent="0.25">
      <c r="H68" t="s">
        <v>94</v>
      </c>
      <c r="I68">
        <f>VLOOKUP(H68,$A$1:F$161,I$2,0)</f>
        <v>66.930000000000007</v>
      </c>
      <c r="J68">
        <f>VLOOKUP(H68,$A$1:F$161,J$2,0)</f>
        <v>-97.49</v>
      </c>
      <c r="K68">
        <f>VLOOKUP(H68,$A$1:F$161,K$2,0)</f>
        <v>111.73</v>
      </c>
      <c r="L68">
        <f>VLOOKUP(H68,$A$1:F$161,L$2,0)</f>
        <v>145.27000000000001</v>
      </c>
      <c r="M68">
        <f>VLOOKUP(H68,$A$1:F$161,M$2,0)</f>
        <v>126.75</v>
      </c>
    </row>
    <row r="69" spans="8:13" x14ac:dyDescent="0.25">
      <c r="H69" t="s">
        <v>101</v>
      </c>
      <c r="I69">
        <f>VLOOKUP(H69,$A$1:F$161,I$2,0)</f>
        <v>35.369999999999997</v>
      </c>
      <c r="J69">
        <f>VLOOKUP(H69,$A$1:F$161,J$2,0)</f>
        <v>0</v>
      </c>
      <c r="K69">
        <f>VLOOKUP(H69,$A$1:F$161,K$2,0)</f>
        <v>73.510000000000005</v>
      </c>
      <c r="L69">
        <f>VLOOKUP(H69,$A$1:F$161,L$2,0)</f>
        <v>45.22</v>
      </c>
      <c r="M69">
        <f>VLOOKUP(H69,$A$1:F$161,M$2,0)</f>
        <v>36.74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13.08</v>
      </c>
      <c r="L70">
        <f>VLOOKUP(H70,$A$1:F$161,L$2,0)</f>
        <v>9.0299999999999994</v>
      </c>
      <c r="M70">
        <f>VLOOKUP(H70,$A$1:F$161,M$2,0)</f>
        <v>7.27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138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1286.92</v>
      </c>
      <c r="C97">
        <v>617.19000000000005</v>
      </c>
      <c r="D97">
        <v>1716.03</v>
      </c>
      <c r="E97">
        <v>1780.77</v>
      </c>
      <c r="F97">
        <v>1415.04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6.75</v>
      </c>
    </row>
    <row r="99" spans="1:6" x14ac:dyDescent="0.25">
      <c r="A99" t="s">
        <v>70</v>
      </c>
      <c r="B99">
        <v>1286.92</v>
      </c>
      <c r="C99">
        <v>617.19000000000005</v>
      </c>
      <c r="D99">
        <v>1716.03</v>
      </c>
      <c r="E99">
        <v>1780.77</v>
      </c>
      <c r="F99">
        <v>1408.29</v>
      </c>
    </row>
    <row r="100" spans="1:6" x14ac:dyDescent="0.25">
      <c r="A100" t="s">
        <v>71</v>
      </c>
      <c r="B100">
        <v>2.59</v>
      </c>
      <c r="C100">
        <v>1.37</v>
      </c>
      <c r="D100">
        <v>2.29</v>
      </c>
      <c r="E100">
        <v>3.89</v>
      </c>
      <c r="F100">
        <v>1.3</v>
      </c>
    </row>
    <row r="101" spans="1:6" x14ac:dyDescent="0.25">
      <c r="A101" t="s">
        <v>72</v>
      </c>
      <c r="B101">
        <v>1289.51</v>
      </c>
      <c r="C101">
        <v>618.55999999999995</v>
      </c>
      <c r="D101">
        <v>1718.32</v>
      </c>
      <c r="E101">
        <v>1784.66</v>
      </c>
      <c r="F101">
        <v>1409.59</v>
      </c>
    </row>
    <row r="102" spans="1:6" x14ac:dyDescent="0.25">
      <c r="A102" t="s">
        <v>73</v>
      </c>
      <c r="B102">
        <v>36.36</v>
      </c>
      <c r="C102">
        <v>48.35</v>
      </c>
      <c r="D102">
        <v>12.5</v>
      </c>
      <c r="E102">
        <v>8.32</v>
      </c>
      <c r="F102">
        <v>9.31</v>
      </c>
    </row>
    <row r="103" spans="1:6" x14ac:dyDescent="0.25">
      <c r="A103" t="s">
        <v>74</v>
      </c>
      <c r="B103">
        <v>1325.87</v>
      </c>
      <c r="C103">
        <v>666.91</v>
      </c>
      <c r="D103">
        <v>1730.82</v>
      </c>
      <c r="E103">
        <v>1792.98</v>
      </c>
      <c r="F103">
        <v>1418.9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567</v>
      </c>
      <c r="C105">
        <v>163.92</v>
      </c>
      <c r="D105">
        <v>357.24</v>
      </c>
      <c r="E105">
        <v>306.88</v>
      </c>
      <c r="F105">
        <v>179.31</v>
      </c>
    </row>
    <row r="106" spans="1:6" x14ac:dyDescent="0.25">
      <c r="A106" t="s">
        <v>77</v>
      </c>
      <c r="B106">
        <v>213.56</v>
      </c>
      <c r="C106">
        <v>48.75</v>
      </c>
      <c r="D106">
        <v>382.01</v>
      </c>
      <c r="E106">
        <v>767.7</v>
      </c>
      <c r="F106">
        <v>554.91999999999996</v>
      </c>
    </row>
    <row r="107" spans="1:6" x14ac:dyDescent="0.25">
      <c r="A107" t="s">
        <v>78</v>
      </c>
      <c r="B107">
        <v>-135.56</v>
      </c>
      <c r="C107">
        <v>153.49</v>
      </c>
      <c r="D107">
        <v>66.67</v>
      </c>
      <c r="E107">
        <v>-170.21</v>
      </c>
      <c r="F107">
        <v>-22.55</v>
      </c>
    </row>
    <row r="108" spans="1:6" x14ac:dyDescent="0.25">
      <c r="A108" t="s">
        <v>79</v>
      </c>
      <c r="B108">
        <v>188.72</v>
      </c>
      <c r="C108">
        <v>137.6</v>
      </c>
      <c r="D108">
        <v>210.49</v>
      </c>
      <c r="E108">
        <v>201.07</v>
      </c>
      <c r="F108">
        <v>159.38999999999999</v>
      </c>
    </row>
    <row r="109" spans="1:6" x14ac:dyDescent="0.25">
      <c r="A109" t="s">
        <v>80</v>
      </c>
      <c r="B109">
        <v>24.64</v>
      </c>
      <c r="C109">
        <v>29.75</v>
      </c>
      <c r="D109">
        <v>23</v>
      </c>
      <c r="E109">
        <v>1.49</v>
      </c>
      <c r="F109">
        <v>0.3</v>
      </c>
    </row>
    <row r="110" spans="1:6" x14ac:dyDescent="0.25">
      <c r="A110" t="s">
        <v>82</v>
      </c>
      <c r="B110">
        <v>69.959999999999994</v>
      </c>
      <c r="C110">
        <v>77.94</v>
      </c>
      <c r="D110">
        <v>83.87</v>
      </c>
      <c r="E110">
        <v>16.61</v>
      </c>
      <c r="F110">
        <v>12.85</v>
      </c>
    </row>
    <row r="111" spans="1:6" x14ac:dyDescent="0.25">
      <c r="A111" t="s">
        <v>83</v>
      </c>
      <c r="B111">
        <v>311.39</v>
      </c>
      <c r="C111">
        <v>180.07</v>
      </c>
      <c r="D111">
        <v>410.63</v>
      </c>
      <c r="E111">
        <v>454.5</v>
      </c>
      <c r="F111">
        <v>345.15</v>
      </c>
    </row>
    <row r="112" spans="1:6" x14ac:dyDescent="0.25">
      <c r="A112" t="s">
        <v>84</v>
      </c>
      <c r="B112">
        <v>1239.71</v>
      </c>
      <c r="C112">
        <v>791.52</v>
      </c>
      <c r="D112">
        <v>1533.91</v>
      </c>
      <c r="E112">
        <v>1578.04</v>
      </c>
      <c r="F112">
        <v>1229.3699999999999</v>
      </c>
    </row>
    <row r="113" spans="1:6" x14ac:dyDescent="0.25">
      <c r="A113" t="s">
        <v>85</v>
      </c>
      <c r="B113">
        <v>86.16</v>
      </c>
      <c r="C113">
        <v>-124.61</v>
      </c>
      <c r="D113">
        <v>196.91</v>
      </c>
      <c r="E113">
        <v>214.94</v>
      </c>
      <c r="F113">
        <v>189.53</v>
      </c>
    </row>
    <row r="114" spans="1:6" x14ac:dyDescent="0.25">
      <c r="A114" t="s">
        <v>86</v>
      </c>
      <c r="B114">
        <v>0</v>
      </c>
      <c r="C114">
        <v>0</v>
      </c>
      <c r="D114">
        <v>-48.5</v>
      </c>
      <c r="E114">
        <v>0</v>
      </c>
      <c r="F114">
        <v>0</v>
      </c>
    </row>
    <row r="115" spans="1:6" x14ac:dyDescent="0.25">
      <c r="A115" t="s">
        <v>87</v>
      </c>
      <c r="B115">
        <v>86.16</v>
      </c>
      <c r="C115">
        <v>-124.61</v>
      </c>
      <c r="D115">
        <v>148.41</v>
      </c>
      <c r="E115">
        <v>214.94</v>
      </c>
      <c r="F115">
        <v>189.53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6.96</v>
      </c>
      <c r="C117">
        <v>0.43</v>
      </c>
      <c r="D117">
        <v>38.409999999999997</v>
      </c>
      <c r="E117">
        <v>69.13</v>
      </c>
      <c r="F117">
        <v>62.04</v>
      </c>
    </row>
    <row r="118" spans="1:6" x14ac:dyDescent="0.25">
      <c r="A118" t="s">
        <v>90</v>
      </c>
      <c r="B118">
        <v>12.36</v>
      </c>
      <c r="C118">
        <v>-27.38</v>
      </c>
      <c r="D118">
        <v>-1.73</v>
      </c>
      <c r="E118">
        <v>0.03</v>
      </c>
      <c r="F118">
        <v>0.31</v>
      </c>
    </row>
    <row r="119" spans="1:6" x14ac:dyDescent="0.25">
      <c r="A119" t="s">
        <v>112</v>
      </c>
      <c r="B119">
        <v>-0.09</v>
      </c>
      <c r="C119">
        <v>-0.17</v>
      </c>
      <c r="D119">
        <v>0</v>
      </c>
      <c r="E119">
        <v>0.51</v>
      </c>
      <c r="F119">
        <v>0.43</v>
      </c>
    </row>
    <row r="120" spans="1:6" x14ac:dyDescent="0.25">
      <c r="A120" t="s">
        <v>91</v>
      </c>
      <c r="B120">
        <v>19.23</v>
      </c>
      <c r="C120">
        <v>-27.12</v>
      </c>
      <c r="D120">
        <v>36.68</v>
      </c>
      <c r="E120">
        <v>69.67</v>
      </c>
      <c r="F120">
        <v>62.78</v>
      </c>
    </row>
    <row r="121" spans="1:6" x14ac:dyDescent="0.25">
      <c r="A121" t="s">
        <v>92</v>
      </c>
      <c r="B121">
        <v>66.930000000000007</v>
      </c>
      <c r="C121">
        <v>-97.49</v>
      </c>
      <c r="D121">
        <v>111.73</v>
      </c>
      <c r="E121">
        <v>145.27000000000001</v>
      </c>
      <c r="F121">
        <v>126.75</v>
      </c>
    </row>
    <row r="122" spans="1:6" x14ac:dyDescent="0.25">
      <c r="A122" t="s">
        <v>93</v>
      </c>
      <c r="B122">
        <v>66.930000000000007</v>
      </c>
      <c r="C122">
        <v>-97.49</v>
      </c>
      <c r="D122">
        <v>111.73</v>
      </c>
      <c r="E122">
        <v>145.27000000000001</v>
      </c>
      <c r="F122">
        <v>126.75</v>
      </c>
    </row>
    <row r="123" spans="1:6" x14ac:dyDescent="0.25">
      <c r="A123" t="s">
        <v>94</v>
      </c>
      <c r="B123">
        <v>66.930000000000007</v>
      </c>
      <c r="C123">
        <v>-97.49</v>
      </c>
      <c r="D123">
        <v>111.73</v>
      </c>
      <c r="E123">
        <v>145.27000000000001</v>
      </c>
      <c r="F123">
        <v>126.75</v>
      </c>
    </row>
    <row r="124" spans="1:6" x14ac:dyDescent="0.25">
      <c r="A124" t="s">
        <v>113</v>
      </c>
      <c r="B124">
        <v>66.930000000000007</v>
      </c>
      <c r="C124">
        <v>-97.49</v>
      </c>
      <c r="D124">
        <v>111.73</v>
      </c>
      <c r="E124">
        <v>145.27000000000001</v>
      </c>
      <c r="F124">
        <v>126.75</v>
      </c>
    </row>
    <row r="125" spans="1:6" ht="24" customHeight="1" x14ac:dyDescent="0.25">
      <c r="A125" t="s">
        <v>45</v>
      </c>
    </row>
    <row r="126" spans="1:6" ht="24" customHeight="1" x14ac:dyDescent="0.25">
      <c r="A126" t="s">
        <v>95</v>
      </c>
    </row>
    <row r="127" spans="1:6" x14ac:dyDescent="0.25">
      <c r="A127" t="s">
        <v>96</v>
      </c>
      <c r="B127">
        <v>5</v>
      </c>
      <c r="C127">
        <v>-7</v>
      </c>
      <c r="D127">
        <v>8</v>
      </c>
      <c r="E127">
        <v>10</v>
      </c>
      <c r="F127">
        <v>9</v>
      </c>
    </row>
    <row r="128" spans="1:6" x14ac:dyDescent="0.25">
      <c r="A128" t="s">
        <v>97</v>
      </c>
      <c r="B128">
        <v>5</v>
      </c>
      <c r="C128">
        <v>-7</v>
      </c>
      <c r="D128">
        <v>8</v>
      </c>
      <c r="E128">
        <v>10</v>
      </c>
      <c r="F128">
        <v>9</v>
      </c>
    </row>
    <row r="129" spans="1:6" ht="36" customHeight="1" x14ac:dyDescent="0.25">
      <c r="A129" t="s">
        <v>100</v>
      </c>
    </row>
    <row r="130" spans="1:6" x14ac:dyDescent="0.25">
      <c r="A130" t="s">
        <v>101</v>
      </c>
      <c r="B130">
        <v>35.369999999999997</v>
      </c>
      <c r="C130">
        <v>0</v>
      </c>
      <c r="D130">
        <v>73.510000000000005</v>
      </c>
      <c r="E130">
        <v>45.22</v>
      </c>
      <c r="F130">
        <v>36.74</v>
      </c>
    </row>
    <row r="131" spans="1:6" x14ac:dyDescent="0.25">
      <c r="A131" t="s">
        <v>102</v>
      </c>
      <c r="B131">
        <v>0</v>
      </c>
      <c r="C131">
        <v>0</v>
      </c>
      <c r="D131">
        <v>13.08</v>
      </c>
      <c r="E131">
        <v>9.0299999999999994</v>
      </c>
      <c r="F131">
        <v>7.27</v>
      </c>
    </row>
    <row r="135" spans="1:6" ht="15" customHeight="1" x14ac:dyDescent="0.25">
      <c r="A135" t="s">
        <v>65</v>
      </c>
    </row>
  </sheetData>
  <hyperlinks>
    <hyperlink ref="B1" r:id="rId1" display="javascript:void(0);" xr:uid="{CB516FBD-42D1-4EF0-9E5F-66A048F421E0}"/>
    <hyperlink ref="B90" r:id="rId2" display="javascript:void(0);" xr:uid="{4B089FCE-64E8-466B-95D4-CF8BCFA53FF7}"/>
  </hyperlinks>
  <pageMargins left="0.7" right="0.7" top="0.75" bottom="0.75" header="0.3" footer="0.3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EF90A-7CA2-41E6-B3FB-8B9308E3474B}">
  <sheetPr codeName="Sheet17"/>
  <dimension ref="A1:M135"/>
  <sheetViews>
    <sheetView workbookViewId="0">
      <selection activeCell="A17" sqref="A17"/>
    </sheetView>
  </sheetViews>
  <sheetFormatPr defaultRowHeight="15" x14ac:dyDescent="0.25"/>
  <sheetData>
    <row r="1" spans="1:13" x14ac:dyDescent="0.25">
      <c r="A1" t="s">
        <v>139</v>
      </c>
      <c r="B1" t="s">
        <v>1</v>
      </c>
      <c r="H1" t="str">
        <f>A1</f>
        <v>Bajaj Consumer Care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14.75</v>
      </c>
      <c r="J4">
        <f>VLOOKUP(H4,$A$1:F$161,J$2,0)</f>
        <v>14.75</v>
      </c>
      <c r="K4">
        <f>VLOOKUP(H4,$A$1:F$161,K$2,0)</f>
        <v>14.75</v>
      </c>
      <c r="L4">
        <f>VLOOKUP(H4,$A$1:F$161,L$2,0)</f>
        <v>14.75</v>
      </c>
      <c r="M4">
        <f>VLOOKUP(H4,$A$1:F$161,M$2,0)</f>
        <v>14.75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14.75</v>
      </c>
      <c r="J5">
        <f>VLOOKUP(H5,$A$1:F$161,J$2,0)</f>
        <v>14.75</v>
      </c>
      <c r="K5">
        <f>VLOOKUP(H5,$A$1:F$161,K$2,0)</f>
        <v>14.75</v>
      </c>
      <c r="L5">
        <f>VLOOKUP(H5,$A$1:F$161,L$2,0)</f>
        <v>14.75</v>
      </c>
      <c r="M5">
        <f>VLOOKUP(H5,$A$1:F$161,M$2,0)</f>
        <v>14.75</v>
      </c>
    </row>
    <row r="6" spans="1:13" x14ac:dyDescent="0.25">
      <c r="H6" t="s">
        <v>10</v>
      </c>
      <c r="I6">
        <f>VLOOKUP(H6,$A$1:F$161,I$2,0)</f>
        <v>793.12</v>
      </c>
      <c r="J6">
        <f>VLOOKUP(H6,$A$1:F$161,J$2,0)</f>
        <v>741.42</v>
      </c>
      <c r="K6">
        <f>VLOOKUP(H6,$A$1:F$161,K$2,0)</f>
        <v>635.59</v>
      </c>
      <c r="L6">
        <f>VLOOKUP(H6,$A$1:F$161,L$2,0)</f>
        <v>449.73</v>
      </c>
      <c r="M6">
        <f>VLOOKUP(H6,$A$1:F$161,M$2,0)</f>
        <v>477.71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793.12</v>
      </c>
      <c r="J7">
        <f>VLOOKUP(H7,$A$1:F$161,J$2,0)</f>
        <v>741.42</v>
      </c>
      <c r="K7">
        <f>VLOOKUP(H7,$A$1:F$161,K$2,0)</f>
        <v>635.59</v>
      </c>
      <c r="L7">
        <f>VLOOKUP(H7,$A$1:F$161,L$2,0)</f>
        <v>449.73</v>
      </c>
      <c r="M7">
        <f>VLOOKUP(H7,$A$1:F$161,M$2,0)</f>
        <v>477.71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809.63</v>
      </c>
      <c r="J8">
        <f>VLOOKUP(H8,$A$1:F$161,J$2,0)</f>
        <v>757.11</v>
      </c>
      <c r="K8">
        <f>VLOOKUP(H8,$A$1:F$161,K$2,0)</f>
        <v>653.16999999999996</v>
      </c>
      <c r="L8">
        <f>VLOOKUP(H8,$A$1:F$161,L$2,0)</f>
        <v>467.36</v>
      </c>
      <c r="M8">
        <f>VLOOKUP(H8,$A$1:F$161,M$2,0)</f>
        <v>492.46</v>
      </c>
    </row>
    <row r="9" spans="1:13" x14ac:dyDescent="0.25">
      <c r="A9" t="s">
        <v>8</v>
      </c>
      <c r="B9">
        <v>14.75</v>
      </c>
      <c r="C9">
        <v>14.75</v>
      </c>
      <c r="D9">
        <v>14.75</v>
      </c>
      <c r="E9">
        <v>14.75</v>
      </c>
      <c r="F9">
        <v>14.75</v>
      </c>
      <c r="H9" t="s">
        <v>14</v>
      </c>
      <c r="I9">
        <f>VLOOKUP(H9,$A$1:F$161,I$2,0)</f>
        <v>3.67</v>
      </c>
      <c r="J9">
        <f>VLOOKUP(H9,$A$1:F$161,J$2,0)</f>
        <v>1.18</v>
      </c>
      <c r="K9">
        <f>VLOOKUP(H9,$A$1:F$161,K$2,0)</f>
        <v>0</v>
      </c>
      <c r="L9">
        <f>VLOOKUP(H9,$A$1:F$161,L$2,0)</f>
        <v>0</v>
      </c>
      <c r="M9">
        <f>VLOOKUP(H9,$A$1:F$161,M$2,0)</f>
        <v>0</v>
      </c>
    </row>
    <row r="10" spans="1:13" x14ac:dyDescent="0.25">
      <c r="A10" t="s">
        <v>9</v>
      </c>
      <c r="B10">
        <v>14.75</v>
      </c>
      <c r="C10">
        <v>14.75</v>
      </c>
      <c r="D10">
        <v>14.75</v>
      </c>
      <c r="E10">
        <v>14.75</v>
      </c>
      <c r="F10">
        <v>14.75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793.12</v>
      </c>
      <c r="C11">
        <v>741.42</v>
      </c>
      <c r="D11">
        <v>635.59</v>
      </c>
      <c r="E11">
        <v>449.73</v>
      </c>
      <c r="F11">
        <v>477.71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793.12</v>
      </c>
      <c r="C12">
        <v>741.42</v>
      </c>
      <c r="D12">
        <v>635.59</v>
      </c>
      <c r="E12">
        <v>449.73</v>
      </c>
      <c r="F12">
        <v>477.71</v>
      </c>
      <c r="H12" t="s">
        <v>18</v>
      </c>
      <c r="I12">
        <f>VLOOKUP(H12,$A$1:F$161,I$2,0)</f>
        <v>3.67</v>
      </c>
      <c r="J12">
        <f>VLOOKUP(H12,$A$1:F$161,J$2,0)</f>
        <v>1.18</v>
      </c>
      <c r="K12">
        <f>VLOOKUP(H12,$A$1:F$161,K$2,0)</f>
        <v>0.04</v>
      </c>
      <c r="L12">
        <f>VLOOKUP(H12,$A$1:F$161,L$2,0)</f>
        <v>0.16</v>
      </c>
      <c r="M12">
        <f>VLOOKUP(H12,$A$1:F$161,M$2,0)</f>
        <v>0.74</v>
      </c>
    </row>
    <row r="13" spans="1:13" x14ac:dyDescent="0.25">
      <c r="A13" t="s">
        <v>118</v>
      </c>
      <c r="B13">
        <v>1.76</v>
      </c>
      <c r="C13">
        <v>0.93</v>
      </c>
      <c r="D13">
        <v>2.83</v>
      </c>
      <c r="E13">
        <v>2.88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809.63</v>
      </c>
      <c r="C14">
        <v>757.11</v>
      </c>
      <c r="D14">
        <v>653.16999999999996</v>
      </c>
      <c r="E14">
        <v>467.36</v>
      </c>
      <c r="F14">
        <v>492.46</v>
      </c>
      <c r="H14" t="s">
        <v>21</v>
      </c>
      <c r="I14">
        <f>VLOOKUP(H14,$A$1:F$161,I$2,0)</f>
        <v>45.54</v>
      </c>
      <c r="J14">
        <f>VLOOKUP(H14,$A$1:F$161,J$2,0)</f>
        <v>68.94</v>
      </c>
      <c r="K14">
        <f>VLOOKUP(H14,$A$1:F$161,K$2,0)</f>
        <v>81.13</v>
      </c>
      <c r="L14">
        <f>VLOOKUP(H14,$A$1:F$161,L$2,0)</f>
        <v>72.3</v>
      </c>
      <c r="M14">
        <f>VLOOKUP(H14,$A$1:F$161,M$2,0)</f>
        <v>59.94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72.61</v>
      </c>
      <c r="J15">
        <f>VLOOKUP(H15,$A$1:F$161,J$2,0)</f>
        <v>61.44</v>
      </c>
      <c r="K15">
        <f>VLOOKUP(H15,$A$1:F$161,K$2,0)</f>
        <v>60.16</v>
      </c>
      <c r="L15">
        <f>VLOOKUP(H15,$A$1:F$161,L$2,0)</f>
        <v>39.74</v>
      </c>
      <c r="M15">
        <f>VLOOKUP(H15,$A$1:F$161,M$2,0)</f>
        <v>40.659999999999997</v>
      </c>
    </row>
    <row r="16" spans="1:13" x14ac:dyDescent="0.25">
      <c r="A16" t="s">
        <v>15</v>
      </c>
      <c r="B16">
        <v>0</v>
      </c>
      <c r="C16">
        <v>0</v>
      </c>
      <c r="D16">
        <v>0.04</v>
      </c>
      <c r="E16">
        <v>0.16</v>
      </c>
      <c r="F16">
        <v>0.74</v>
      </c>
      <c r="H16" t="s">
        <v>23</v>
      </c>
      <c r="I16">
        <f>VLOOKUP(H16,$A$1:F$161,I$2,0)</f>
        <v>0</v>
      </c>
      <c r="J16">
        <f>VLOOKUP(H16,$A$1:F$161,J$2,0)</f>
        <v>0</v>
      </c>
      <c r="K16">
        <f>VLOOKUP(H16,$A$1:F$161,K$2,0)</f>
        <v>0.11</v>
      </c>
      <c r="L16">
        <f>VLOOKUP(H16,$A$1:F$161,L$2,0)</f>
        <v>0.57999999999999996</v>
      </c>
      <c r="M16">
        <f>VLOOKUP(H16,$A$1:F$161,M$2,0)</f>
        <v>0.22</v>
      </c>
    </row>
    <row r="17" spans="1:13" x14ac:dyDescent="0.25">
      <c r="A17" t="s">
        <v>14</v>
      </c>
      <c r="B17">
        <v>3.67</v>
      </c>
      <c r="C17">
        <v>1.18</v>
      </c>
      <c r="D17">
        <v>0</v>
      </c>
      <c r="E17">
        <v>0</v>
      </c>
      <c r="F17">
        <v>0</v>
      </c>
      <c r="H17" t="s">
        <v>24</v>
      </c>
      <c r="I17">
        <f>VLOOKUP(H17,$A$1:F$161,I$2,0)</f>
        <v>118.15</v>
      </c>
      <c r="J17">
        <f>VLOOKUP(H17,$A$1:F$161,J$2,0)</f>
        <v>135.38</v>
      </c>
      <c r="K17">
        <f>VLOOKUP(H17,$A$1:F$161,K$2,0)</f>
        <v>161.38999999999999</v>
      </c>
      <c r="L17">
        <f>VLOOKUP(H17,$A$1:F$161,L$2,0)</f>
        <v>137.62</v>
      </c>
      <c r="M17">
        <f>VLOOKUP(H17,$A$1:F$161,M$2,0)</f>
        <v>114.31</v>
      </c>
    </row>
    <row r="18" spans="1:13" x14ac:dyDescent="0.25">
      <c r="A18" t="s">
        <v>18</v>
      </c>
      <c r="B18">
        <v>3.67</v>
      </c>
      <c r="C18">
        <v>1.18</v>
      </c>
      <c r="D18">
        <v>0.04</v>
      </c>
      <c r="E18">
        <v>0.16</v>
      </c>
      <c r="F18">
        <v>0.74</v>
      </c>
      <c r="H18" t="s">
        <v>25</v>
      </c>
      <c r="I18">
        <f>VLOOKUP(H18,$A$1:F$161,I$2,0)</f>
        <v>931.45</v>
      </c>
      <c r="J18">
        <f>VLOOKUP(H18,$A$1:F$161,J$2,0)</f>
        <v>893.66</v>
      </c>
      <c r="K18">
        <f>VLOOKUP(H18,$A$1:F$161,K$2,0)</f>
        <v>814.61</v>
      </c>
      <c r="L18">
        <f>VLOOKUP(H18,$A$1:F$161,L$2,0)</f>
        <v>605.15</v>
      </c>
      <c r="M18">
        <f>VLOOKUP(H18,$A$1:F$161,M$2,0)</f>
        <v>607.51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0</v>
      </c>
      <c r="C20">
        <v>5</v>
      </c>
      <c r="D20">
        <v>20</v>
      </c>
      <c r="E20">
        <v>25</v>
      </c>
      <c r="F20">
        <v>13.49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45.54</v>
      </c>
      <c r="C21">
        <v>68.94</v>
      </c>
      <c r="D21">
        <v>81.13</v>
      </c>
      <c r="E21">
        <v>72.3</v>
      </c>
      <c r="F21">
        <v>59.94</v>
      </c>
      <c r="H21" t="s">
        <v>28</v>
      </c>
      <c r="I21">
        <f>VLOOKUP(H21,$A$1:F$161,I$2,0)</f>
        <v>107.59</v>
      </c>
      <c r="J21">
        <f>VLOOKUP(H21,$A$1:F$161,J$2,0)</f>
        <v>103.62</v>
      </c>
      <c r="K21">
        <f>VLOOKUP(H21,$A$1:F$161,K$2,0)</f>
        <v>107.77</v>
      </c>
      <c r="L21">
        <f>VLOOKUP(H21,$A$1:F$161,L$2,0)</f>
        <v>111.12</v>
      </c>
      <c r="M21">
        <f>VLOOKUP(H21,$A$1:F$161,M$2,0)</f>
        <v>115.26</v>
      </c>
    </row>
    <row r="22" spans="1:13" x14ac:dyDescent="0.25">
      <c r="A22" t="s">
        <v>22</v>
      </c>
      <c r="B22">
        <v>72.61</v>
      </c>
      <c r="C22">
        <v>61.44</v>
      </c>
      <c r="D22">
        <v>60.16</v>
      </c>
      <c r="E22">
        <v>39.74</v>
      </c>
      <c r="F22">
        <v>40.659999999999997</v>
      </c>
      <c r="H22" t="s">
        <v>29</v>
      </c>
      <c r="I22">
        <f>VLOOKUP(H22,$A$1:F$161,I$2,0)</f>
        <v>27.53</v>
      </c>
      <c r="J22">
        <f>VLOOKUP(H22,$A$1:F$161,J$2,0)</f>
        <v>25.23</v>
      </c>
      <c r="K22">
        <f>VLOOKUP(H22,$A$1:F$161,K$2,0)</f>
        <v>24.44</v>
      </c>
      <c r="L22">
        <f>VLOOKUP(H22,$A$1:F$161,L$2,0)</f>
        <v>22.47</v>
      </c>
      <c r="M22">
        <f>VLOOKUP(H22,$A$1:F$161,M$2,0)</f>
        <v>14.87</v>
      </c>
    </row>
    <row r="23" spans="1:13" x14ac:dyDescent="0.25">
      <c r="A23" t="s">
        <v>23</v>
      </c>
      <c r="B23">
        <v>0</v>
      </c>
      <c r="C23">
        <v>0</v>
      </c>
      <c r="D23">
        <v>0.11</v>
      </c>
      <c r="E23">
        <v>0.57999999999999996</v>
      </c>
      <c r="F23">
        <v>0.22</v>
      </c>
      <c r="H23" t="s">
        <v>30</v>
      </c>
      <c r="I23">
        <f>VLOOKUP(H23,$A$1:F$161,I$2,0)</f>
        <v>136.35</v>
      </c>
      <c r="J23">
        <f>VLOOKUP(H23,$A$1:F$161,J$2,0)</f>
        <v>130.81</v>
      </c>
      <c r="K23">
        <f>VLOOKUP(H23,$A$1:F$161,K$2,0)</f>
        <v>134.61000000000001</v>
      </c>
      <c r="L23">
        <f>VLOOKUP(H23,$A$1:F$161,L$2,0)</f>
        <v>133.88999999999999</v>
      </c>
      <c r="M23">
        <f>VLOOKUP(H23,$A$1:F$161,M$2,0)</f>
        <v>130.35</v>
      </c>
    </row>
    <row r="24" spans="1:13" x14ac:dyDescent="0.25">
      <c r="A24" t="s">
        <v>24</v>
      </c>
      <c r="B24">
        <v>118.15</v>
      </c>
      <c r="C24">
        <v>135.38</v>
      </c>
      <c r="D24">
        <v>161.38999999999999</v>
      </c>
      <c r="E24">
        <v>137.62</v>
      </c>
      <c r="F24">
        <v>114.31</v>
      </c>
      <c r="H24" t="s">
        <v>32</v>
      </c>
      <c r="I24">
        <f>VLOOKUP(H24,$A$1:F$161,I$2,0)</f>
        <v>0.19</v>
      </c>
      <c r="J24">
        <f>VLOOKUP(H24,$A$1:F$161,J$2,0)</f>
        <v>0.08</v>
      </c>
      <c r="K24">
        <f>VLOOKUP(H24,$A$1:F$161,K$2,0)</f>
        <v>0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25</v>
      </c>
      <c r="B25">
        <v>931.45</v>
      </c>
      <c r="C25">
        <v>893.66</v>
      </c>
      <c r="D25">
        <v>814.61</v>
      </c>
      <c r="E25">
        <v>605.15</v>
      </c>
      <c r="F25">
        <v>607.51</v>
      </c>
      <c r="H25" t="s">
        <v>33</v>
      </c>
      <c r="I25">
        <f>VLOOKUP(H25,$A$1:F$161,I$2,0)</f>
        <v>0</v>
      </c>
      <c r="J25">
        <f>VLOOKUP(H25,$A$1:F$161,J$2,0)</f>
        <v>0</v>
      </c>
      <c r="K25">
        <f>VLOOKUP(H25,$A$1:F$161,K$2,0)</f>
        <v>3.72</v>
      </c>
      <c r="L25">
        <f>VLOOKUP(H25,$A$1:F$161,L$2,0)</f>
        <v>2.67</v>
      </c>
      <c r="M25">
        <f>VLOOKUP(H25,$A$1:F$161,M$2,0)</f>
        <v>1.32</v>
      </c>
    </row>
    <row r="26" spans="1:13" x14ac:dyDescent="0.25">
      <c r="A26" t="s">
        <v>26</v>
      </c>
      <c r="H26" t="s">
        <v>34</v>
      </c>
      <c r="I26">
        <f>VLOOKUP(H26,$A$1:F$161,I$2,0)</f>
        <v>4.96</v>
      </c>
      <c r="J26">
        <f>VLOOKUP(H26,$A$1:F$161,J$2,0)</f>
        <v>3.89</v>
      </c>
      <c r="K26">
        <f>VLOOKUP(H26,$A$1:F$161,K$2,0)</f>
        <v>0.91</v>
      </c>
      <c r="L26">
        <f>VLOOKUP(H26,$A$1:F$161,L$2,0)</f>
        <v>0.63</v>
      </c>
      <c r="M26">
        <f>VLOOKUP(H26,$A$1:F$161,M$2,0)</f>
        <v>1.05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184.49</v>
      </c>
      <c r="J27">
        <f>VLOOKUP(H27,$A$1:F$161,J$2,0)</f>
        <v>177.78</v>
      </c>
      <c r="K27">
        <f>VLOOKUP(H27,$A$1:F$161,K$2,0)</f>
        <v>182.24</v>
      </c>
      <c r="L27">
        <f>VLOOKUP(H27,$A$1:F$161,L$2,0)</f>
        <v>180.18</v>
      </c>
      <c r="M27">
        <f>VLOOKUP(H27,$A$1:F$161,M$2,0)</f>
        <v>175.72</v>
      </c>
    </row>
    <row r="28" spans="1:13" x14ac:dyDescent="0.25">
      <c r="A28" t="s">
        <v>28</v>
      </c>
      <c r="B28">
        <v>107.59</v>
      </c>
      <c r="C28">
        <v>103.62</v>
      </c>
      <c r="D28">
        <v>107.77</v>
      </c>
      <c r="E28">
        <v>111.12</v>
      </c>
      <c r="F28">
        <v>115.26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106</v>
      </c>
      <c r="B29">
        <v>1.22</v>
      </c>
      <c r="C29">
        <v>1.96</v>
      </c>
      <c r="D29">
        <v>0.24</v>
      </c>
      <c r="E29">
        <v>0.3</v>
      </c>
      <c r="F29">
        <v>0.23</v>
      </c>
      <c r="H29" t="s">
        <v>38</v>
      </c>
      <c r="I29">
        <f>VLOOKUP(H29,$A$1:F$161,I$2,0)</f>
        <v>57.09</v>
      </c>
      <c r="J29">
        <f>VLOOKUP(H29,$A$1:F$161,J$2,0)</f>
        <v>43.17</v>
      </c>
      <c r="K29">
        <f>VLOOKUP(H29,$A$1:F$161,K$2,0)</f>
        <v>62.96</v>
      </c>
      <c r="L29">
        <f>VLOOKUP(H29,$A$1:F$161,L$2,0)</f>
        <v>60.92</v>
      </c>
      <c r="M29">
        <f>VLOOKUP(H29,$A$1:F$161,M$2,0)</f>
        <v>46.64</v>
      </c>
    </row>
    <row r="30" spans="1:13" x14ac:dyDescent="0.25">
      <c r="A30" t="s">
        <v>29</v>
      </c>
      <c r="B30">
        <v>27.53</v>
      </c>
      <c r="C30">
        <v>25.23</v>
      </c>
      <c r="D30">
        <v>24.44</v>
      </c>
      <c r="E30">
        <v>22.47</v>
      </c>
      <c r="F30">
        <v>14.87</v>
      </c>
      <c r="H30" t="s">
        <v>39</v>
      </c>
      <c r="I30">
        <f>VLOOKUP(H30,$A$1:F$161,I$2,0)</f>
        <v>19.13</v>
      </c>
      <c r="J30">
        <f>VLOOKUP(H30,$A$1:F$161,J$2,0)</f>
        <v>22.45</v>
      </c>
      <c r="K30">
        <f>VLOOKUP(H30,$A$1:F$161,K$2,0)</f>
        <v>25.54</v>
      </c>
      <c r="L30">
        <f>VLOOKUP(H30,$A$1:F$161,L$2,0)</f>
        <v>37.380000000000003</v>
      </c>
      <c r="M30">
        <f>VLOOKUP(H30,$A$1:F$161,M$2,0)</f>
        <v>32.44</v>
      </c>
    </row>
    <row r="31" spans="1:13" x14ac:dyDescent="0.25">
      <c r="A31" t="s">
        <v>120</v>
      </c>
      <c r="B31">
        <v>0</v>
      </c>
      <c r="C31">
        <v>0</v>
      </c>
      <c r="D31">
        <v>2.16</v>
      </c>
      <c r="E31">
        <v>0</v>
      </c>
      <c r="F31">
        <v>0</v>
      </c>
      <c r="H31" t="s">
        <v>40</v>
      </c>
      <c r="I31">
        <f>VLOOKUP(H31,$A$1:F$161,I$2,0)</f>
        <v>14.45</v>
      </c>
      <c r="J31">
        <f>VLOOKUP(H31,$A$1:F$161,J$2,0)</f>
        <v>9.83</v>
      </c>
      <c r="K31">
        <f>VLOOKUP(H31,$A$1:F$161,K$2,0)</f>
        <v>12.63</v>
      </c>
      <c r="L31">
        <f>VLOOKUP(H31,$A$1:F$161,L$2,0)</f>
        <v>14.32</v>
      </c>
      <c r="M31">
        <f>VLOOKUP(H31,$A$1:F$161,M$2,0)</f>
        <v>13.36</v>
      </c>
    </row>
    <row r="32" spans="1:13" x14ac:dyDescent="0.25">
      <c r="A32" t="s">
        <v>30</v>
      </c>
      <c r="B32">
        <v>136.35</v>
      </c>
      <c r="C32">
        <v>130.81</v>
      </c>
      <c r="D32">
        <v>134.61000000000001</v>
      </c>
      <c r="E32">
        <v>133.88999999999999</v>
      </c>
      <c r="F32">
        <v>130.35</v>
      </c>
      <c r="H32" t="s">
        <v>41</v>
      </c>
      <c r="I32">
        <f>VLOOKUP(H32,$A$1:F$161,I$2,0)</f>
        <v>0</v>
      </c>
      <c r="J32">
        <f>VLOOKUP(H32,$A$1:F$161,J$2,0)</f>
        <v>0</v>
      </c>
      <c r="K32">
        <f>VLOOKUP(H32,$A$1:F$161,K$2,0)</f>
        <v>0.51</v>
      </c>
      <c r="L32">
        <f>VLOOKUP(H32,$A$1:F$161,L$2,0)</f>
        <v>0.31</v>
      </c>
      <c r="M32">
        <f>VLOOKUP(H32,$A$1:F$161,M$2,0)</f>
        <v>0.25</v>
      </c>
    </row>
    <row r="33" spans="1:13" x14ac:dyDescent="0.25">
      <c r="A33" t="s">
        <v>32</v>
      </c>
      <c r="B33">
        <v>0.19</v>
      </c>
      <c r="C33">
        <v>0.08</v>
      </c>
      <c r="D33">
        <v>0</v>
      </c>
      <c r="E33">
        <v>0</v>
      </c>
      <c r="F33">
        <v>0</v>
      </c>
      <c r="H33" t="s">
        <v>42</v>
      </c>
      <c r="I33">
        <f>VLOOKUP(H33,$A$1:F$161,I$2,0)</f>
        <v>44.65</v>
      </c>
      <c r="J33">
        <f>VLOOKUP(H33,$A$1:F$161,J$2,0)</f>
        <v>55.89</v>
      </c>
      <c r="K33">
        <f>VLOOKUP(H33,$A$1:F$161,K$2,0)</f>
        <v>84.42</v>
      </c>
      <c r="L33">
        <f>VLOOKUP(H33,$A$1:F$161,L$2,0)</f>
        <v>61.15</v>
      </c>
      <c r="M33">
        <f>VLOOKUP(H33,$A$1:F$161,M$2,0)</f>
        <v>31.71</v>
      </c>
    </row>
    <row r="34" spans="1:13" x14ac:dyDescent="0.25">
      <c r="A34" t="s">
        <v>33</v>
      </c>
      <c r="B34">
        <v>0</v>
      </c>
      <c r="C34">
        <v>0</v>
      </c>
      <c r="D34">
        <v>3.72</v>
      </c>
      <c r="E34">
        <v>2.67</v>
      </c>
      <c r="F34">
        <v>1.32</v>
      </c>
      <c r="H34" t="s">
        <v>43</v>
      </c>
      <c r="I34">
        <f>VLOOKUP(H34,$A$1:F$161,I$2,0)</f>
        <v>746.96</v>
      </c>
      <c r="J34">
        <f>VLOOKUP(H34,$A$1:F$161,J$2,0)</f>
        <v>715.88</v>
      </c>
      <c r="K34">
        <f>VLOOKUP(H34,$A$1:F$161,K$2,0)</f>
        <v>632.36</v>
      </c>
      <c r="L34">
        <f>VLOOKUP(H34,$A$1:F$161,L$2,0)</f>
        <v>424.97</v>
      </c>
      <c r="M34">
        <f>VLOOKUP(H34,$A$1:F$161,M$2,0)</f>
        <v>431.79</v>
      </c>
    </row>
    <row r="35" spans="1:13" x14ac:dyDescent="0.25">
      <c r="A35" t="s">
        <v>34</v>
      </c>
      <c r="B35">
        <v>4.96</v>
      </c>
      <c r="C35">
        <v>3.89</v>
      </c>
      <c r="D35">
        <v>0.91</v>
      </c>
      <c r="E35">
        <v>0.63</v>
      </c>
      <c r="F35">
        <v>1.05</v>
      </c>
      <c r="H35" t="s">
        <v>44</v>
      </c>
      <c r="I35">
        <f>VLOOKUP(H35,$A$1:F$161,I$2,0)</f>
        <v>931.45</v>
      </c>
      <c r="J35">
        <f>VLOOKUP(H35,$A$1:F$161,J$2,0)</f>
        <v>893.66</v>
      </c>
      <c r="K35">
        <f>VLOOKUP(H35,$A$1:F$161,K$2,0)</f>
        <v>814.61</v>
      </c>
      <c r="L35">
        <f>VLOOKUP(H35,$A$1:F$161,L$2,0)</f>
        <v>605.15</v>
      </c>
      <c r="M35">
        <f>VLOOKUP(H35,$A$1:F$161,M$2,0)</f>
        <v>607.51</v>
      </c>
    </row>
    <row r="36" spans="1:13" x14ac:dyDescent="0.25">
      <c r="A36" t="s">
        <v>35</v>
      </c>
      <c r="B36">
        <v>184.49</v>
      </c>
      <c r="C36">
        <v>177.78</v>
      </c>
      <c r="D36">
        <v>182.24</v>
      </c>
      <c r="E36">
        <v>180.18</v>
      </c>
      <c r="F36">
        <v>175.72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37</v>
      </c>
      <c r="B38">
        <v>611.64</v>
      </c>
      <c r="C38">
        <v>584.54999999999995</v>
      </c>
      <c r="D38">
        <v>446.3</v>
      </c>
      <c r="E38">
        <v>250.88</v>
      </c>
      <c r="F38">
        <v>307.39</v>
      </c>
      <c r="H38" t="s">
        <v>47</v>
      </c>
      <c r="I38">
        <f>VLOOKUP(H38,$A$1:F$161,I$2,0)</f>
        <v>1.73</v>
      </c>
      <c r="J38">
        <f>VLOOKUP(H38,$A$1:F$161,J$2,0)</f>
        <v>1.91</v>
      </c>
      <c r="K38">
        <f>VLOOKUP(H38,$A$1:F$161,K$2,0)</f>
        <v>1.94</v>
      </c>
      <c r="L38">
        <f>VLOOKUP(H38,$A$1:F$161,L$2,0)</f>
        <v>0</v>
      </c>
      <c r="M38">
        <f>VLOOKUP(H38,$A$1:F$161,M$2,0)</f>
        <v>0</v>
      </c>
    </row>
    <row r="39" spans="1:13" x14ac:dyDescent="0.25">
      <c r="A39" t="s">
        <v>38</v>
      </c>
      <c r="B39">
        <v>57.09</v>
      </c>
      <c r="C39">
        <v>43.17</v>
      </c>
      <c r="D39">
        <v>62.96</v>
      </c>
      <c r="E39">
        <v>60.92</v>
      </c>
      <c r="F39">
        <v>46.64</v>
      </c>
      <c r="H39" t="s">
        <v>62</v>
      </c>
      <c r="I39">
        <f>VLOOKUP(H39,$A$1:F$161,I$2,0)</f>
        <v>611.64</v>
      </c>
      <c r="J39">
        <f>VLOOKUP(H39,$A$1:F$161,J$2,0)</f>
        <v>584.54999999999995</v>
      </c>
      <c r="K39">
        <f>VLOOKUP(H39,$A$1:F$161,K$2,0)</f>
        <v>446.3</v>
      </c>
      <c r="L39">
        <f>VLOOKUP(H39,$A$1:F$161,L$2,0)</f>
        <v>250.88</v>
      </c>
      <c r="M39">
        <f>VLOOKUP(H39,$A$1:F$161,M$2,0)</f>
        <v>307.39</v>
      </c>
    </row>
    <row r="40" spans="1:13" x14ac:dyDescent="0.25">
      <c r="A40" t="s">
        <v>39</v>
      </c>
      <c r="B40">
        <v>19.13</v>
      </c>
      <c r="C40">
        <v>22.45</v>
      </c>
      <c r="D40">
        <v>25.54</v>
      </c>
      <c r="E40">
        <v>37.380000000000003</v>
      </c>
      <c r="F40">
        <v>32.44</v>
      </c>
      <c r="H40" t="s">
        <v>63</v>
      </c>
      <c r="I40">
        <f>VLOOKUP(H40,$A$1:F$161,I$2,0)</f>
        <v>611.64</v>
      </c>
      <c r="J40">
        <f>VLOOKUP(H40,$A$1:F$161,J$2,0)</f>
        <v>584.54999999999995</v>
      </c>
      <c r="K40">
        <f>VLOOKUP(H40,$A$1:F$161,K$2,0)</f>
        <v>446.29</v>
      </c>
      <c r="L40">
        <f>VLOOKUP(H40,$A$1:F$161,L$2,0)</f>
        <v>237.14</v>
      </c>
      <c r="M40">
        <f>VLOOKUP(H40,$A$1:F$161,M$2,0)</f>
        <v>307.39</v>
      </c>
    </row>
    <row r="41" spans="1:13" x14ac:dyDescent="0.25">
      <c r="A41" t="s">
        <v>40</v>
      </c>
      <c r="B41">
        <v>14.45</v>
      </c>
      <c r="C41">
        <v>9.83</v>
      </c>
      <c r="D41">
        <v>12.63</v>
      </c>
      <c r="E41">
        <v>14.32</v>
      </c>
      <c r="F41">
        <v>13.36</v>
      </c>
      <c r="H41" t="s">
        <v>64</v>
      </c>
      <c r="I41">
        <f>VLOOKUP(H41,$A$1:F$161,I$2,0)</f>
        <v>0</v>
      </c>
      <c r="J41">
        <f>VLOOKUP(H41,$A$1:F$161,J$2,0)</f>
        <v>0</v>
      </c>
      <c r="K41">
        <f>VLOOKUP(H41,$A$1:F$161,K$2,0)</f>
        <v>0.01</v>
      </c>
      <c r="L41">
        <f>VLOOKUP(H41,$A$1:F$161,L$2,0)</f>
        <v>13.74</v>
      </c>
      <c r="M41">
        <f>VLOOKUP(H41,$A$1:F$161,M$2,0)</f>
        <v>0</v>
      </c>
    </row>
    <row r="42" spans="1:13" x14ac:dyDescent="0.25">
      <c r="A42" t="s">
        <v>41</v>
      </c>
      <c r="B42">
        <v>0</v>
      </c>
      <c r="C42">
        <v>0</v>
      </c>
      <c r="D42">
        <v>0.51</v>
      </c>
      <c r="E42">
        <v>0.31</v>
      </c>
      <c r="F42">
        <v>0.25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42</v>
      </c>
      <c r="B43">
        <v>44.65</v>
      </c>
      <c r="C43">
        <v>55.89</v>
      </c>
      <c r="D43">
        <v>84.42</v>
      </c>
      <c r="E43">
        <v>61.15</v>
      </c>
      <c r="F43">
        <v>31.71</v>
      </c>
      <c r="H43" t="s">
        <v>68</v>
      </c>
      <c r="I43">
        <f>VLOOKUP(H43,$A$1:F$161,I$2,0)</f>
        <v>867.1</v>
      </c>
      <c r="J43">
        <f>VLOOKUP(H43,$A$1:F$161,J$2,0)</f>
        <v>905.16</v>
      </c>
      <c r="K43">
        <f>VLOOKUP(H43,$A$1:F$161,K$2,0)</f>
        <v>825.76</v>
      </c>
      <c r="L43">
        <f>VLOOKUP(H43,$A$1:F$161,L$2,0)</f>
        <v>890.07</v>
      </c>
      <c r="M43">
        <f>VLOOKUP(H43,$A$1:F$161,M$2,0)</f>
        <v>809.11</v>
      </c>
    </row>
    <row r="44" spans="1:13" x14ac:dyDescent="0.25">
      <c r="A44" t="s">
        <v>43</v>
      </c>
      <c r="B44">
        <v>746.96</v>
      </c>
      <c r="C44">
        <v>715.88</v>
      </c>
      <c r="D44">
        <v>632.36</v>
      </c>
      <c r="E44">
        <v>424.97</v>
      </c>
      <c r="F44">
        <v>431.79</v>
      </c>
      <c r="H44" t="s">
        <v>70</v>
      </c>
      <c r="I44">
        <f>VLOOKUP(H44,$A$1:F$161,I$2,0)</f>
        <v>867.1</v>
      </c>
      <c r="J44">
        <f>VLOOKUP(H44,$A$1:F$161,J$2,0)</f>
        <v>905.16</v>
      </c>
      <c r="K44">
        <f>VLOOKUP(H44,$A$1:F$161,K$2,0)</f>
        <v>825.76</v>
      </c>
      <c r="L44">
        <f>VLOOKUP(H44,$A$1:F$161,L$2,0)</f>
        <v>890.07</v>
      </c>
      <c r="M44">
        <f>VLOOKUP(H44,$A$1:F$161,M$2,0)</f>
        <v>807.75</v>
      </c>
    </row>
    <row r="45" spans="1:13" x14ac:dyDescent="0.25">
      <c r="A45" t="s">
        <v>44</v>
      </c>
      <c r="B45">
        <v>931.45</v>
      </c>
      <c r="C45">
        <v>893.66</v>
      </c>
      <c r="D45">
        <v>814.61</v>
      </c>
      <c r="E45">
        <v>605.15</v>
      </c>
      <c r="F45">
        <v>607.51</v>
      </c>
      <c r="H45" t="s">
        <v>71</v>
      </c>
      <c r="I45">
        <f>VLOOKUP(H45,$A$1:F$161,I$2,0)</f>
        <v>12.86</v>
      </c>
      <c r="J45">
        <f>VLOOKUP(H45,$A$1:F$161,J$2,0)</f>
        <v>16.66</v>
      </c>
      <c r="K45">
        <f>VLOOKUP(H45,$A$1:F$161,K$2,0)</f>
        <v>26.45</v>
      </c>
      <c r="L45">
        <f>VLOOKUP(H45,$A$1:F$161,L$2,0)</f>
        <v>28.41</v>
      </c>
      <c r="M45">
        <f>VLOOKUP(H45,$A$1:F$161,M$2,0)</f>
        <v>19.37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879.96</v>
      </c>
      <c r="J46">
        <f>VLOOKUP(H46,$A$1:F$161,J$2,0)</f>
        <v>921.81</v>
      </c>
      <c r="K46">
        <f>VLOOKUP(H46,$A$1:F$161,K$2,0)</f>
        <v>852.21</v>
      </c>
      <c r="L46">
        <f>VLOOKUP(H46,$A$1:F$161,L$2,0)</f>
        <v>918.48</v>
      </c>
      <c r="M46">
        <f>VLOOKUP(H46,$A$1:F$161,M$2,0)</f>
        <v>827.13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38.64</v>
      </c>
      <c r="J47">
        <f>VLOOKUP(H47,$A$1:F$161,J$2,0)</f>
        <v>34.54</v>
      </c>
      <c r="K47">
        <f>VLOOKUP(H47,$A$1:F$161,K$2,0)</f>
        <v>29.91</v>
      </c>
      <c r="L47">
        <f>VLOOKUP(H47,$A$1:F$161,L$2,0)</f>
        <v>17.010000000000002</v>
      </c>
      <c r="M47">
        <f>VLOOKUP(H47,$A$1:F$161,M$2,0)</f>
        <v>24.43</v>
      </c>
    </row>
    <row r="48" spans="1:13" x14ac:dyDescent="0.25">
      <c r="A48" t="s">
        <v>47</v>
      </c>
      <c r="B48">
        <v>1.73</v>
      </c>
      <c r="C48">
        <v>1.91</v>
      </c>
      <c r="D48">
        <v>1.94</v>
      </c>
      <c r="E48">
        <v>0</v>
      </c>
      <c r="F48">
        <v>0</v>
      </c>
      <c r="H48" t="s">
        <v>74</v>
      </c>
      <c r="I48">
        <f>VLOOKUP(H48,$A$1:F$161,I$2,0)</f>
        <v>918.6</v>
      </c>
      <c r="J48">
        <f>VLOOKUP(H48,$A$1:F$161,J$2,0)</f>
        <v>956.36</v>
      </c>
      <c r="K48">
        <f>VLOOKUP(H48,$A$1:F$161,K$2,0)</f>
        <v>882.12</v>
      </c>
      <c r="L48">
        <f>VLOOKUP(H48,$A$1:F$161,L$2,0)</f>
        <v>935.49</v>
      </c>
      <c r="M48">
        <f>VLOOKUP(H48,$A$1:F$161,M$2,0)</f>
        <v>851.56</v>
      </c>
    </row>
    <row r="49" spans="1:13" ht="15" customHeight="1" x14ac:dyDescent="0.25">
      <c r="A49" t="s">
        <v>57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59</v>
      </c>
      <c r="H50" t="s">
        <v>76</v>
      </c>
      <c r="I50">
        <f>VLOOKUP(H50,$A$1:F$161,I$2,0)</f>
        <v>245.39</v>
      </c>
      <c r="J50">
        <f>VLOOKUP(H50,$A$1:F$161,J$2,0)</f>
        <v>233.12</v>
      </c>
      <c r="K50">
        <f>VLOOKUP(H50,$A$1:F$161,K$2,0)</f>
        <v>267.95</v>
      </c>
      <c r="L50">
        <f>VLOOKUP(H50,$A$1:F$161,L$2,0)</f>
        <v>297.02999999999997</v>
      </c>
      <c r="M50">
        <f>VLOOKUP(H50,$A$1:F$161,M$2,0)</f>
        <v>238.9</v>
      </c>
    </row>
    <row r="51" spans="1:13" ht="24" customHeight="1" x14ac:dyDescent="0.25">
      <c r="A51" t="s">
        <v>62</v>
      </c>
      <c r="H51" t="s">
        <v>77</v>
      </c>
      <c r="I51">
        <f>VLOOKUP(H51,$A$1:F$161,I$2,0)</f>
        <v>131.83000000000001</v>
      </c>
      <c r="J51">
        <f>VLOOKUP(H51,$A$1:F$161,J$2,0)</f>
        <v>84.61</v>
      </c>
      <c r="K51">
        <f>VLOOKUP(H51,$A$1:F$161,K$2,0)</f>
        <v>18.16</v>
      </c>
      <c r="L51">
        <f>VLOOKUP(H51,$A$1:F$161,L$2,0)</f>
        <v>12.47</v>
      </c>
      <c r="M51">
        <f>VLOOKUP(H51,$A$1:F$161,M$2,0)</f>
        <v>33.07</v>
      </c>
    </row>
    <row r="52" spans="1:13" x14ac:dyDescent="0.25">
      <c r="A52" t="s">
        <v>63</v>
      </c>
      <c r="B52">
        <v>611.64</v>
      </c>
      <c r="C52">
        <v>584.54999999999995</v>
      </c>
      <c r="D52">
        <v>446.29</v>
      </c>
      <c r="E52">
        <v>237.14</v>
      </c>
      <c r="F52">
        <v>307.39</v>
      </c>
      <c r="H52" t="s">
        <v>78</v>
      </c>
      <c r="I52">
        <f>VLOOKUP(H52,$A$1:F$161,I$2,0)</f>
        <v>-8.4499999999999993</v>
      </c>
      <c r="J52">
        <f>VLOOKUP(H52,$A$1:F$161,J$2,0)</f>
        <v>11.99</v>
      </c>
      <c r="K52">
        <f>VLOOKUP(H52,$A$1:F$161,K$2,0)</f>
        <v>-12.58</v>
      </c>
      <c r="L52">
        <f>VLOOKUP(H52,$A$1:F$161,L$2,0)</f>
        <v>-6.03</v>
      </c>
      <c r="M52">
        <f>VLOOKUP(H52,$A$1:F$161,M$2,0)</f>
        <v>-2.4900000000000002</v>
      </c>
    </row>
    <row r="53" spans="1:13" x14ac:dyDescent="0.25">
      <c r="A53" t="s">
        <v>64</v>
      </c>
      <c r="B53">
        <v>0</v>
      </c>
      <c r="C53">
        <v>0</v>
      </c>
      <c r="D53">
        <v>0.01</v>
      </c>
      <c r="E53">
        <v>13.74</v>
      </c>
      <c r="F53">
        <v>0</v>
      </c>
      <c r="H53" t="s">
        <v>79</v>
      </c>
      <c r="I53">
        <f>VLOOKUP(H53,$A$1:F$161,I$2,0)</f>
        <v>88.26</v>
      </c>
      <c r="J53">
        <f>VLOOKUP(H53,$A$1:F$161,J$2,0)</f>
        <v>84.97</v>
      </c>
      <c r="K53">
        <f>VLOOKUP(H53,$A$1:F$161,K$2,0)</f>
        <v>86.92</v>
      </c>
      <c r="L53">
        <f>VLOOKUP(H53,$A$1:F$161,L$2,0)</f>
        <v>97.17</v>
      </c>
      <c r="M53">
        <f>VLOOKUP(H53,$A$1:F$161,M$2,0)</f>
        <v>77.069999999999993</v>
      </c>
    </row>
    <row r="54" spans="1:13" x14ac:dyDescent="0.25">
      <c r="H54" t="s">
        <v>80</v>
      </c>
      <c r="I54">
        <f>VLOOKUP(H54,$A$1:F$161,I$2,0)</f>
        <v>1.01</v>
      </c>
      <c r="J54">
        <f>VLOOKUP(H54,$A$1:F$161,J$2,0)</f>
        <v>1.38</v>
      </c>
      <c r="K54">
        <f>VLOOKUP(H54,$A$1:F$161,K$2,0)</f>
        <v>4.25</v>
      </c>
      <c r="L54">
        <f>VLOOKUP(H54,$A$1:F$161,L$2,0)</f>
        <v>1.17</v>
      </c>
      <c r="M54">
        <f>VLOOKUP(H54,$A$1:F$161,M$2,0)</f>
        <v>1.23</v>
      </c>
    </row>
    <row r="55" spans="1:13" x14ac:dyDescent="0.25"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H56" t="s">
        <v>82</v>
      </c>
      <c r="I56">
        <f>VLOOKUP(H56,$A$1:F$161,I$2,0)</f>
        <v>5.07</v>
      </c>
      <c r="J56">
        <f>VLOOKUP(H56,$A$1:F$161,J$2,0)</f>
        <v>6.25</v>
      </c>
      <c r="K56">
        <f>VLOOKUP(H56,$A$1:F$161,K$2,0)</f>
        <v>5.81</v>
      </c>
      <c r="L56">
        <f>VLOOKUP(H56,$A$1:F$161,L$2,0)</f>
        <v>7.09</v>
      </c>
      <c r="M56">
        <f>VLOOKUP(H56,$A$1:F$161,M$2,0)</f>
        <v>7.38</v>
      </c>
    </row>
    <row r="57" spans="1:13" ht="15" customHeight="1" x14ac:dyDescent="0.25">
      <c r="A57" t="s">
        <v>65</v>
      </c>
      <c r="H57" t="s">
        <v>83</v>
      </c>
      <c r="I57">
        <f>VLOOKUP(H57,$A$1:F$161,I$2,0)</f>
        <v>237.71</v>
      </c>
      <c r="J57">
        <f>VLOOKUP(H57,$A$1:F$161,J$2,0)</f>
        <v>248.55</v>
      </c>
      <c r="K57">
        <f>VLOOKUP(H57,$A$1:F$161,K$2,0)</f>
        <v>271.24</v>
      </c>
      <c r="L57">
        <f>VLOOKUP(H57,$A$1:F$161,L$2,0)</f>
        <v>235.59</v>
      </c>
      <c r="M57">
        <f>VLOOKUP(H57,$A$1:F$161,M$2,0)</f>
        <v>218.01</v>
      </c>
    </row>
    <row r="58" spans="1:13" x14ac:dyDescent="0.25">
      <c r="H58" t="s">
        <v>84</v>
      </c>
      <c r="I58">
        <f>VLOOKUP(H58,$A$1:F$161,I$2,0)</f>
        <v>712.12</v>
      </c>
      <c r="J58">
        <f>VLOOKUP(H58,$A$1:F$161,J$2,0)</f>
        <v>686</v>
      </c>
      <c r="K58">
        <f>VLOOKUP(H58,$A$1:F$161,K$2,0)</f>
        <v>657.13</v>
      </c>
      <c r="L58">
        <f>VLOOKUP(H58,$A$1:F$161,L$2,0)</f>
        <v>652.34</v>
      </c>
      <c r="M58">
        <f>VLOOKUP(H58,$A$1:F$161,M$2,0)</f>
        <v>581.80999999999995</v>
      </c>
    </row>
    <row r="59" spans="1:13" x14ac:dyDescent="0.25">
      <c r="H59" t="s">
        <v>85</v>
      </c>
      <c r="I59">
        <f>VLOOKUP(H59,$A$1:F$161,I$2,0)</f>
        <v>206.48</v>
      </c>
      <c r="J59">
        <f>VLOOKUP(H59,$A$1:F$161,J$2,0)</f>
        <v>270.36</v>
      </c>
      <c r="K59">
        <f>VLOOKUP(H59,$A$1:F$161,K$2,0)</f>
        <v>224.99</v>
      </c>
      <c r="L59">
        <f>VLOOKUP(H59,$A$1:F$161,L$2,0)</f>
        <v>283.14999999999998</v>
      </c>
      <c r="M59">
        <f>VLOOKUP(H59,$A$1:F$161,M$2,0)</f>
        <v>269.75</v>
      </c>
    </row>
    <row r="60" spans="1:13" x14ac:dyDescent="0.25">
      <c r="H60" t="s">
        <v>87</v>
      </c>
      <c r="I60">
        <f>VLOOKUP(H60,$A$1:F$161,I$2,0)</f>
        <v>206.48</v>
      </c>
      <c r="J60">
        <f>VLOOKUP(H60,$A$1:F$161,J$2,0)</f>
        <v>270.36</v>
      </c>
      <c r="K60">
        <f>VLOOKUP(H60,$A$1:F$161,K$2,0)</f>
        <v>224.99</v>
      </c>
      <c r="L60">
        <f>VLOOKUP(H60,$A$1:F$161,L$2,0)</f>
        <v>283.14999999999998</v>
      </c>
      <c r="M60">
        <f>VLOOKUP(H60,$A$1:F$161,M$2,0)</f>
        <v>269.75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36.950000000000003</v>
      </c>
      <c r="J62">
        <f>VLOOKUP(H62,$A$1:F$161,J$2,0)</f>
        <v>47.35</v>
      </c>
      <c r="K62">
        <f>VLOOKUP(H62,$A$1:F$161,K$2,0)</f>
        <v>40.35</v>
      </c>
      <c r="L62">
        <f>VLOOKUP(H62,$A$1:F$161,L$2,0)</f>
        <v>62.15</v>
      </c>
      <c r="M62">
        <f>VLOOKUP(H62,$A$1:F$161,M$2,0)</f>
        <v>58.7</v>
      </c>
    </row>
    <row r="63" spans="1:13" x14ac:dyDescent="0.25">
      <c r="H63" t="s">
        <v>90</v>
      </c>
      <c r="I63">
        <f>VLOOKUP(H63,$A$1:F$161,I$2,0)</f>
        <v>-0.11</v>
      </c>
      <c r="J63">
        <f>VLOOKUP(H63,$A$1:F$161,J$2,0)</f>
        <v>-0.12</v>
      </c>
      <c r="K63">
        <f>VLOOKUP(H63,$A$1:F$161,K$2,0)</f>
        <v>-0.12</v>
      </c>
      <c r="L63">
        <f>VLOOKUP(H63,$A$1:F$161,L$2,0)</f>
        <v>-0.56999999999999995</v>
      </c>
      <c r="M63">
        <f>VLOOKUP(H63,$A$1:F$161,M$2,0)</f>
        <v>-0.03</v>
      </c>
    </row>
    <row r="64" spans="1:13" x14ac:dyDescent="0.25">
      <c r="H64" t="s">
        <v>112</v>
      </c>
      <c r="I64">
        <f>VLOOKUP(H64,$A$1:F$161,I$2,0)</f>
        <v>0</v>
      </c>
      <c r="J64">
        <f>VLOOKUP(H64,$A$1:F$161,J$2,0)</f>
        <v>0</v>
      </c>
      <c r="K64">
        <f>VLOOKUP(H64,$A$1:F$161,K$2,0)</f>
        <v>-0.02</v>
      </c>
      <c r="L64">
        <f>VLOOKUP(H64,$A$1:F$161,L$2,0)</f>
        <v>-0.02</v>
      </c>
      <c r="M64">
        <f>VLOOKUP(H64,$A$1:F$161,M$2,0)</f>
        <v>-0.01</v>
      </c>
    </row>
    <row r="65" spans="8:13" x14ac:dyDescent="0.25">
      <c r="H65" t="s">
        <v>91</v>
      </c>
      <c r="I65">
        <f>VLOOKUP(H65,$A$1:F$161,I$2,0)</f>
        <v>36.840000000000003</v>
      </c>
      <c r="J65">
        <f>VLOOKUP(H65,$A$1:F$161,J$2,0)</f>
        <v>47.23</v>
      </c>
      <c r="K65">
        <f>VLOOKUP(H65,$A$1:F$161,K$2,0)</f>
        <v>40.21</v>
      </c>
      <c r="L65">
        <f>VLOOKUP(H65,$A$1:F$161,L$2,0)</f>
        <v>61.55</v>
      </c>
      <c r="M65">
        <f>VLOOKUP(H65,$A$1:F$161,M$2,0)</f>
        <v>58.67</v>
      </c>
    </row>
    <row r="66" spans="8:13" x14ac:dyDescent="0.25">
      <c r="H66" t="s">
        <v>92</v>
      </c>
      <c r="I66">
        <f>VLOOKUP(H66,$A$1:F$161,I$2,0)</f>
        <v>169.64</v>
      </c>
      <c r="J66">
        <f>VLOOKUP(H66,$A$1:F$161,J$2,0)</f>
        <v>223.13</v>
      </c>
      <c r="K66">
        <f>VLOOKUP(H66,$A$1:F$161,K$2,0)</f>
        <v>184.77</v>
      </c>
      <c r="L66">
        <f>VLOOKUP(H66,$A$1:F$161,L$2,0)</f>
        <v>221.59</v>
      </c>
      <c r="M66">
        <f>VLOOKUP(H66,$A$1:F$161,M$2,0)</f>
        <v>211.08</v>
      </c>
    </row>
    <row r="67" spans="8:13" x14ac:dyDescent="0.25">
      <c r="H67" t="s">
        <v>93</v>
      </c>
      <c r="I67">
        <f>VLOOKUP(H67,$A$1:F$161,I$2,0)</f>
        <v>169.64</v>
      </c>
      <c r="J67">
        <f>VLOOKUP(H67,$A$1:F$161,J$2,0)</f>
        <v>223.13</v>
      </c>
      <c r="K67">
        <f>VLOOKUP(H67,$A$1:F$161,K$2,0)</f>
        <v>184.77</v>
      </c>
      <c r="L67">
        <f>VLOOKUP(H67,$A$1:F$161,L$2,0)</f>
        <v>221.59</v>
      </c>
      <c r="M67">
        <f>VLOOKUP(H67,$A$1:F$161,M$2,0)</f>
        <v>211.08</v>
      </c>
    </row>
    <row r="68" spans="8:13" x14ac:dyDescent="0.25">
      <c r="H68" t="s">
        <v>94</v>
      </c>
      <c r="I68">
        <f>VLOOKUP(H68,$A$1:F$161,I$2,0)</f>
        <v>169.64</v>
      </c>
      <c r="J68">
        <f>VLOOKUP(H68,$A$1:F$161,J$2,0)</f>
        <v>223.13</v>
      </c>
      <c r="K68">
        <f>VLOOKUP(H68,$A$1:F$161,K$2,0)</f>
        <v>184.77</v>
      </c>
      <c r="L68">
        <f>VLOOKUP(H68,$A$1:F$161,L$2,0)</f>
        <v>221.59</v>
      </c>
      <c r="M68">
        <f>VLOOKUP(H68,$A$1:F$161,M$2,0)</f>
        <v>211.08</v>
      </c>
    </row>
    <row r="69" spans="8:13" x14ac:dyDescent="0.25">
      <c r="H69" t="s">
        <v>101</v>
      </c>
      <c r="I69">
        <f>VLOOKUP(H69,$A$1:F$161,I$2,0)</f>
        <v>118.03</v>
      </c>
      <c r="J69">
        <f>VLOOKUP(H69,$A$1:F$161,J$2,0)</f>
        <v>118.03</v>
      </c>
      <c r="K69">
        <f>VLOOKUP(H69,$A$1:F$161,K$2,0)</f>
        <v>0</v>
      </c>
      <c r="L69">
        <f>VLOOKUP(H69,$A$1:F$161,L$2,0)</f>
        <v>206.5</v>
      </c>
      <c r="M69">
        <f>VLOOKUP(H69,$A$1:F$161,M$2,0)</f>
        <v>177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</v>
      </c>
      <c r="L70">
        <f>VLOOKUP(H70,$A$1:F$161,L$2,0)</f>
        <v>42.45</v>
      </c>
      <c r="M70">
        <f>VLOOKUP(H70,$A$1:F$161,M$2,0)</f>
        <v>36.03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139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867.1</v>
      </c>
      <c r="C97">
        <v>905.16</v>
      </c>
      <c r="D97">
        <v>825.76</v>
      </c>
      <c r="E97">
        <v>890.07</v>
      </c>
      <c r="F97">
        <v>809.11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1.36</v>
      </c>
    </row>
    <row r="99" spans="1:6" x14ac:dyDescent="0.25">
      <c r="A99" t="s">
        <v>70</v>
      </c>
      <c r="B99">
        <v>867.1</v>
      </c>
      <c r="C99">
        <v>905.16</v>
      </c>
      <c r="D99">
        <v>825.76</v>
      </c>
      <c r="E99">
        <v>890.07</v>
      </c>
      <c r="F99">
        <v>807.75</v>
      </c>
    </row>
    <row r="100" spans="1:6" x14ac:dyDescent="0.25">
      <c r="A100" t="s">
        <v>71</v>
      </c>
      <c r="B100">
        <v>12.86</v>
      </c>
      <c r="C100">
        <v>16.66</v>
      </c>
      <c r="D100">
        <v>26.45</v>
      </c>
      <c r="E100">
        <v>28.41</v>
      </c>
      <c r="F100">
        <v>19.37</v>
      </c>
    </row>
    <row r="101" spans="1:6" x14ac:dyDescent="0.25">
      <c r="A101" t="s">
        <v>72</v>
      </c>
      <c r="B101">
        <v>879.96</v>
      </c>
      <c r="C101">
        <v>921.81</v>
      </c>
      <c r="D101">
        <v>852.21</v>
      </c>
      <c r="E101">
        <v>918.48</v>
      </c>
      <c r="F101">
        <v>827.13</v>
      </c>
    </row>
    <row r="102" spans="1:6" x14ac:dyDescent="0.25">
      <c r="A102" t="s">
        <v>73</v>
      </c>
      <c r="B102">
        <v>38.64</v>
      </c>
      <c r="C102">
        <v>34.54</v>
      </c>
      <c r="D102">
        <v>29.91</v>
      </c>
      <c r="E102">
        <v>17.010000000000002</v>
      </c>
      <c r="F102">
        <v>24.43</v>
      </c>
    </row>
    <row r="103" spans="1:6" x14ac:dyDescent="0.25">
      <c r="A103" t="s">
        <v>74</v>
      </c>
      <c r="B103">
        <v>918.6</v>
      </c>
      <c r="C103">
        <v>956.36</v>
      </c>
      <c r="D103">
        <v>882.12</v>
      </c>
      <c r="E103">
        <v>935.49</v>
      </c>
      <c r="F103">
        <v>851.56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245.39</v>
      </c>
      <c r="C105">
        <v>233.12</v>
      </c>
      <c r="D105">
        <v>267.95</v>
      </c>
      <c r="E105">
        <v>297.02999999999997</v>
      </c>
      <c r="F105">
        <v>238.9</v>
      </c>
    </row>
    <row r="106" spans="1:6" x14ac:dyDescent="0.25">
      <c r="A106" t="s">
        <v>77</v>
      </c>
      <c r="B106">
        <v>131.83000000000001</v>
      </c>
      <c r="C106">
        <v>84.61</v>
      </c>
      <c r="D106">
        <v>18.16</v>
      </c>
      <c r="E106">
        <v>12.47</v>
      </c>
      <c r="F106">
        <v>33.07</v>
      </c>
    </row>
    <row r="107" spans="1:6" x14ac:dyDescent="0.25">
      <c r="A107" t="s">
        <v>111</v>
      </c>
      <c r="B107">
        <v>11.3</v>
      </c>
      <c r="C107">
        <v>15.14</v>
      </c>
      <c r="D107">
        <v>15.4</v>
      </c>
      <c r="E107">
        <v>7.86</v>
      </c>
      <c r="F107">
        <v>8.65</v>
      </c>
    </row>
    <row r="108" spans="1:6" x14ac:dyDescent="0.25">
      <c r="A108" t="s">
        <v>78</v>
      </c>
      <c r="B108">
        <v>-8.4499999999999993</v>
      </c>
      <c r="C108">
        <v>11.99</v>
      </c>
      <c r="D108">
        <v>-12.58</v>
      </c>
      <c r="E108">
        <v>-6.03</v>
      </c>
      <c r="F108">
        <v>-2.4900000000000002</v>
      </c>
    </row>
    <row r="109" spans="1:6" x14ac:dyDescent="0.25">
      <c r="A109" t="s">
        <v>79</v>
      </c>
      <c r="B109">
        <v>88.26</v>
      </c>
      <c r="C109">
        <v>84.97</v>
      </c>
      <c r="D109">
        <v>86.92</v>
      </c>
      <c r="E109">
        <v>97.17</v>
      </c>
      <c r="F109">
        <v>77.069999999999993</v>
      </c>
    </row>
    <row r="110" spans="1:6" x14ac:dyDescent="0.25">
      <c r="A110" t="s">
        <v>80</v>
      </c>
      <c r="B110">
        <v>1.01</v>
      </c>
      <c r="C110">
        <v>1.38</v>
      </c>
      <c r="D110">
        <v>4.25</v>
      </c>
      <c r="E110">
        <v>1.17</v>
      </c>
      <c r="F110">
        <v>1.23</v>
      </c>
    </row>
    <row r="111" spans="1:6" x14ac:dyDescent="0.25">
      <c r="A111" t="s">
        <v>82</v>
      </c>
      <c r="B111">
        <v>5.07</v>
      </c>
      <c r="C111">
        <v>6.25</v>
      </c>
      <c r="D111">
        <v>5.81</v>
      </c>
      <c r="E111">
        <v>7.09</v>
      </c>
      <c r="F111">
        <v>7.38</v>
      </c>
    </row>
    <row r="112" spans="1:6" x14ac:dyDescent="0.25">
      <c r="A112" t="s">
        <v>83</v>
      </c>
      <c r="B112">
        <v>237.71</v>
      </c>
      <c r="C112">
        <v>248.55</v>
      </c>
      <c r="D112">
        <v>271.24</v>
      </c>
      <c r="E112">
        <v>235.59</v>
      </c>
      <c r="F112">
        <v>218.01</v>
      </c>
    </row>
    <row r="113" spans="1:6" x14ac:dyDescent="0.25">
      <c r="A113" t="s">
        <v>84</v>
      </c>
      <c r="B113">
        <v>712.12</v>
      </c>
      <c r="C113">
        <v>686</v>
      </c>
      <c r="D113">
        <v>657.13</v>
      </c>
      <c r="E113">
        <v>652.34</v>
      </c>
      <c r="F113">
        <v>581.80999999999995</v>
      </c>
    </row>
    <row r="114" spans="1:6" x14ac:dyDescent="0.25">
      <c r="A114" t="s">
        <v>85</v>
      </c>
      <c r="B114">
        <v>206.48</v>
      </c>
      <c r="C114">
        <v>270.36</v>
      </c>
      <c r="D114">
        <v>224.99</v>
      </c>
      <c r="E114">
        <v>283.14999999999998</v>
      </c>
      <c r="F114">
        <v>269.75</v>
      </c>
    </row>
    <row r="115" spans="1:6" x14ac:dyDescent="0.25">
      <c r="A115" t="s">
        <v>87</v>
      </c>
      <c r="B115">
        <v>206.48</v>
      </c>
      <c r="C115">
        <v>270.36</v>
      </c>
      <c r="D115">
        <v>224.99</v>
      </c>
      <c r="E115">
        <v>283.14999999999998</v>
      </c>
      <c r="F115">
        <v>269.75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36.950000000000003</v>
      </c>
      <c r="C117">
        <v>47.35</v>
      </c>
      <c r="D117">
        <v>40.35</v>
      </c>
      <c r="E117">
        <v>62.15</v>
      </c>
      <c r="F117">
        <v>58.7</v>
      </c>
    </row>
    <row r="118" spans="1:6" x14ac:dyDescent="0.25">
      <c r="A118" t="s">
        <v>90</v>
      </c>
      <c r="B118">
        <v>-0.11</v>
      </c>
      <c r="C118">
        <v>-0.12</v>
      </c>
      <c r="D118">
        <v>-0.12</v>
      </c>
      <c r="E118">
        <v>-0.56999999999999995</v>
      </c>
      <c r="F118">
        <v>-0.03</v>
      </c>
    </row>
    <row r="119" spans="1:6" x14ac:dyDescent="0.25">
      <c r="A119" t="s">
        <v>112</v>
      </c>
      <c r="B119">
        <v>0</v>
      </c>
      <c r="C119">
        <v>0</v>
      </c>
      <c r="D119">
        <v>-0.02</v>
      </c>
      <c r="E119">
        <v>-0.02</v>
      </c>
      <c r="F119">
        <v>-0.01</v>
      </c>
    </row>
    <row r="120" spans="1:6" x14ac:dyDescent="0.25">
      <c r="A120" t="s">
        <v>91</v>
      </c>
      <c r="B120">
        <v>36.840000000000003</v>
      </c>
      <c r="C120">
        <v>47.23</v>
      </c>
      <c r="D120">
        <v>40.21</v>
      </c>
      <c r="E120">
        <v>61.55</v>
      </c>
      <c r="F120">
        <v>58.67</v>
      </c>
    </row>
    <row r="121" spans="1:6" x14ac:dyDescent="0.25">
      <c r="A121" t="s">
        <v>92</v>
      </c>
      <c r="B121">
        <v>169.64</v>
      </c>
      <c r="C121">
        <v>223.13</v>
      </c>
      <c r="D121">
        <v>184.77</v>
      </c>
      <c r="E121">
        <v>221.59</v>
      </c>
      <c r="F121">
        <v>211.08</v>
      </c>
    </row>
    <row r="122" spans="1:6" x14ac:dyDescent="0.25">
      <c r="A122" t="s">
        <v>93</v>
      </c>
      <c r="B122">
        <v>169.64</v>
      </c>
      <c r="C122">
        <v>223.13</v>
      </c>
      <c r="D122">
        <v>184.77</v>
      </c>
      <c r="E122">
        <v>221.59</v>
      </c>
      <c r="F122">
        <v>211.08</v>
      </c>
    </row>
    <row r="123" spans="1:6" x14ac:dyDescent="0.25">
      <c r="A123" t="s">
        <v>94</v>
      </c>
      <c r="B123">
        <v>169.64</v>
      </c>
      <c r="C123">
        <v>223.13</v>
      </c>
      <c r="D123">
        <v>184.77</v>
      </c>
      <c r="E123">
        <v>221.59</v>
      </c>
      <c r="F123">
        <v>211.08</v>
      </c>
    </row>
    <row r="124" spans="1:6" x14ac:dyDescent="0.25">
      <c r="A124" t="s">
        <v>113</v>
      </c>
      <c r="B124">
        <v>169.64</v>
      </c>
      <c r="C124">
        <v>223.13</v>
      </c>
      <c r="D124">
        <v>184.77</v>
      </c>
      <c r="E124">
        <v>221.59</v>
      </c>
      <c r="F124">
        <v>211.08</v>
      </c>
    </row>
    <row r="125" spans="1:6" ht="24" customHeight="1" x14ac:dyDescent="0.25">
      <c r="A125" t="s">
        <v>45</v>
      </c>
    </row>
    <row r="126" spans="1:6" ht="24" customHeight="1" x14ac:dyDescent="0.25">
      <c r="A126" t="s">
        <v>95</v>
      </c>
    </row>
    <row r="127" spans="1:6" x14ac:dyDescent="0.25">
      <c r="A127" t="s">
        <v>96</v>
      </c>
      <c r="B127">
        <v>12</v>
      </c>
      <c r="C127">
        <v>15</v>
      </c>
      <c r="D127">
        <v>13</v>
      </c>
      <c r="E127">
        <v>15</v>
      </c>
      <c r="F127">
        <v>14</v>
      </c>
    </row>
    <row r="128" spans="1:6" x14ac:dyDescent="0.25">
      <c r="A128" t="s">
        <v>97</v>
      </c>
      <c r="B128">
        <v>11</v>
      </c>
      <c r="C128">
        <v>15</v>
      </c>
      <c r="D128">
        <v>13</v>
      </c>
      <c r="E128">
        <v>15</v>
      </c>
      <c r="F128">
        <v>14</v>
      </c>
    </row>
    <row r="129" spans="1:6" ht="36" customHeight="1" x14ac:dyDescent="0.25">
      <c r="A129" t="s">
        <v>100</v>
      </c>
    </row>
    <row r="130" spans="1:6" x14ac:dyDescent="0.25">
      <c r="A130" t="s">
        <v>101</v>
      </c>
      <c r="B130">
        <v>118.03</v>
      </c>
      <c r="C130">
        <v>118.03</v>
      </c>
      <c r="D130">
        <v>0</v>
      </c>
      <c r="E130">
        <v>206.5</v>
      </c>
      <c r="F130">
        <v>177</v>
      </c>
    </row>
    <row r="131" spans="1:6" x14ac:dyDescent="0.25">
      <c r="A131" t="s">
        <v>102</v>
      </c>
      <c r="B131">
        <v>0</v>
      </c>
      <c r="C131">
        <v>0</v>
      </c>
      <c r="D131">
        <v>0</v>
      </c>
      <c r="E131">
        <v>42.45</v>
      </c>
      <c r="F131">
        <v>36.03</v>
      </c>
    </row>
    <row r="135" spans="1:6" ht="15" customHeight="1" x14ac:dyDescent="0.25">
      <c r="A135" t="s">
        <v>65</v>
      </c>
    </row>
  </sheetData>
  <hyperlinks>
    <hyperlink ref="B1" r:id="rId1" display="javascript:void(0);" xr:uid="{5BD103B5-A6AF-409E-8CA4-D09DD5F0D967}"/>
    <hyperlink ref="B90" r:id="rId2" display="javascript:void(0);" xr:uid="{3458677A-C2FD-4031-B7A6-AFE5E5E326AB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F3BF3-A3FE-46F5-BB0C-9406E49517AA}">
  <sheetPr codeName="Sheet18"/>
  <dimension ref="A1:M144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140</v>
      </c>
      <c r="B1" t="s">
        <v>1</v>
      </c>
      <c r="H1" t="str">
        <f>A1</f>
        <v>Patanjali Foods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59.15</v>
      </c>
      <c r="J4">
        <f>VLOOKUP(H4,$A$1:F$161,J$2,0)</f>
        <v>59.15</v>
      </c>
      <c r="K4">
        <f>VLOOKUP(H4,$A$1:F$161,K$2,0)</f>
        <v>59.15</v>
      </c>
      <c r="L4">
        <f>VLOOKUP(H4,$A$1:F$161,L$2,0)</f>
        <v>65.290000000000006</v>
      </c>
      <c r="M4">
        <f>VLOOKUP(H4,$A$1:F$161,M$2,0)</f>
        <v>65.290000000000006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237.49</v>
      </c>
      <c r="J5">
        <f>VLOOKUP(H5,$A$1:F$161,J$2,0)</f>
        <v>221.29</v>
      </c>
      <c r="K5">
        <f>VLOOKUP(H5,$A$1:F$161,K$2,0)</f>
        <v>206.56</v>
      </c>
      <c r="L5">
        <f>VLOOKUP(H5,$A$1:F$161,L$2,0)</f>
        <v>66.930000000000007</v>
      </c>
      <c r="M5">
        <f>VLOOKUP(H5,$A$1:F$161,M$2,0)</f>
        <v>66.83</v>
      </c>
    </row>
    <row r="6" spans="1:13" x14ac:dyDescent="0.25">
      <c r="H6" t="s">
        <v>10</v>
      </c>
      <c r="I6">
        <f>VLOOKUP(H6,$A$1:F$161,I$2,0)</f>
        <v>4821.88</v>
      </c>
      <c r="J6">
        <f>VLOOKUP(H6,$A$1:F$161,J$2,0)</f>
        <v>4003.26</v>
      </c>
      <c r="K6">
        <f>VLOOKUP(H6,$A$1:F$161,K$2,0)</f>
        <v>3311.75</v>
      </c>
      <c r="L6">
        <f>VLOOKUP(H6,$A$1:F$161,L$2,0)</f>
        <v>-4543.49</v>
      </c>
      <c r="M6">
        <f>VLOOKUP(H6,$A$1:F$161,M$2,0)</f>
        <v>-4613.8900000000003</v>
      </c>
    </row>
    <row r="7" spans="1:13" ht="24" customHeight="1" x14ac:dyDescent="0.25">
      <c r="A7" t="s">
        <v>6</v>
      </c>
      <c r="H7" t="s">
        <v>11</v>
      </c>
      <c r="I7">
        <f>VLOOKUP(H7,$A$1:F$161,I$2,0)</f>
        <v>4821.88</v>
      </c>
      <c r="J7">
        <f>VLOOKUP(H7,$A$1:F$161,J$2,0)</f>
        <v>4003.26</v>
      </c>
      <c r="K7">
        <f>VLOOKUP(H7,$A$1:F$161,K$2,0)</f>
        <v>3311.75</v>
      </c>
      <c r="L7">
        <f>VLOOKUP(H7,$A$1:F$161,L$2,0)</f>
        <v>-4543.49</v>
      </c>
      <c r="M7">
        <f>VLOOKUP(H7,$A$1:F$161,M$2,0)</f>
        <v>-4613.8900000000003</v>
      </c>
    </row>
    <row r="8" spans="1:13" ht="24" customHeight="1" x14ac:dyDescent="0.25">
      <c r="A8" t="s">
        <v>7</v>
      </c>
      <c r="H8" t="s">
        <v>12</v>
      </c>
      <c r="I8">
        <f>VLOOKUP(H8,$A$1:F$161,I$2,0)</f>
        <v>5059.37</v>
      </c>
      <c r="J8">
        <f>VLOOKUP(H8,$A$1:F$161,J$2,0)</f>
        <v>4224.55</v>
      </c>
      <c r="K8">
        <f>VLOOKUP(H8,$A$1:F$161,K$2,0)</f>
        <v>3518.31</v>
      </c>
      <c r="L8">
        <f>VLOOKUP(H8,$A$1:F$161,L$2,0)</f>
        <v>-4476.57</v>
      </c>
      <c r="M8">
        <f>VLOOKUP(H8,$A$1:F$161,M$2,0)</f>
        <v>-4547.0600000000004</v>
      </c>
    </row>
    <row r="9" spans="1:13" x14ac:dyDescent="0.25">
      <c r="A9" t="s">
        <v>8</v>
      </c>
      <c r="B9">
        <v>59.15</v>
      </c>
      <c r="C9">
        <v>59.15</v>
      </c>
      <c r="D9">
        <v>59.15</v>
      </c>
      <c r="E9">
        <v>65.290000000000006</v>
      </c>
      <c r="F9">
        <v>65.290000000000006</v>
      </c>
      <c r="H9" t="s">
        <v>14</v>
      </c>
      <c r="I9">
        <f>VLOOKUP(H9,$A$1:F$161,I$2,0)</f>
        <v>2527.1999999999998</v>
      </c>
      <c r="J9">
        <f>VLOOKUP(H9,$A$1:F$161,J$2,0)</f>
        <v>2717.71</v>
      </c>
      <c r="K9">
        <f>VLOOKUP(H9,$A$1:F$161,K$2,0)</f>
        <v>2806.43</v>
      </c>
      <c r="L9">
        <f>VLOOKUP(H9,$A$1:F$161,L$2,0)</f>
        <v>14.44</v>
      </c>
      <c r="M9">
        <f>VLOOKUP(H9,$A$1:F$161,M$2,0)</f>
        <v>56.22</v>
      </c>
    </row>
    <row r="10" spans="1:13" x14ac:dyDescent="0.25">
      <c r="A10" t="s">
        <v>117</v>
      </c>
      <c r="B10">
        <v>178.34</v>
      </c>
      <c r="C10">
        <v>162.13999999999999</v>
      </c>
      <c r="D10">
        <v>147.41</v>
      </c>
      <c r="E10">
        <v>1.63</v>
      </c>
      <c r="F10">
        <v>1.54</v>
      </c>
      <c r="H10" t="s">
        <v>16</v>
      </c>
      <c r="I10">
        <f>VLOOKUP(H10,$A$1:F$161,I$2,0)</f>
        <v>337.26</v>
      </c>
      <c r="J10">
        <f>VLOOKUP(H10,$A$1:F$161,J$2,0)</f>
        <v>326.08</v>
      </c>
      <c r="K10">
        <f>VLOOKUP(H10,$A$1:F$161,K$2,0)</f>
        <v>311.54000000000002</v>
      </c>
      <c r="L10">
        <f>VLOOKUP(H10,$A$1:F$161,L$2,0)</f>
        <v>5.53</v>
      </c>
      <c r="M10">
        <f>VLOOKUP(H10,$A$1:F$161,M$2,0)</f>
        <v>6.06</v>
      </c>
    </row>
    <row r="11" spans="1:13" x14ac:dyDescent="0.25">
      <c r="A11" t="s">
        <v>9</v>
      </c>
      <c r="B11">
        <v>237.49</v>
      </c>
      <c r="C11">
        <v>221.29</v>
      </c>
      <c r="D11">
        <v>206.56</v>
      </c>
      <c r="E11">
        <v>66.930000000000007</v>
      </c>
      <c r="F11">
        <v>66.83</v>
      </c>
      <c r="H11" t="s">
        <v>17</v>
      </c>
      <c r="I11">
        <f>VLOOKUP(H11,$A$1:F$161,I$2,0)</f>
        <v>11.23</v>
      </c>
      <c r="J11">
        <f>VLOOKUP(H11,$A$1:F$161,J$2,0)</f>
        <v>9.24</v>
      </c>
      <c r="K11">
        <f>VLOOKUP(H11,$A$1:F$161,K$2,0)</f>
        <v>8.99</v>
      </c>
      <c r="L11">
        <f>VLOOKUP(H11,$A$1:F$161,L$2,0)</f>
        <v>6.81</v>
      </c>
      <c r="M11">
        <f>VLOOKUP(H11,$A$1:F$161,M$2,0)</f>
        <v>0</v>
      </c>
    </row>
    <row r="12" spans="1:13" x14ac:dyDescent="0.25">
      <c r="A12" t="s">
        <v>10</v>
      </c>
      <c r="B12">
        <v>4821.88</v>
      </c>
      <c r="C12">
        <v>4003.26</v>
      </c>
      <c r="D12">
        <v>3311.75</v>
      </c>
      <c r="E12">
        <v>-4543.49</v>
      </c>
      <c r="F12">
        <v>-4613.8900000000003</v>
      </c>
      <c r="H12" t="s">
        <v>18</v>
      </c>
      <c r="I12">
        <f>VLOOKUP(H12,$A$1:F$161,I$2,0)</f>
        <v>2875.69</v>
      </c>
      <c r="J12">
        <f>VLOOKUP(H12,$A$1:F$161,J$2,0)</f>
        <v>3053.03</v>
      </c>
      <c r="K12">
        <f>VLOOKUP(H12,$A$1:F$161,K$2,0)</f>
        <v>3126.95</v>
      </c>
      <c r="L12">
        <f>VLOOKUP(H12,$A$1:F$161,L$2,0)</f>
        <v>26.78</v>
      </c>
      <c r="M12">
        <f>VLOOKUP(H12,$A$1:F$161,M$2,0)</f>
        <v>62.28</v>
      </c>
    </row>
    <row r="13" spans="1:13" x14ac:dyDescent="0.25">
      <c r="A13" t="s">
        <v>11</v>
      </c>
      <c r="B13">
        <v>4821.88</v>
      </c>
      <c r="C13">
        <v>4003.26</v>
      </c>
      <c r="D13">
        <v>3311.75</v>
      </c>
      <c r="E13">
        <v>-4543.49</v>
      </c>
      <c r="F13">
        <v>-4613.8900000000003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5059.37</v>
      </c>
      <c r="C14">
        <v>4224.55</v>
      </c>
      <c r="D14">
        <v>3518.31</v>
      </c>
      <c r="E14">
        <v>-4476.57</v>
      </c>
      <c r="F14">
        <v>-4547.0600000000004</v>
      </c>
      <c r="H14" t="s">
        <v>21</v>
      </c>
      <c r="I14">
        <f>VLOOKUP(H14,$A$1:F$161,I$2,0)</f>
        <v>898.23</v>
      </c>
      <c r="J14">
        <f>VLOOKUP(H14,$A$1:F$161,J$2,0)</f>
        <v>660.57</v>
      </c>
      <c r="K14">
        <f>VLOOKUP(H14,$A$1:F$161,K$2,0)</f>
        <v>172.01</v>
      </c>
      <c r="L14">
        <f>VLOOKUP(H14,$A$1:F$161,L$2,0)</f>
        <v>2235.38</v>
      </c>
      <c r="M14">
        <f>VLOOKUP(H14,$A$1:F$161,M$2,0)</f>
        <v>2907.92</v>
      </c>
    </row>
    <row r="15" spans="1:13" x14ac:dyDescent="0.25">
      <c r="A15" t="s">
        <v>119</v>
      </c>
      <c r="B15">
        <v>1289.8</v>
      </c>
      <c r="C15">
        <v>0</v>
      </c>
      <c r="D15">
        <v>0</v>
      </c>
      <c r="E15">
        <v>0</v>
      </c>
      <c r="F15">
        <v>0</v>
      </c>
      <c r="H15" t="s">
        <v>22</v>
      </c>
      <c r="I15">
        <f>VLOOKUP(H15,$A$1:F$161,I$2,0)</f>
        <v>365.94</v>
      </c>
      <c r="J15">
        <f>VLOOKUP(H15,$A$1:F$161,J$2,0)</f>
        <v>459.14</v>
      </c>
      <c r="K15">
        <f>VLOOKUP(H15,$A$1:F$161,K$2,0)</f>
        <v>418.94</v>
      </c>
      <c r="L15">
        <f>VLOOKUP(H15,$A$1:F$161,L$2,0)</f>
        <v>2869.71</v>
      </c>
      <c r="M15">
        <f>VLOOKUP(H15,$A$1:F$161,M$2,0)</f>
        <v>2697.76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1.56</v>
      </c>
      <c r="J16">
        <f>VLOOKUP(H16,$A$1:F$161,J$2,0)</f>
        <v>1.28</v>
      </c>
      <c r="K16">
        <f>VLOOKUP(H16,$A$1:F$161,K$2,0)</f>
        <v>1.1100000000000001</v>
      </c>
      <c r="L16">
        <f>VLOOKUP(H16,$A$1:F$161,L$2,0)</f>
        <v>1.76</v>
      </c>
      <c r="M16">
        <f>VLOOKUP(H16,$A$1:F$161,M$2,0)</f>
        <v>7.56</v>
      </c>
    </row>
    <row r="17" spans="1:13" x14ac:dyDescent="0.25">
      <c r="A17" t="s">
        <v>14</v>
      </c>
      <c r="B17">
        <v>2527.1999999999998</v>
      </c>
      <c r="C17">
        <v>2717.71</v>
      </c>
      <c r="D17">
        <v>2806.43</v>
      </c>
      <c r="E17">
        <v>14.44</v>
      </c>
      <c r="F17">
        <v>56.22</v>
      </c>
      <c r="H17" t="s">
        <v>24</v>
      </c>
      <c r="I17">
        <f>VLOOKUP(H17,$A$1:F$161,I$2,0)</f>
        <v>2255.34</v>
      </c>
      <c r="J17">
        <f>VLOOKUP(H17,$A$1:F$161,J$2,0)</f>
        <v>1731.24</v>
      </c>
      <c r="K17">
        <f>VLOOKUP(H17,$A$1:F$161,K$2,0)</f>
        <v>1222.3499999999999</v>
      </c>
      <c r="L17">
        <f>VLOOKUP(H17,$A$1:F$161,L$2,0)</f>
        <v>12386.65</v>
      </c>
      <c r="M17">
        <f>VLOOKUP(H17,$A$1:F$161,M$2,0)</f>
        <v>12205.34</v>
      </c>
    </row>
    <row r="18" spans="1:13" x14ac:dyDescent="0.25">
      <c r="A18" t="s">
        <v>16</v>
      </c>
      <c r="B18">
        <v>337.26</v>
      </c>
      <c r="C18">
        <v>326.08</v>
      </c>
      <c r="D18">
        <v>311.54000000000002</v>
      </c>
      <c r="E18">
        <v>5.53</v>
      </c>
      <c r="F18">
        <v>6.06</v>
      </c>
      <c r="H18" t="s">
        <v>25</v>
      </c>
      <c r="I18">
        <f>VLOOKUP(H18,$A$1:F$161,I$2,0)</f>
        <v>11480.21</v>
      </c>
      <c r="J18">
        <f>VLOOKUP(H18,$A$1:F$161,J$2,0)</f>
        <v>9008.82</v>
      </c>
      <c r="K18">
        <f>VLOOKUP(H18,$A$1:F$161,K$2,0)</f>
        <v>7867.61</v>
      </c>
      <c r="L18">
        <f>VLOOKUP(H18,$A$1:F$161,L$2,0)</f>
        <v>7936.86</v>
      </c>
      <c r="M18">
        <f>VLOOKUP(H18,$A$1:F$161,M$2,0)</f>
        <v>7720.57</v>
      </c>
    </row>
    <row r="19" spans="1:13" x14ac:dyDescent="0.25">
      <c r="A19" t="s">
        <v>17</v>
      </c>
      <c r="B19">
        <v>11.23</v>
      </c>
      <c r="C19">
        <v>9.24</v>
      </c>
      <c r="D19">
        <v>8.99</v>
      </c>
      <c r="E19">
        <v>6.81</v>
      </c>
      <c r="F19">
        <v>0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18</v>
      </c>
      <c r="B20">
        <v>2875.69</v>
      </c>
      <c r="C20">
        <v>3053.03</v>
      </c>
      <c r="D20">
        <v>3126.95</v>
      </c>
      <c r="E20">
        <v>26.78</v>
      </c>
      <c r="F20">
        <v>62.28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ht="15" customHeight="1" x14ac:dyDescent="0.25">
      <c r="A21" t="s">
        <v>19</v>
      </c>
      <c r="H21" t="s">
        <v>28</v>
      </c>
      <c r="I21">
        <f>VLOOKUP(H21,$A$1:F$161,I$2,0)</f>
        <v>3370.87</v>
      </c>
      <c r="J21">
        <f>VLOOKUP(H21,$A$1:F$161,J$2,0)</f>
        <v>3438.59</v>
      </c>
      <c r="K21">
        <f>VLOOKUP(H21,$A$1:F$161,K$2,0)</f>
        <v>3554.15</v>
      </c>
      <c r="L21">
        <f>VLOOKUP(H21,$A$1:F$161,L$2,0)</f>
        <v>3708.08</v>
      </c>
      <c r="M21">
        <f>VLOOKUP(H21,$A$1:F$161,M$2,0)</f>
        <v>3841.68</v>
      </c>
    </row>
    <row r="22" spans="1:13" x14ac:dyDescent="0.25">
      <c r="A22" t="s">
        <v>20</v>
      </c>
      <c r="B22">
        <v>989.61</v>
      </c>
      <c r="C22">
        <v>610.25</v>
      </c>
      <c r="D22">
        <v>630.29999999999995</v>
      </c>
      <c r="E22">
        <v>7279.8</v>
      </c>
      <c r="F22">
        <v>6592.1</v>
      </c>
      <c r="H22" t="s">
        <v>29</v>
      </c>
      <c r="I22">
        <f>VLOOKUP(H22,$A$1:F$161,I$2,0)</f>
        <v>27.97</v>
      </c>
      <c r="J22">
        <f>VLOOKUP(H22,$A$1:F$161,J$2,0)</f>
        <v>26.83</v>
      </c>
      <c r="K22">
        <f>VLOOKUP(H22,$A$1:F$161,K$2,0)</f>
        <v>25.2</v>
      </c>
      <c r="L22">
        <f>VLOOKUP(H22,$A$1:F$161,L$2,0)</f>
        <v>26.91</v>
      </c>
      <c r="M22">
        <f>VLOOKUP(H22,$A$1:F$161,M$2,0)</f>
        <v>28.12</v>
      </c>
    </row>
    <row r="23" spans="1:13" x14ac:dyDescent="0.25">
      <c r="A23" t="s">
        <v>21</v>
      </c>
      <c r="B23">
        <v>898.23</v>
      </c>
      <c r="C23">
        <v>660.57</v>
      </c>
      <c r="D23">
        <v>172.01</v>
      </c>
      <c r="E23">
        <v>2235.38</v>
      </c>
      <c r="F23">
        <v>2907.92</v>
      </c>
      <c r="H23" t="s">
        <v>30</v>
      </c>
      <c r="I23">
        <f>VLOOKUP(H23,$A$1:F$161,I$2,0)</f>
        <v>4928.38</v>
      </c>
      <c r="J23">
        <f>VLOOKUP(H23,$A$1:F$161,J$2,0)</f>
        <v>4981.28</v>
      </c>
      <c r="K23">
        <f>VLOOKUP(H23,$A$1:F$161,K$2,0)</f>
        <v>5095.21</v>
      </c>
      <c r="L23">
        <f>VLOOKUP(H23,$A$1:F$161,L$2,0)</f>
        <v>5250.89</v>
      </c>
      <c r="M23">
        <f>VLOOKUP(H23,$A$1:F$161,M$2,0)</f>
        <v>5386.14</v>
      </c>
    </row>
    <row r="24" spans="1:13" x14ac:dyDescent="0.25">
      <c r="A24" t="s">
        <v>22</v>
      </c>
      <c r="B24">
        <v>365.94</v>
      </c>
      <c r="C24">
        <v>459.14</v>
      </c>
      <c r="D24">
        <v>418.94</v>
      </c>
      <c r="E24">
        <v>2869.71</v>
      </c>
      <c r="F24">
        <v>2697.76</v>
      </c>
      <c r="H24" t="s">
        <v>32</v>
      </c>
      <c r="I24">
        <f>VLOOKUP(H24,$A$1:F$161,I$2,0)</f>
        <v>39.270000000000003</v>
      </c>
      <c r="J24">
        <f>VLOOKUP(H24,$A$1:F$161,J$2,0)</f>
        <v>166.37</v>
      </c>
      <c r="K24">
        <f>VLOOKUP(H24,$A$1:F$161,K$2,0)</f>
        <v>0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23</v>
      </c>
      <c r="B25">
        <v>1.56</v>
      </c>
      <c r="C25">
        <v>1.28</v>
      </c>
      <c r="D25">
        <v>1.1100000000000001</v>
      </c>
      <c r="E25">
        <v>1.76</v>
      </c>
      <c r="F25">
        <v>7.56</v>
      </c>
      <c r="H25" t="s">
        <v>33</v>
      </c>
      <c r="I25">
        <f>VLOOKUP(H25,$A$1:F$161,I$2,0)</f>
        <v>0</v>
      </c>
      <c r="J25">
        <f>VLOOKUP(H25,$A$1:F$161,J$2,0)</f>
        <v>34.47</v>
      </c>
      <c r="K25">
        <f>VLOOKUP(H25,$A$1:F$161,K$2,0)</f>
        <v>35.549999999999997</v>
      </c>
      <c r="L25">
        <f>VLOOKUP(H25,$A$1:F$161,L$2,0)</f>
        <v>35.299999999999997</v>
      </c>
      <c r="M25">
        <f>VLOOKUP(H25,$A$1:F$161,M$2,0)</f>
        <v>39.130000000000003</v>
      </c>
    </row>
    <row r="26" spans="1:13" x14ac:dyDescent="0.25">
      <c r="A26" t="s">
        <v>24</v>
      </c>
      <c r="B26">
        <v>2255.34</v>
      </c>
      <c r="C26">
        <v>1731.24</v>
      </c>
      <c r="D26">
        <v>1222.3499999999999</v>
      </c>
      <c r="E26">
        <v>12386.65</v>
      </c>
      <c r="F26">
        <v>12205.34</v>
      </c>
      <c r="H26" t="s">
        <v>34</v>
      </c>
      <c r="I26">
        <f>VLOOKUP(H26,$A$1:F$161,I$2,0)</f>
        <v>127.91</v>
      </c>
      <c r="J26">
        <f>VLOOKUP(H26,$A$1:F$161,J$2,0)</f>
        <v>119.97</v>
      </c>
      <c r="K26">
        <f>VLOOKUP(H26,$A$1:F$161,K$2,0)</f>
        <v>120.77</v>
      </c>
      <c r="L26">
        <f>VLOOKUP(H26,$A$1:F$161,L$2,0)</f>
        <v>100.53</v>
      </c>
      <c r="M26">
        <f>VLOOKUP(H26,$A$1:F$161,M$2,0)</f>
        <v>115.8</v>
      </c>
    </row>
    <row r="27" spans="1:13" x14ac:dyDescent="0.25">
      <c r="A27" t="s">
        <v>25</v>
      </c>
      <c r="B27">
        <v>11480.21</v>
      </c>
      <c r="C27">
        <v>9008.82</v>
      </c>
      <c r="D27">
        <v>7867.61</v>
      </c>
      <c r="E27">
        <v>7936.86</v>
      </c>
      <c r="F27">
        <v>7720.57</v>
      </c>
      <c r="H27" t="s">
        <v>35</v>
      </c>
      <c r="I27">
        <f>VLOOKUP(H27,$A$1:F$161,I$2,0)</f>
        <v>5124.78</v>
      </c>
      <c r="J27">
        <f>VLOOKUP(H27,$A$1:F$161,J$2,0)</f>
        <v>5320.71</v>
      </c>
      <c r="K27">
        <f>VLOOKUP(H27,$A$1:F$161,K$2,0)</f>
        <v>5258.9</v>
      </c>
      <c r="L27">
        <f>VLOOKUP(H27,$A$1:F$161,L$2,0)</f>
        <v>5401.22</v>
      </c>
      <c r="M27">
        <f>VLOOKUP(H27,$A$1:F$161,M$2,0)</f>
        <v>5575.78</v>
      </c>
    </row>
    <row r="28" spans="1:13" x14ac:dyDescent="0.25">
      <c r="A28" t="s">
        <v>26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ht="24" customHeight="1" x14ac:dyDescent="0.25">
      <c r="A29" t="s">
        <v>27</v>
      </c>
      <c r="H29" t="s">
        <v>38</v>
      </c>
      <c r="I29">
        <f>VLOOKUP(H29,$A$1:F$161,I$2,0)</f>
        <v>2905.33</v>
      </c>
      <c r="J29">
        <f>VLOOKUP(H29,$A$1:F$161,J$2,0)</f>
        <v>2363.36</v>
      </c>
      <c r="K29">
        <f>VLOOKUP(H29,$A$1:F$161,K$2,0)</f>
        <v>1354.61</v>
      </c>
      <c r="L29">
        <f>VLOOKUP(H29,$A$1:F$161,L$2,0)</f>
        <v>1260.8499999999999</v>
      </c>
      <c r="M29">
        <f>VLOOKUP(H29,$A$1:F$161,M$2,0)</f>
        <v>1191.06</v>
      </c>
    </row>
    <row r="30" spans="1:13" x14ac:dyDescent="0.25">
      <c r="A30" t="s">
        <v>28</v>
      </c>
      <c r="B30">
        <v>3370.87</v>
      </c>
      <c r="C30">
        <v>3438.59</v>
      </c>
      <c r="D30">
        <v>3554.15</v>
      </c>
      <c r="E30">
        <v>3708.08</v>
      </c>
      <c r="F30">
        <v>3841.68</v>
      </c>
      <c r="H30" t="s">
        <v>39</v>
      </c>
      <c r="I30">
        <f>VLOOKUP(H30,$A$1:F$161,I$2,0)</f>
        <v>796.22</v>
      </c>
      <c r="J30">
        <f>VLOOKUP(H30,$A$1:F$161,J$2,0)</f>
        <v>438.42</v>
      </c>
      <c r="K30">
        <f>VLOOKUP(H30,$A$1:F$161,K$2,0)</f>
        <v>273.99</v>
      </c>
      <c r="L30">
        <f>VLOOKUP(H30,$A$1:F$161,L$2,0)</f>
        <v>262.24</v>
      </c>
      <c r="M30">
        <f>VLOOKUP(H30,$A$1:F$161,M$2,0)</f>
        <v>249.61</v>
      </c>
    </row>
    <row r="31" spans="1:13" x14ac:dyDescent="0.25">
      <c r="A31" t="s">
        <v>106</v>
      </c>
      <c r="B31">
        <v>1529.54</v>
      </c>
      <c r="C31">
        <v>1515.86</v>
      </c>
      <c r="D31">
        <v>1515.85</v>
      </c>
      <c r="E31">
        <v>1515.89</v>
      </c>
      <c r="F31">
        <v>1516.34</v>
      </c>
      <c r="H31" t="s">
        <v>40</v>
      </c>
      <c r="I31">
        <f>VLOOKUP(H31,$A$1:F$161,I$2,0)</f>
        <v>2016.29</v>
      </c>
      <c r="J31">
        <f>VLOOKUP(H31,$A$1:F$161,J$2,0)</f>
        <v>386.69</v>
      </c>
      <c r="K31">
        <f>VLOOKUP(H31,$A$1:F$161,K$2,0)</f>
        <v>455.26</v>
      </c>
      <c r="L31">
        <f>VLOOKUP(H31,$A$1:F$161,L$2,0)</f>
        <v>430.04</v>
      </c>
      <c r="M31">
        <f>VLOOKUP(H31,$A$1:F$161,M$2,0)</f>
        <v>176.43</v>
      </c>
    </row>
    <row r="32" spans="1:13" x14ac:dyDescent="0.25">
      <c r="A32" t="s">
        <v>29</v>
      </c>
      <c r="B32">
        <v>27.97</v>
      </c>
      <c r="C32">
        <v>26.83</v>
      </c>
      <c r="D32">
        <v>25.2</v>
      </c>
      <c r="E32">
        <v>26.91</v>
      </c>
      <c r="F32">
        <v>28.12</v>
      </c>
      <c r="H32" t="s">
        <v>41</v>
      </c>
      <c r="I32">
        <f>VLOOKUP(H32,$A$1:F$161,I$2,0)</f>
        <v>0</v>
      </c>
      <c r="J32">
        <f>VLOOKUP(H32,$A$1:F$161,J$2,0)</f>
        <v>1.1200000000000001</v>
      </c>
      <c r="K32">
        <f>VLOOKUP(H32,$A$1:F$161,K$2,0)</f>
        <v>1.2</v>
      </c>
      <c r="L32">
        <f>VLOOKUP(H32,$A$1:F$161,L$2,0)</f>
        <v>1.1299999999999999</v>
      </c>
      <c r="M32">
        <f>VLOOKUP(H32,$A$1:F$161,M$2,0)</f>
        <v>5.59</v>
      </c>
    </row>
    <row r="33" spans="1:13" x14ac:dyDescent="0.25">
      <c r="A33" t="s">
        <v>30</v>
      </c>
      <c r="B33">
        <v>4928.38</v>
      </c>
      <c r="C33">
        <v>4981.28</v>
      </c>
      <c r="D33">
        <v>5095.21</v>
      </c>
      <c r="E33">
        <v>5250.89</v>
      </c>
      <c r="F33">
        <v>5386.14</v>
      </c>
      <c r="H33" t="s">
        <v>42</v>
      </c>
      <c r="I33">
        <f>VLOOKUP(H33,$A$1:F$161,I$2,0)</f>
        <v>625.11</v>
      </c>
      <c r="J33">
        <f>VLOOKUP(H33,$A$1:F$161,J$2,0)</f>
        <v>486.74</v>
      </c>
      <c r="K33">
        <f>VLOOKUP(H33,$A$1:F$161,K$2,0)</f>
        <v>510.83</v>
      </c>
      <c r="L33">
        <f>VLOOKUP(H33,$A$1:F$161,L$2,0)</f>
        <v>564.6</v>
      </c>
      <c r="M33">
        <f>VLOOKUP(H33,$A$1:F$161,M$2,0)</f>
        <v>506.29</v>
      </c>
    </row>
    <row r="34" spans="1:13" x14ac:dyDescent="0.25">
      <c r="A34" t="s">
        <v>31</v>
      </c>
      <c r="B34">
        <v>29.21</v>
      </c>
      <c r="C34">
        <v>18.63</v>
      </c>
      <c r="D34">
        <v>7.38</v>
      </c>
      <c r="E34">
        <v>14.51</v>
      </c>
      <c r="F34">
        <v>34.71</v>
      </c>
      <c r="H34" t="s">
        <v>43</v>
      </c>
      <c r="I34">
        <f>VLOOKUP(H34,$A$1:F$161,I$2,0)</f>
        <v>6355.43</v>
      </c>
      <c r="J34">
        <f>VLOOKUP(H34,$A$1:F$161,J$2,0)</f>
        <v>3688.11</v>
      </c>
      <c r="K34">
        <f>VLOOKUP(H34,$A$1:F$161,K$2,0)</f>
        <v>2608.71</v>
      </c>
      <c r="L34">
        <f>VLOOKUP(H34,$A$1:F$161,L$2,0)</f>
        <v>2535.65</v>
      </c>
      <c r="M34">
        <f>VLOOKUP(H34,$A$1:F$161,M$2,0)</f>
        <v>2144.79</v>
      </c>
    </row>
    <row r="35" spans="1:13" x14ac:dyDescent="0.25">
      <c r="A35" t="s">
        <v>32</v>
      </c>
      <c r="B35">
        <v>39.270000000000003</v>
      </c>
      <c r="C35">
        <v>166.37</v>
      </c>
      <c r="D35">
        <v>0</v>
      </c>
      <c r="E35">
        <v>0</v>
      </c>
      <c r="F35">
        <v>0</v>
      </c>
      <c r="H35" t="s">
        <v>44</v>
      </c>
      <c r="I35">
        <f>VLOOKUP(H35,$A$1:F$161,I$2,0)</f>
        <v>11480.21</v>
      </c>
      <c r="J35">
        <f>VLOOKUP(H35,$A$1:F$161,J$2,0)</f>
        <v>9008.82</v>
      </c>
      <c r="K35">
        <f>VLOOKUP(H35,$A$1:F$161,K$2,0)</f>
        <v>7867.61</v>
      </c>
      <c r="L35">
        <f>VLOOKUP(H35,$A$1:F$161,L$2,0)</f>
        <v>7936.86</v>
      </c>
      <c r="M35">
        <f>VLOOKUP(H35,$A$1:F$161,M$2,0)</f>
        <v>7720.57</v>
      </c>
    </row>
    <row r="36" spans="1:13" x14ac:dyDescent="0.25">
      <c r="A36" t="s">
        <v>33</v>
      </c>
      <c r="B36">
        <v>0</v>
      </c>
      <c r="C36">
        <v>34.47</v>
      </c>
      <c r="D36">
        <v>35.549999999999997</v>
      </c>
      <c r="E36">
        <v>35.299999999999997</v>
      </c>
      <c r="F36">
        <v>39.130000000000003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34</v>
      </c>
      <c r="B37">
        <v>127.91</v>
      </c>
      <c r="C37">
        <v>119.97</v>
      </c>
      <c r="D37">
        <v>120.77</v>
      </c>
      <c r="E37">
        <v>100.53</v>
      </c>
      <c r="F37">
        <v>115.8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35</v>
      </c>
      <c r="B38">
        <v>5124.78</v>
      </c>
      <c r="C38">
        <v>5320.71</v>
      </c>
      <c r="D38">
        <v>5258.9</v>
      </c>
      <c r="E38">
        <v>5401.22</v>
      </c>
      <c r="F38">
        <v>5575.78</v>
      </c>
      <c r="H38" t="s">
        <v>47</v>
      </c>
      <c r="I38">
        <f>VLOOKUP(H38,$A$1:F$161,I$2,0)</f>
        <v>350.15</v>
      </c>
      <c r="J38">
        <f>VLOOKUP(H38,$A$1:F$161,J$2,0)</f>
        <v>86.97</v>
      </c>
      <c r="K38">
        <f>VLOOKUP(H38,$A$1:F$161,K$2,0)</f>
        <v>35.93</v>
      </c>
      <c r="L38">
        <f>VLOOKUP(H38,$A$1:F$161,L$2,0)</f>
        <v>1249.1300000000001</v>
      </c>
      <c r="M38">
        <f>VLOOKUP(H38,$A$1:F$161,M$2,0)</f>
        <v>1223.6600000000001</v>
      </c>
    </row>
    <row r="39" spans="1:13" ht="15" customHeight="1" x14ac:dyDescent="0.25">
      <c r="A39" t="s">
        <v>36</v>
      </c>
      <c r="H39" t="s">
        <v>62</v>
      </c>
      <c r="I39">
        <f>VLOOKUP(H39,$A$1:F$161,I$2,0)</f>
        <v>12.49</v>
      </c>
      <c r="J39">
        <f>VLOOKUP(H39,$A$1:F$161,J$2,0)</f>
        <v>11.76</v>
      </c>
      <c r="K39">
        <f>VLOOKUP(H39,$A$1:F$161,K$2,0)</f>
        <v>12.81</v>
      </c>
      <c r="L39">
        <f>VLOOKUP(H39,$A$1:F$161,L$2,0)</f>
        <v>16.79</v>
      </c>
      <c r="M39">
        <f>VLOOKUP(H39,$A$1:F$161,M$2,0)</f>
        <v>15.8</v>
      </c>
    </row>
    <row r="40" spans="1:13" x14ac:dyDescent="0.25">
      <c r="A40" t="s">
        <v>37</v>
      </c>
      <c r="B40">
        <v>12.49</v>
      </c>
      <c r="C40">
        <v>11.76</v>
      </c>
      <c r="D40">
        <v>12.81</v>
      </c>
      <c r="E40">
        <v>16.79</v>
      </c>
      <c r="F40">
        <v>15.8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>
        <f>VLOOKUP(H40,$A$1:F$161,K$2,0)</f>
        <v>0.93</v>
      </c>
      <c r="L40">
        <f>VLOOKUP(H40,$A$1:F$161,L$2,0)</f>
        <v>1.21</v>
      </c>
      <c r="M40">
        <f>VLOOKUP(H40,$A$1:F$161,M$2,0)</f>
        <v>1.1100000000000001</v>
      </c>
    </row>
    <row r="41" spans="1:13" x14ac:dyDescent="0.25">
      <c r="A41" t="s">
        <v>38</v>
      </c>
      <c r="B41">
        <v>2905.33</v>
      </c>
      <c r="C41">
        <v>2363.36</v>
      </c>
      <c r="D41">
        <v>1354.61</v>
      </c>
      <c r="E41">
        <v>1260.8499999999999</v>
      </c>
      <c r="F41">
        <v>1191.06</v>
      </c>
      <c r="H41" t="s">
        <v>64</v>
      </c>
      <c r="I41">
        <f>VLOOKUP(H41,$A$1:F$161,I$2,0)</f>
        <v>12.49</v>
      </c>
      <c r="J41">
        <f>VLOOKUP(H41,$A$1:F$161,J$2,0)</f>
        <v>12.53</v>
      </c>
      <c r="K41">
        <f>VLOOKUP(H41,$A$1:F$161,K$2,0)</f>
        <v>12.4</v>
      </c>
      <c r="L41">
        <f>VLOOKUP(H41,$A$1:F$161,L$2,0)</f>
        <v>15.59</v>
      </c>
      <c r="M41">
        <f>VLOOKUP(H41,$A$1:F$161,M$2,0)</f>
        <v>14.69</v>
      </c>
    </row>
    <row r="42" spans="1:13" x14ac:dyDescent="0.25">
      <c r="A42" t="s">
        <v>39</v>
      </c>
      <c r="B42">
        <v>796.22</v>
      </c>
      <c r="C42">
        <v>438.42</v>
      </c>
      <c r="D42">
        <v>273.99</v>
      </c>
      <c r="E42">
        <v>262.24</v>
      </c>
      <c r="F42">
        <v>249.61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40</v>
      </c>
      <c r="B43">
        <v>2016.29</v>
      </c>
      <c r="C43">
        <v>386.69</v>
      </c>
      <c r="D43">
        <v>455.26</v>
      </c>
      <c r="E43">
        <v>430.04</v>
      </c>
      <c r="F43">
        <v>176.43</v>
      </c>
      <c r="H43" t="s">
        <v>68</v>
      </c>
      <c r="I43">
        <f>VLOOKUP(H43,$A$1:F$161,I$2,0)</f>
        <v>12683.14</v>
      </c>
      <c r="J43">
        <f>VLOOKUP(H43,$A$1:F$161,J$2,0)</f>
        <v>11948.23</v>
      </c>
      <c r="K43">
        <f>VLOOKUP(H43,$A$1:F$161,K$2,0)</f>
        <v>19073.150000000001</v>
      </c>
      <c r="L43">
        <f>VLOOKUP(H43,$A$1:F$161,L$2,0)</f>
        <v>29904.69</v>
      </c>
      <c r="M43">
        <f>VLOOKUP(H43,$A$1:F$161,M$2,0)</f>
        <v>31086.99</v>
      </c>
    </row>
    <row r="44" spans="1:13" x14ac:dyDescent="0.25">
      <c r="A44" t="s">
        <v>41</v>
      </c>
      <c r="B44">
        <v>0</v>
      </c>
      <c r="C44">
        <v>1.1200000000000001</v>
      </c>
      <c r="D44">
        <v>1.2</v>
      </c>
      <c r="E44">
        <v>1.1299999999999999</v>
      </c>
      <c r="F44">
        <v>5.59</v>
      </c>
      <c r="H44" t="s">
        <v>70</v>
      </c>
      <c r="I44">
        <f>VLOOKUP(H44,$A$1:F$161,I$2,0)</f>
        <v>12683.14</v>
      </c>
      <c r="J44">
        <f>VLOOKUP(H44,$A$1:F$161,J$2,0)</f>
        <v>11948.23</v>
      </c>
      <c r="K44">
        <f>VLOOKUP(H44,$A$1:F$161,K$2,0)</f>
        <v>19073.150000000001</v>
      </c>
      <c r="L44">
        <f>VLOOKUP(H44,$A$1:F$161,L$2,0)</f>
        <v>29904.69</v>
      </c>
      <c r="M44">
        <f>VLOOKUP(H44,$A$1:F$161,M$2,0)</f>
        <v>30996.03</v>
      </c>
    </row>
    <row r="45" spans="1:13" x14ac:dyDescent="0.25">
      <c r="A45" t="s">
        <v>42</v>
      </c>
      <c r="B45">
        <v>625.11</v>
      </c>
      <c r="C45">
        <v>486.74</v>
      </c>
      <c r="D45">
        <v>510.83</v>
      </c>
      <c r="E45">
        <v>564.6</v>
      </c>
      <c r="F45">
        <v>506.29</v>
      </c>
      <c r="H45" t="s">
        <v>71</v>
      </c>
      <c r="I45">
        <f>VLOOKUP(H45,$A$1:F$161,I$2,0)</f>
        <v>46.09</v>
      </c>
      <c r="J45">
        <f>VLOOKUP(H45,$A$1:F$161,J$2,0)</f>
        <v>78.819999999999993</v>
      </c>
      <c r="K45">
        <f>VLOOKUP(H45,$A$1:F$161,K$2,0)</f>
        <v>99.74</v>
      </c>
      <c r="L45">
        <f>VLOOKUP(H45,$A$1:F$161,L$2,0)</f>
        <v>335.8</v>
      </c>
      <c r="M45">
        <f>VLOOKUP(H45,$A$1:F$161,M$2,0)</f>
        <v>566.33000000000004</v>
      </c>
    </row>
    <row r="46" spans="1:13" x14ac:dyDescent="0.25">
      <c r="A46" t="s">
        <v>43</v>
      </c>
      <c r="B46">
        <v>6355.43</v>
      </c>
      <c r="C46">
        <v>3688.11</v>
      </c>
      <c r="D46">
        <v>2608.71</v>
      </c>
      <c r="E46">
        <v>2535.65</v>
      </c>
      <c r="F46">
        <v>2144.79</v>
      </c>
      <c r="H46" t="s">
        <v>72</v>
      </c>
      <c r="I46">
        <f>VLOOKUP(H46,$A$1:F$161,I$2,0)</f>
        <v>12729.23</v>
      </c>
      <c r="J46">
        <f>VLOOKUP(H46,$A$1:F$161,J$2,0)</f>
        <v>12027.05</v>
      </c>
      <c r="K46">
        <f>VLOOKUP(H46,$A$1:F$161,K$2,0)</f>
        <v>19172.89</v>
      </c>
      <c r="L46">
        <f>VLOOKUP(H46,$A$1:F$161,L$2,0)</f>
        <v>30240.49</v>
      </c>
      <c r="M46">
        <f>VLOOKUP(H46,$A$1:F$161,M$2,0)</f>
        <v>31562.35</v>
      </c>
    </row>
    <row r="47" spans="1:13" x14ac:dyDescent="0.25">
      <c r="A47" t="s">
        <v>44</v>
      </c>
      <c r="B47">
        <v>11480.21</v>
      </c>
      <c r="C47">
        <v>9008.82</v>
      </c>
      <c r="D47">
        <v>7867.61</v>
      </c>
      <c r="E47">
        <v>7936.86</v>
      </c>
      <c r="F47">
        <v>7720.57</v>
      </c>
      <c r="H47" t="s">
        <v>73</v>
      </c>
      <c r="I47">
        <f>VLOOKUP(H47,$A$1:F$161,I$2,0)</f>
        <v>120.15</v>
      </c>
      <c r="J47">
        <f>VLOOKUP(H47,$A$1:F$161,J$2,0)</f>
        <v>36.89</v>
      </c>
      <c r="K47">
        <f>VLOOKUP(H47,$A$1:F$161,K$2,0)</f>
        <v>107.6</v>
      </c>
      <c r="L47">
        <f>VLOOKUP(H47,$A$1:F$161,L$2,0)</f>
        <v>97.13</v>
      </c>
      <c r="M47">
        <f>VLOOKUP(H47,$A$1:F$161,M$2,0)</f>
        <v>198.75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12849.38</v>
      </c>
      <c r="J48">
        <f>VLOOKUP(H48,$A$1:F$161,J$2,0)</f>
        <v>12063.94</v>
      </c>
      <c r="K48">
        <f>VLOOKUP(H48,$A$1:F$161,K$2,0)</f>
        <v>19280.490000000002</v>
      </c>
      <c r="L48">
        <f>VLOOKUP(H48,$A$1:F$161,L$2,0)</f>
        <v>30337.62</v>
      </c>
      <c r="M48">
        <f>VLOOKUP(H48,$A$1:F$161,M$2,0)</f>
        <v>31761.1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350.15</v>
      </c>
      <c r="C50">
        <v>86.97</v>
      </c>
      <c r="D50">
        <v>35.93</v>
      </c>
      <c r="E50">
        <v>1249.1300000000001</v>
      </c>
      <c r="F50">
        <v>1223.6600000000001</v>
      </c>
      <c r="H50" t="s">
        <v>76</v>
      </c>
      <c r="I50">
        <f>VLOOKUP(H50,$A$1:F$161,I$2,0)</f>
        <v>10967.9</v>
      </c>
      <c r="J50">
        <f>VLOOKUP(H50,$A$1:F$161,J$2,0)</f>
        <v>9168.17</v>
      </c>
      <c r="K50">
        <f>VLOOKUP(H50,$A$1:F$161,K$2,0)</f>
        <v>10358.040000000001</v>
      </c>
      <c r="L50">
        <f>VLOOKUP(H50,$A$1:F$161,L$2,0)</f>
        <v>12623.33</v>
      </c>
      <c r="M50">
        <f>VLOOKUP(H50,$A$1:F$161,M$2,0)</f>
        <v>13191.77</v>
      </c>
    </row>
    <row r="51" spans="1:13" ht="24" customHeight="1" x14ac:dyDescent="0.25">
      <c r="A51" t="s">
        <v>48</v>
      </c>
      <c r="H51" t="s">
        <v>77</v>
      </c>
      <c r="I51">
        <f>VLOOKUP(H51,$A$1:F$161,I$2,0)</f>
        <v>356.33</v>
      </c>
      <c r="J51">
        <f>VLOOKUP(H51,$A$1:F$161,J$2,0)</f>
        <v>1518.61</v>
      </c>
      <c r="K51">
        <f>VLOOKUP(H51,$A$1:F$161,K$2,0)</f>
        <v>6391.05</v>
      </c>
      <c r="L51">
        <f>VLOOKUP(H51,$A$1:F$161,L$2,0)</f>
        <v>15132.91</v>
      </c>
      <c r="M51">
        <f>VLOOKUP(H51,$A$1:F$161,M$2,0)</f>
        <v>15519.93</v>
      </c>
    </row>
    <row r="52" spans="1:13" ht="24" customHeight="1" x14ac:dyDescent="0.25">
      <c r="A52" t="s">
        <v>49</v>
      </c>
      <c r="H52" t="s">
        <v>78</v>
      </c>
      <c r="I52">
        <f>VLOOKUP(H52,$A$1:F$161,I$2,0)</f>
        <v>77.83</v>
      </c>
      <c r="J52">
        <f>VLOOKUP(H52,$A$1:F$161,J$2,0)</f>
        <v>5.64</v>
      </c>
      <c r="K52">
        <f>VLOOKUP(H52,$A$1:F$161,K$2,0)</f>
        <v>398.23</v>
      </c>
      <c r="L52">
        <f>VLOOKUP(H52,$A$1:F$161,L$2,0)</f>
        <v>295.12</v>
      </c>
      <c r="M52">
        <f>VLOOKUP(H52,$A$1:F$161,M$2,0)</f>
        <v>250.83</v>
      </c>
    </row>
    <row r="53" spans="1:13" x14ac:dyDescent="0.25">
      <c r="A53" t="s">
        <v>50</v>
      </c>
      <c r="B53">
        <v>8249.7999999999993</v>
      </c>
      <c r="C53">
        <v>4306.51</v>
      </c>
      <c r="D53">
        <v>3205.45</v>
      </c>
      <c r="E53">
        <v>2793.96</v>
      </c>
      <c r="F53">
        <v>3167.27</v>
      </c>
      <c r="H53" t="s">
        <v>79</v>
      </c>
      <c r="I53">
        <f>VLOOKUP(H53,$A$1:F$161,I$2,0)</f>
        <v>153.43</v>
      </c>
      <c r="J53">
        <f>VLOOKUP(H53,$A$1:F$161,J$2,0)</f>
        <v>159.94</v>
      </c>
      <c r="K53">
        <f>VLOOKUP(H53,$A$1:F$161,K$2,0)</f>
        <v>193.21</v>
      </c>
      <c r="L53">
        <f>VLOOKUP(H53,$A$1:F$161,L$2,0)</f>
        <v>224.45</v>
      </c>
      <c r="M53">
        <f>VLOOKUP(H53,$A$1:F$161,M$2,0)</f>
        <v>224.59</v>
      </c>
    </row>
    <row r="54" spans="1:13" ht="48" customHeight="1" x14ac:dyDescent="0.25">
      <c r="A54" t="s">
        <v>51</v>
      </c>
      <c r="H54" t="s">
        <v>80</v>
      </c>
      <c r="I54">
        <f>VLOOKUP(H54,$A$1:F$161,I$2,0)</f>
        <v>142.19999999999999</v>
      </c>
      <c r="J54">
        <f>VLOOKUP(H54,$A$1:F$161,J$2,0)</f>
        <v>970.38</v>
      </c>
      <c r="K54">
        <f>VLOOKUP(H54,$A$1:F$161,K$2,0)</f>
        <v>960.59</v>
      </c>
      <c r="L54">
        <f>VLOOKUP(H54,$A$1:F$161,L$2,0)</f>
        <v>1361.17</v>
      </c>
      <c r="M54">
        <f>VLOOKUP(H54,$A$1:F$161,M$2,0)</f>
        <v>551.15</v>
      </c>
    </row>
    <row r="55" spans="1:13" x14ac:dyDescent="0.25">
      <c r="A55" t="s">
        <v>52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>
        <f>VLOOKUP(H55,$A$1:F$161,I$2,0)</f>
        <v>54.9</v>
      </c>
      <c r="J55">
        <f>VLOOKUP(H55,$A$1:F$161,J$2,0)</f>
        <v>5195.3500000000004</v>
      </c>
      <c r="K55">
        <f>VLOOKUP(H55,$A$1:F$161,K$2,0)</f>
        <v>1315.4</v>
      </c>
      <c r="L55">
        <f>VLOOKUP(H55,$A$1:F$161,L$2,0)</f>
        <v>254.48</v>
      </c>
      <c r="M55">
        <f>VLOOKUP(H55,$A$1:F$161,M$2,0)</f>
        <v>0</v>
      </c>
    </row>
    <row r="56" spans="1:13" ht="24" customHeight="1" x14ac:dyDescent="0.25">
      <c r="A56" t="s">
        <v>54</v>
      </c>
      <c r="H56" t="s">
        <v>82</v>
      </c>
      <c r="I56">
        <f>VLOOKUP(H56,$A$1:F$161,I$2,0)</f>
        <v>138.5</v>
      </c>
      <c r="J56">
        <f>VLOOKUP(H56,$A$1:F$161,J$2,0)</f>
        <v>142.79</v>
      </c>
      <c r="K56">
        <f>VLOOKUP(H56,$A$1:F$161,K$2,0)</f>
        <v>158.87</v>
      </c>
      <c r="L56">
        <f>VLOOKUP(H56,$A$1:F$161,L$2,0)</f>
        <v>166.68</v>
      </c>
      <c r="M56">
        <f>VLOOKUP(H56,$A$1:F$161,M$2,0)</f>
        <v>160.34</v>
      </c>
    </row>
    <row r="57" spans="1:13" x14ac:dyDescent="0.25">
      <c r="A57" t="s">
        <v>55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586.83000000000004</v>
      </c>
      <c r="J57">
        <f>VLOOKUP(H57,$A$1:F$161,J$2,0)</f>
        <v>657.56</v>
      </c>
      <c r="K57">
        <f>VLOOKUP(H57,$A$1:F$161,K$2,0)</f>
        <v>805.65</v>
      </c>
      <c r="L57">
        <f>VLOOKUP(H57,$A$1:F$161,L$2,0)</f>
        <v>1007.08</v>
      </c>
      <c r="M57">
        <f>VLOOKUP(H57,$A$1:F$161,M$2,0)</f>
        <v>1812.33</v>
      </c>
    </row>
    <row r="58" spans="1:13" x14ac:dyDescent="0.25">
      <c r="A58" t="s">
        <v>56</v>
      </c>
      <c r="B58">
        <v>243.3</v>
      </c>
      <c r="C58">
        <v>323.06</v>
      </c>
      <c r="D58">
        <v>241.37</v>
      </c>
      <c r="E58">
        <v>463.73</v>
      </c>
      <c r="F58">
        <v>697.82</v>
      </c>
      <c r="H58" t="s">
        <v>84</v>
      </c>
      <c r="I58">
        <f>VLOOKUP(H58,$A$1:F$161,I$2,0)</f>
        <v>12937.33</v>
      </c>
      <c r="J58">
        <f>VLOOKUP(H58,$A$1:F$161,J$2,0)</f>
        <v>18249.599999999999</v>
      </c>
      <c r="K58">
        <f>VLOOKUP(H58,$A$1:F$161,K$2,0)</f>
        <v>21049.72</v>
      </c>
      <c r="L58">
        <f>VLOOKUP(H58,$A$1:F$161,L$2,0)</f>
        <v>31726.73</v>
      </c>
      <c r="M58">
        <f>VLOOKUP(H58,$A$1:F$161,M$2,0)</f>
        <v>31710.95</v>
      </c>
    </row>
    <row r="59" spans="1:13" ht="15" customHeight="1" x14ac:dyDescent="0.25">
      <c r="A59" t="s">
        <v>57</v>
      </c>
      <c r="H59" t="s">
        <v>85</v>
      </c>
      <c r="I59">
        <f>VLOOKUP(H59,$A$1:F$161,I$2,0)</f>
        <v>-87.95</v>
      </c>
      <c r="J59">
        <f>VLOOKUP(H59,$A$1:F$161,J$2,0)</f>
        <v>-6185.66</v>
      </c>
      <c r="K59">
        <f>VLOOKUP(H59,$A$1:F$161,K$2,0)</f>
        <v>-1769.23</v>
      </c>
      <c r="L59">
        <f>VLOOKUP(H59,$A$1:F$161,L$2,0)</f>
        <v>-1389.11</v>
      </c>
      <c r="M59">
        <f>VLOOKUP(H59,$A$1:F$161,M$2,0)</f>
        <v>50.15</v>
      </c>
    </row>
    <row r="60" spans="1:13" x14ac:dyDescent="0.25">
      <c r="A60" t="s">
        <v>58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-87.95</v>
      </c>
      <c r="J60">
        <f>VLOOKUP(H60,$A$1:F$161,J$2,0)</f>
        <v>-6185.66</v>
      </c>
      <c r="K60">
        <f>VLOOKUP(H60,$A$1:F$161,K$2,0)</f>
        <v>-1735.95</v>
      </c>
      <c r="L60">
        <f>VLOOKUP(H60,$A$1:F$161,L$2,0)</f>
        <v>-1386.72</v>
      </c>
      <c r="M60">
        <f>VLOOKUP(H60,$A$1:F$161,M$2,0)</f>
        <v>102.47</v>
      </c>
    </row>
    <row r="61" spans="1:13" ht="24" customHeight="1" x14ac:dyDescent="0.25">
      <c r="A61" t="s">
        <v>59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60</v>
      </c>
      <c r="B62">
        <v>27.67</v>
      </c>
      <c r="C62">
        <v>17.09</v>
      </c>
      <c r="D62">
        <v>5.83</v>
      </c>
      <c r="E62">
        <v>9.4600000000000009</v>
      </c>
      <c r="F62">
        <v>14.18</v>
      </c>
      <c r="H62" t="s">
        <v>89</v>
      </c>
      <c r="I62">
        <f>VLOOKUP(H62,$A$1:F$161,I$2,0)</f>
        <v>0.01</v>
      </c>
      <c r="J62">
        <f>VLOOKUP(H62,$A$1:F$161,J$2,0)</f>
        <v>-0.45</v>
      </c>
      <c r="K62">
        <f>VLOOKUP(H62,$A$1:F$161,K$2,0)</f>
        <v>0</v>
      </c>
      <c r="L62">
        <f>VLOOKUP(H62,$A$1:F$161,L$2,0)</f>
        <v>-0.44</v>
      </c>
      <c r="M62">
        <f>VLOOKUP(H62,$A$1:F$161,M$2,0)</f>
        <v>24.13</v>
      </c>
    </row>
    <row r="63" spans="1:13" x14ac:dyDescent="0.25">
      <c r="A63" t="s">
        <v>61</v>
      </c>
      <c r="B63">
        <v>1.54</v>
      </c>
      <c r="C63">
        <v>1.54</v>
      </c>
      <c r="D63">
        <v>1.54</v>
      </c>
      <c r="E63">
        <v>5.04</v>
      </c>
      <c r="F63">
        <v>20.54</v>
      </c>
      <c r="H63" t="s">
        <v>90</v>
      </c>
      <c r="I63">
        <f>VLOOKUP(H63,$A$1:F$161,I$2,0)</f>
        <v>0.01</v>
      </c>
      <c r="J63">
        <f>VLOOKUP(H63,$A$1:F$161,J$2,0)</f>
        <v>-445.34</v>
      </c>
      <c r="K63">
        <f>VLOOKUP(H63,$A$1:F$161,K$2,0)</f>
        <v>-342.27</v>
      </c>
      <c r="L63">
        <f>VLOOKUP(H63,$A$1:F$161,L$2,0)</f>
        <v>-78.98</v>
      </c>
      <c r="M63">
        <f>VLOOKUP(H63,$A$1:F$161,M$2,0)</f>
        <v>-2.99</v>
      </c>
    </row>
    <row r="64" spans="1:13" ht="24" customHeight="1" x14ac:dyDescent="0.25">
      <c r="A64" t="s">
        <v>62</v>
      </c>
      <c r="H64" t="s">
        <v>112</v>
      </c>
      <c r="I64">
        <f>VLOOKUP(H64,$A$1:F$161,I$2,0)</f>
        <v>0</v>
      </c>
      <c r="J64">
        <f>VLOOKUP(H64,$A$1:F$161,J$2,0)</f>
        <v>8.4</v>
      </c>
      <c r="K64">
        <f>VLOOKUP(H64,$A$1:F$161,K$2,0)</f>
        <v>-31.9</v>
      </c>
      <c r="L64">
        <f>VLOOKUP(H64,$A$1:F$161,L$2,0)</f>
        <v>-0.74</v>
      </c>
      <c r="M64">
        <f>VLOOKUP(H64,$A$1:F$161,M$2,0)</f>
        <v>3.74</v>
      </c>
    </row>
    <row r="65" spans="1:13" x14ac:dyDescent="0.25">
      <c r="A65" t="s">
        <v>63</v>
      </c>
      <c r="B65" t="s">
        <v>53</v>
      </c>
      <c r="C65" t="s">
        <v>53</v>
      </c>
      <c r="D65">
        <v>0.93</v>
      </c>
      <c r="E65">
        <v>1.21</v>
      </c>
      <c r="F65">
        <v>1.1100000000000001</v>
      </c>
      <c r="H65" t="s">
        <v>91</v>
      </c>
      <c r="I65">
        <f>VLOOKUP(H65,$A$1:F$161,I$2,0)</f>
        <v>0.03</v>
      </c>
      <c r="J65">
        <f>VLOOKUP(H65,$A$1:F$161,J$2,0)</f>
        <v>-437.39</v>
      </c>
      <c r="K65">
        <f>VLOOKUP(H65,$A$1:F$161,K$2,0)</f>
        <v>-374.17</v>
      </c>
      <c r="L65">
        <f>VLOOKUP(H65,$A$1:F$161,L$2,0)</f>
        <v>-80.16</v>
      </c>
      <c r="M65">
        <f>VLOOKUP(H65,$A$1:F$161,M$2,0)</f>
        <v>24.88</v>
      </c>
    </row>
    <row r="66" spans="1:13" x14ac:dyDescent="0.25">
      <c r="A66" t="s">
        <v>64</v>
      </c>
      <c r="B66">
        <v>12.49</v>
      </c>
      <c r="C66">
        <v>12.53</v>
      </c>
      <c r="D66">
        <v>12.4</v>
      </c>
      <c r="E66">
        <v>15.59</v>
      </c>
      <c r="F66">
        <v>14.69</v>
      </c>
      <c r="H66" t="s">
        <v>92</v>
      </c>
      <c r="I66">
        <f>VLOOKUP(H66,$A$1:F$161,I$2,0)</f>
        <v>-87.97</v>
      </c>
      <c r="J66">
        <f>VLOOKUP(H66,$A$1:F$161,J$2,0)</f>
        <v>-5748.27</v>
      </c>
      <c r="K66">
        <f>VLOOKUP(H66,$A$1:F$161,K$2,0)</f>
        <v>-1361.78</v>
      </c>
      <c r="L66">
        <f>VLOOKUP(H66,$A$1:F$161,L$2,0)</f>
        <v>-1306.56</v>
      </c>
      <c r="M66">
        <f>VLOOKUP(H66,$A$1:F$161,M$2,0)</f>
        <v>77.59</v>
      </c>
    </row>
    <row r="67" spans="1:13" x14ac:dyDescent="0.25">
      <c r="H67" t="s">
        <v>93</v>
      </c>
      <c r="I67">
        <f>VLOOKUP(H67,$A$1:F$161,I$2,0)</f>
        <v>-87.97</v>
      </c>
      <c r="J67">
        <f>VLOOKUP(H67,$A$1:F$161,J$2,0)</f>
        <v>-5748.27</v>
      </c>
      <c r="K67">
        <f>VLOOKUP(H67,$A$1:F$161,K$2,0)</f>
        <v>-1361.78</v>
      </c>
      <c r="L67">
        <f>VLOOKUP(H67,$A$1:F$161,L$2,0)</f>
        <v>-1306.56</v>
      </c>
      <c r="M67">
        <f>VLOOKUP(H67,$A$1:F$161,M$2,0)</f>
        <v>77.59</v>
      </c>
    </row>
    <row r="68" spans="1:13" x14ac:dyDescent="0.25">
      <c r="H68" t="s">
        <v>94</v>
      </c>
      <c r="I68">
        <f>VLOOKUP(H68,$A$1:F$161,I$2,0)</f>
        <v>-87.97</v>
      </c>
      <c r="J68">
        <f>VLOOKUP(H68,$A$1:F$161,J$2,0)</f>
        <v>-5748.27</v>
      </c>
      <c r="K68">
        <f>VLOOKUP(H68,$A$1:F$161,K$2,0)</f>
        <v>-1361.78</v>
      </c>
      <c r="L68">
        <f>VLOOKUP(H68,$A$1:F$161,L$2,0)</f>
        <v>-1306.56</v>
      </c>
      <c r="M68">
        <f>VLOOKUP(H68,$A$1:F$161,M$2,0)</f>
        <v>77.59</v>
      </c>
    </row>
    <row r="69" spans="1:13" x14ac:dyDescent="0.25">
      <c r="H69" t="s">
        <v>101</v>
      </c>
      <c r="I69">
        <f>VLOOKUP(H69,$A$1:F$161,I$2,0)</f>
        <v>0</v>
      </c>
      <c r="J69">
        <f>VLOOKUP(H69,$A$1:F$161,J$2,0)</f>
        <v>0</v>
      </c>
      <c r="K69">
        <f>VLOOKUP(H69,$A$1:F$161,K$2,0)</f>
        <v>0</v>
      </c>
      <c r="L69">
        <f>VLOOKUP(H69,$A$1:F$161,L$2,0)</f>
        <v>0</v>
      </c>
      <c r="M69">
        <f>VLOOKUP(H69,$A$1:F$161,M$2,0)</f>
        <v>5.35</v>
      </c>
    </row>
    <row r="70" spans="1:13" ht="15" customHeight="1" x14ac:dyDescent="0.25">
      <c r="A70" t="s">
        <v>65</v>
      </c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</v>
      </c>
      <c r="L70">
        <f>VLOOKUP(H70,$A$1:F$161,L$2,0)</f>
        <v>0</v>
      </c>
      <c r="M70">
        <f>VLOOKUP(H70,$A$1:F$161,M$2,0)</f>
        <v>1.1100000000000001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140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141</v>
      </c>
      <c r="C92">
        <v>43160</v>
      </c>
      <c r="D92">
        <v>42795</v>
      </c>
      <c r="E92">
        <v>42430</v>
      </c>
      <c r="F92">
        <v>42064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12683.14</v>
      </c>
      <c r="C97">
        <v>11948.23</v>
      </c>
      <c r="D97">
        <v>19073.150000000001</v>
      </c>
      <c r="E97">
        <v>29904.69</v>
      </c>
      <c r="F97">
        <v>31086.99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90.96</v>
      </c>
    </row>
    <row r="99" spans="1:6" x14ac:dyDescent="0.25">
      <c r="A99" t="s">
        <v>70</v>
      </c>
      <c r="B99">
        <v>12683.14</v>
      </c>
      <c r="C99">
        <v>11948.23</v>
      </c>
      <c r="D99">
        <v>19073.150000000001</v>
      </c>
      <c r="E99">
        <v>29904.69</v>
      </c>
      <c r="F99">
        <v>30996.03</v>
      </c>
    </row>
    <row r="100" spans="1:6" x14ac:dyDescent="0.25">
      <c r="A100" t="s">
        <v>71</v>
      </c>
      <c r="B100">
        <v>46.09</v>
      </c>
      <c r="C100">
        <v>78.819999999999993</v>
      </c>
      <c r="D100">
        <v>99.74</v>
      </c>
      <c r="E100">
        <v>335.8</v>
      </c>
      <c r="F100">
        <v>566.33000000000004</v>
      </c>
    </row>
    <row r="101" spans="1:6" x14ac:dyDescent="0.25">
      <c r="A101" t="s">
        <v>72</v>
      </c>
      <c r="B101">
        <v>12729.23</v>
      </c>
      <c r="C101">
        <v>12027.05</v>
      </c>
      <c r="D101">
        <v>19172.89</v>
      </c>
      <c r="E101">
        <v>30240.49</v>
      </c>
      <c r="F101">
        <v>31562.35</v>
      </c>
    </row>
    <row r="102" spans="1:6" x14ac:dyDescent="0.25">
      <c r="A102" t="s">
        <v>73</v>
      </c>
      <c r="B102">
        <v>120.15</v>
      </c>
      <c r="C102">
        <v>36.89</v>
      </c>
      <c r="D102">
        <v>107.6</v>
      </c>
      <c r="E102">
        <v>97.13</v>
      </c>
      <c r="F102">
        <v>198.75</v>
      </c>
    </row>
    <row r="103" spans="1:6" x14ac:dyDescent="0.25">
      <c r="A103" t="s">
        <v>74</v>
      </c>
      <c r="B103">
        <v>12849.38</v>
      </c>
      <c r="C103">
        <v>12063.94</v>
      </c>
      <c r="D103">
        <v>19280.490000000002</v>
      </c>
      <c r="E103">
        <v>30337.62</v>
      </c>
      <c r="F103">
        <v>31761.1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10967.9</v>
      </c>
      <c r="C105">
        <v>9168.17</v>
      </c>
      <c r="D105">
        <v>10358.040000000001</v>
      </c>
      <c r="E105">
        <v>12623.33</v>
      </c>
      <c r="F105">
        <v>13191.77</v>
      </c>
    </row>
    <row r="106" spans="1:6" x14ac:dyDescent="0.25">
      <c r="A106" t="s">
        <v>77</v>
      </c>
      <c r="B106">
        <v>356.33</v>
      </c>
      <c r="C106">
        <v>1518.61</v>
      </c>
      <c r="D106">
        <v>6391.05</v>
      </c>
      <c r="E106">
        <v>15132.91</v>
      </c>
      <c r="F106">
        <v>15519.93</v>
      </c>
    </row>
    <row r="107" spans="1:6" x14ac:dyDescent="0.25">
      <c r="A107" t="s">
        <v>111</v>
      </c>
      <c r="B107">
        <v>459.41</v>
      </c>
      <c r="C107">
        <v>431.16</v>
      </c>
      <c r="D107">
        <v>468.68</v>
      </c>
      <c r="E107">
        <v>661.49</v>
      </c>
      <c r="F107">
        <v>0</v>
      </c>
    </row>
    <row r="108" spans="1:6" x14ac:dyDescent="0.25">
      <c r="A108" t="s">
        <v>78</v>
      </c>
      <c r="B108">
        <v>77.83</v>
      </c>
      <c r="C108">
        <v>5.64</v>
      </c>
      <c r="D108">
        <v>398.23</v>
      </c>
      <c r="E108">
        <v>295.12</v>
      </c>
      <c r="F108">
        <v>250.83</v>
      </c>
    </row>
    <row r="109" spans="1:6" x14ac:dyDescent="0.25">
      <c r="A109" t="s">
        <v>79</v>
      </c>
      <c r="B109">
        <v>153.43</v>
      </c>
      <c r="C109">
        <v>159.94</v>
      </c>
      <c r="D109">
        <v>193.21</v>
      </c>
      <c r="E109">
        <v>224.45</v>
      </c>
      <c r="F109">
        <v>224.59</v>
      </c>
    </row>
    <row r="110" spans="1:6" x14ac:dyDescent="0.25">
      <c r="A110" t="s">
        <v>80</v>
      </c>
      <c r="B110">
        <v>142.19999999999999</v>
      </c>
      <c r="C110">
        <v>970.38</v>
      </c>
      <c r="D110">
        <v>960.59</v>
      </c>
      <c r="E110">
        <v>1361.17</v>
      </c>
      <c r="F110">
        <v>551.15</v>
      </c>
    </row>
    <row r="111" spans="1:6" x14ac:dyDescent="0.25">
      <c r="A111" t="s">
        <v>81</v>
      </c>
      <c r="B111">
        <v>54.9</v>
      </c>
      <c r="C111">
        <v>5195.3500000000004</v>
      </c>
      <c r="D111">
        <v>1315.4</v>
      </c>
      <c r="E111">
        <v>254.48</v>
      </c>
      <c r="F111">
        <v>0</v>
      </c>
    </row>
    <row r="112" spans="1:6" x14ac:dyDescent="0.25">
      <c r="A112" t="s">
        <v>82</v>
      </c>
      <c r="B112">
        <v>138.5</v>
      </c>
      <c r="C112">
        <v>142.79</v>
      </c>
      <c r="D112">
        <v>158.87</v>
      </c>
      <c r="E112">
        <v>166.68</v>
      </c>
      <c r="F112">
        <v>160.34</v>
      </c>
    </row>
    <row r="113" spans="1:6" x14ac:dyDescent="0.25">
      <c r="A113" t="s">
        <v>83</v>
      </c>
      <c r="B113">
        <v>586.83000000000004</v>
      </c>
      <c r="C113">
        <v>657.56</v>
      </c>
      <c r="D113">
        <v>805.65</v>
      </c>
      <c r="E113">
        <v>1007.08</v>
      </c>
      <c r="F113">
        <v>1812.33</v>
      </c>
    </row>
    <row r="114" spans="1:6" x14ac:dyDescent="0.25">
      <c r="A114" t="s">
        <v>84</v>
      </c>
      <c r="B114">
        <v>12937.33</v>
      </c>
      <c r="C114">
        <v>18249.599999999999</v>
      </c>
      <c r="D114">
        <v>21049.72</v>
      </c>
      <c r="E114">
        <v>31726.73</v>
      </c>
      <c r="F114">
        <v>31710.95</v>
      </c>
    </row>
    <row r="115" spans="1:6" x14ac:dyDescent="0.25">
      <c r="A115" t="s">
        <v>85</v>
      </c>
      <c r="B115">
        <v>-87.95</v>
      </c>
      <c r="C115">
        <v>-6185.66</v>
      </c>
      <c r="D115">
        <v>-1769.23</v>
      </c>
      <c r="E115">
        <v>-1389.11</v>
      </c>
      <c r="F115">
        <v>50.15</v>
      </c>
    </row>
    <row r="116" spans="1:6" x14ac:dyDescent="0.25">
      <c r="A116" t="s">
        <v>86</v>
      </c>
      <c r="B116">
        <v>0</v>
      </c>
      <c r="C116">
        <v>0</v>
      </c>
      <c r="D116">
        <v>33.28</v>
      </c>
      <c r="E116">
        <v>2.39</v>
      </c>
      <c r="F116">
        <v>52.31</v>
      </c>
    </row>
    <row r="117" spans="1:6" x14ac:dyDescent="0.25">
      <c r="A117" t="s">
        <v>87</v>
      </c>
      <c r="B117">
        <v>-87.95</v>
      </c>
      <c r="C117">
        <v>-6185.66</v>
      </c>
      <c r="D117">
        <v>-1735.95</v>
      </c>
      <c r="E117">
        <v>-1386.72</v>
      </c>
      <c r="F117">
        <v>102.47</v>
      </c>
    </row>
    <row r="118" spans="1:6" ht="24" customHeight="1" x14ac:dyDescent="0.25">
      <c r="A118" t="s">
        <v>88</v>
      </c>
    </row>
    <row r="119" spans="1:6" x14ac:dyDescent="0.25">
      <c r="A119" t="s">
        <v>89</v>
      </c>
      <c r="B119">
        <v>0.01</v>
      </c>
      <c r="C119">
        <v>-0.45</v>
      </c>
      <c r="D119">
        <v>0</v>
      </c>
      <c r="E119">
        <v>-0.44</v>
      </c>
      <c r="F119">
        <v>24.13</v>
      </c>
    </row>
    <row r="120" spans="1:6" x14ac:dyDescent="0.25">
      <c r="A120" t="s">
        <v>90</v>
      </c>
      <c r="B120">
        <v>0.01</v>
      </c>
      <c r="C120">
        <v>-445.34</v>
      </c>
      <c r="D120">
        <v>-342.27</v>
      </c>
      <c r="E120">
        <v>-78.98</v>
      </c>
      <c r="F120">
        <v>-2.99</v>
      </c>
    </row>
    <row r="121" spans="1:6" x14ac:dyDescent="0.25">
      <c r="A121" t="s">
        <v>112</v>
      </c>
      <c r="B121">
        <v>0</v>
      </c>
      <c r="C121">
        <v>8.4</v>
      </c>
      <c r="D121">
        <v>-31.9</v>
      </c>
      <c r="E121">
        <v>-0.74</v>
      </c>
      <c r="F121">
        <v>3.74</v>
      </c>
    </row>
    <row r="122" spans="1:6" x14ac:dyDescent="0.25">
      <c r="A122" t="s">
        <v>91</v>
      </c>
      <c r="B122">
        <v>0.03</v>
      </c>
      <c r="C122">
        <v>-437.39</v>
      </c>
      <c r="D122">
        <v>-374.17</v>
      </c>
      <c r="E122">
        <v>-80.16</v>
      </c>
      <c r="F122">
        <v>24.88</v>
      </c>
    </row>
    <row r="123" spans="1:6" x14ac:dyDescent="0.25">
      <c r="A123" t="s">
        <v>92</v>
      </c>
      <c r="B123">
        <v>-87.97</v>
      </c>
      <c r="C123">
        <v>-5748.27</v>
      </c>
      <c r="D123">
        <v>-1361.78</v>
      </c>
      <c r="E123">
        <v>-1306.56</v>
      </c>
      <c r="F123">
        <v>77.59</v>
      </c>
    </row>
    <row r="124" spans="1:6" x14ac:dyDescent="0.25">
      <c r="A124" t="s">
        <v>93</v>
      </c>
      <c r="B124">
        <v>-87.97</v>
      </c>
      <c r="C124">
        <v>-5748.27</v>
      </c>
      <c r="D124">
        <v>-1361.78</v>
      </c>
      <c r="E124">
        <v>-1306.56</v>
      </c>
      <c r="F124">
        <v>77.59</v>
      </c>
    </row>
    <row r="125" spans="1:6" x14ac:dyDescent="0.25">
      <c r="A125" t="s">
        <v>94</v>
      </c>
      <c r="B125">
        <v>-87.97</v>
      </c>
      <c r="C125">
        <v>-5748.27</v>
      </c>
      <c r="D125">
        <v>-1361.78</v>
      </c>
      <c r="E125">
        <v>-1306.56</v>
      </c>
      <c r="F125">
        <v>77.59</v>
      </c>
    </row>
    <row r="126" spans="1:6" x14ac:dyDescent="0.25">
      <c r="A126" t="s">
        <v>116</v>
      </c>
      <c r="B126">
        <v>77.75</v>
      </c>
      <c r="C126">
        <v>116.91</v>
      </c>
      <c r="D126">
        <v>50.88</v>
      </c>
      <c r="E126">
        <v>38.9</v>
      </c>
      <c r="F126">
        <v>7.11</v>
      </c>
    </row>
    <row r="127" spans="1:6" x14ac:dyDescent="0.25">
      <c r="A127" t="s">
        <v>130</v>
      </c>
      <c r="B127">
        <v>-7.0000000000000007E-2</v>
      </c>
      <c r="C127">
        <v>-6.33</v>
      </c>
      <c r="D127">
        <v>-0.78</v>
      </c>
      <c r="E127">
        <v>-5.94</v>
      </c>
      <c r="F127">
        <v>-4.67</v>
      </c>
    </row>
    <row r="128" spans="1:6" x14ac:dyDescent="0.25">
      <c r="A128" t="s">
        <v>113</v>
      </c>
      <c r="B128">
        <v>-10.29</v>
      </c>
      <c r="C128">
        <v>-5637.7</v>
      </c>
      <c r="D128">
        <v>-1311.68</v>
      </c>
      <c r="E128">
        <v>-1273.5999999999999</v>
      </c>
      <c r="F128">
        <v>80.03</v>
      </c>
    </row>
    <row r="129" spans="1:6" ht="24" customHeight="1" x14ac:dyDescent="0.25">
      <c r="A129" t="s">
        <v>45</v>
      </c>
    </row>
    <row r="130" spans="1:6" ht="24" customHeight="1" x14ac:dyDescent="0.25">
      <c r="A130" t="s">
        <v>95</v>
      </c>
    </row>
    <row r="131" spans="1:6" x14ac:dyDescent="0.25">
      <c r="A131" t="s">
        <v>96</v>
      </c>
      <c r="B131">
        <v>0</v>
      </c>
      <c r="C131">
        <v>-173</v>
      </c>
      <c r="D131">
        <v>-46</v>
      </c>
      <c r="E131">
        <v>-39</v>
      </c>
      <c r="F131">
        <v>2</v>
      </c>
    </row>
    <row r="132" spans="1:6" x14ac:dyDescent="0.25">
      <c r="A132" t="s">
        <v>97</v>
      </c>
      <c r="B132">
        <v>0</v>
      </c>
      <c r="C132">
        <v>-173</v>
      </c>
      <c r="D132">
        <v>-46</v>
      </c>
      <c r="E132">
        <v>-39</v>
      </c>
      <c r="F132">
        <v>2</v>
      </c>
    </row>
    <row r="133" spans="1:6" x14ac:dyDescent="0.25">
      <c r="A133" t="s">
        <v>142</v>
      </c>
      <c r="B133">
        <v>0</v>
      </c>
      <c r="C133">
        <v>0</v>
      </c>
      <c r="D133">
        <v>0</v>
      </c>
      <c r="E133">
        <v>10460.57</v>
      </c>
      <c r="F133">
        <v>7777.94</v>
      </c>
    </row>
    <row r="134" spans="1:6" x14ac:dyDescent="0.25">
      <c r="A134" t="s">
        <v>143</v>
      </c>
      <c r="B134">
        <v>0</v>
      </c>
      <c r="C134">
        <v>0</v>
      </c>
      <c r="D134">
        <v>0</v>
      </c>
      <c r="E134">
        <v>1551.24</v>
      </c>
      <c r="F134">
        <v>4751.8900000000003</v>
      </c>
    </row>
    <row r="135" spans="1:6" x14ac:dyDescent="0.25">
      <c r="A135" t="s">
        <v>144</v>
      </c>
      <c r="B135">
        <v>0</v>
      </c>
      <c r="C135">
        <v>0</v>
      </c>
      <c r="D135">
        <v>0</v>
      </c>
      <c r="E135">
        <v>2.42</v>
      </c>
      <c r="F135">
        <v>2.98</v>
      </c>
    </row>
    <row r="136" spans="1:6" x14ac:dyDescent="0.25">
      <c r="A136" t="s">
        <v>145</v>
      </c>
      <c r="B136">
        <v>0</v>
      </c>
      <c r="C136">
        <v>0</v>
      </c>
      <c r="D136">
        <v>0</v>
      </c>
      <c r="E136">
        <v>77.05</v>
      </c>
      <c r="F136">
        <v>93.04</v>
      </c>
    </row>
    <row r="137" spans="1:6" ht="36" customHeight="1" x14ac:dyDescent="0.25">
      <c r="A137" t="s">
        <v>100</v>
      </c>
    </row>
    <row r="138" spans="1:6" x14ac:dyDescent="0.25">
      <c r="A138" t="s">
        <v>101</v>
      </c>
      <c r="B138">
        <v>0</v>
      </c>
      <c r="C138">
        <v>0</v>
      </c>
      <c r="D138">
        <v>0</v>
      </c>
      <c r="E138">
        <v>0</v>
      </c>
      <c r="F138">
        <v>5.35</v>
      </c>
    </row>
    <row r="139" spans="1:6" x14ac:dyDescent="0.25">
      <c r="A139" t="s">
        <v>146</v>
      </c>
      <c r="B139">
        <v>0</v>
      </c>
      <c r="C139">
        <v>0</v>
      </c>
      <c r="D139">
        <v>0</v>
      </c>
      <c r="E139">
        <v>0</v>
      </c>
      <c r="F139">
        <v>0.12</v>
      </c>
    </row>
    <row r="140" spans="1:6" x14ac:dyDescent="0.25">
      <c r="A140" t="s">
        <v>102</v>
      </c>
      <c r="B140">
        <v>0</v>
      </c>
      <c r="C140">
        <v>0</v>
      </c>
      <c r="D140">
        <v>0</v>
      </c>
      <c r="E140">
        <v>0</v>
      </c>
      <c r="F140">
        <v>1.1100000000000001</v>
      </c>
    </row>
    <row r="144" spans="1:6" ht="15" customHeight="1" x14ac:dyDescent="0.25">
      <c r="A144" t="s">
        <v>65</v>
      </c>
    </row>
  </sheetData>
  <hyperlinks>
    <hyperlink ref="B1" r:id="rId1" display="javascript:void(0);" xr:uid="{80F74D74-D667-4BA7-88B3-A48D03993525}"/>
    <hyperlink ref="B90" r:id="rId2" display="javascript:void(0);" xr:uid="{6014E6AE-E26D-4CE4-A118-6AA5999A7E29}"/>
  </hyperlinks>
  <pageMargins left="0.7" right="0.7" top="0.75" bottom="0.75" header="0.3" footer="0.3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4BE5E-4EDB-4602-8DE5-1E8AF2A63206}">
  <sheetPr codeName="Sheet19"/>
  <dimension ref="A1:M136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147</v>
      </c>
      <c r="B1" t="s">
        <v>1</v>
      </c>
      <c r="H1" t="str">
        <f>A1</f>
        <v>Varun Beverages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433.03</v>
      </c>
      <c r="J4">
        <f>VLOOKUP(H4,$A$1:F$161,J$2,0)</f>
        <v>288.69</v>
      </c>
      <c r="K4">
        <f>VLOOKUP(H4,$A$1:F$161,K$2,0)</f>
        <v>288.69</v>
      </c>
      <c r="L4">
        <f>VLOOKUP(H4,$A$1:F$161,L$2,0)</f>
        <v>182.64</v>
      </c>
      <c r="M4">
        <f>VLOOKUP(H4,$A$1:F$161,M$2,0)</f>
        <v>182.59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433.03</v>
      </c>
      <c r="J5">
        <f>VLOOKUP(H5,$A$1:F$161,J$2,0)</f>
        <v>288.69</v>
      </c>
      <c r="K5">
        <f>VLOOKUP(H5,$A$1:F$161,K$2,0)</f>
        <v>288.69</v>
      </c>
      <c r="L5">
        <f>VLOOKUP(H5,$A$1:F$161,L$2,0)</f>
        <v>182.64</v>
      </c>
      <c r="M5">
        <f>VLOOKUP(H5,$A$1:F$161,M$2,0)</f>
        <v>182.59</v>
      </c>
    </row>
    <row r="6" spans="1:13" x14ac:dyDescent="0.25">
      <c r="H6" t="s">
        <v>10</v>
      </c>
      <c r="I6">
        <f>VLOOKUP(H6,$A$1:F$161,I$2,0)</f>
        <v>3646.88</v>
      </c>
      <c r="J6">
        <f>VLOOKUP(H6,$A$1:F$161,J$2,0)</f>
        <v>3235.31</v>
      </c>
      <c r="K6">
        <f>VLOOKUP(H6,$A$1:F$161,K$2,0)</f>
        <v>3039.73</v>
      </c>
      <c r="L6">
        <f>VLOOKUP(H6,$A$1:F$161,L$2,0)</f>
        <v>1815.82</v>
      </c>
      <c r="M6">
        <f>VLOOKUP(H6,$A$1:F$161,M$2,0)</f>
        <v>1586.6</v>
      </c>
    </row>
    <row r="7" spans="1:13" ht="24" customHeight="1" x14ac:dyDescent="0.25">
      <c r="A7" t="s">
        <v>6</v>
      </c>
      <c r="H7" t="s">
        <v>11</v>
      </c>
      <c r="I7">
        <f>VLOOKUP(H7,$A$1:F$161,I$2,0)</f>
        <v>3646.88</v>
      </c>
      <c r="J7">
        <f>VLOOKUP(H7,$A$1:F$161,J$2,0)</f>
        <v>3235.31</v>
      </c>
      <c r="K7">
        <f>VLOOKUP(H7,$A$1:F$161,K$2,0)</f>
        <v>3039.73</v>
      </c>
      <c r="L7">
        <f>VLOOKUP(H7,$A$1:F$161,L$2,0)</f>
        <v>1815.82</v>
      </c>
      <c r="M7">
        <f>VLOOKUP(H7,$A$1:F$161,M$2,0)</f>
        <v>1586.6</v>
      </c>
    </row>
    <row r="8" spans="1:13" ht="24" customHeight="1" x14ac:dyDescent="0.25">
      <c r="A8" t="s">
        <v>7</v>
      </c>
      <c r="H8" t="s">
        <v>12</v>
      </c>
      <c r="I8">
        <f>VLOOKUP(H8,$A$1:F$161,I$2,0)</f>
        <v>4079.91</v>
      </c>
      <c r="J8">
        <f>VLOOKUP(H8,$A$1:F$161,J$2,0)</f>
        <v>3524</v>
      </c>
      <c r="K8">
        <f>VLOOKUP(H8,$A$1:F$161,K$2,0)</f>
        <v>3328.42</v>
      </c>
      <c r="L8">
        <f>VLOOKUP(H8,$A$1:F$161,L$2,0)</f>
        <v>1998.5</v>
      </c>
      <c r="M8">
        <f>VLOOKUP(H8,$A$1:F$161,M$2,0)</f>
        <v>1769.32</v>
      </c>
    </row>
    <row r="9" spans="1:13" x14ac:dyDescent="0.25">
      <c r="A9" t="s">
        <v>8</v>
      </c>
      <c r="B9">
        <v>433.03</v>
      </c>
      <c r="C9">
        <v>288.69</v>
      </c>
      <c r="D9">
        <v>288.69</v>
      </c>
      <c r="E9">
        <v>182.64</v>
      </c>
      <c r="F9">
        <v>182.59</v>
      </c>
      <c r="H9" t="s">
        <v>14</v>
      </c>
      <c r="I9">
        <f>VLOOKUP(H9,$A$1:F$161,I$2,0)</f>
        <v>1813.33</v>
      </c>
      <c r="J9">
        <f>VLOOKUP(H9,$A$1:F$161,J$2,0)</f>
        <v>1979.62</v>
      </c>
      <c r="K9">
        <f>VLOOKUP(H9,$A$1:F$161,K$2,0)</f>
        <v>2355.38</v>
      </c>
      <c r="L9">
        <f>VLOOKUP(H9,$A$1:F$161,L$2,0)</f>
        <v>1980.07</v>
      </c>
      <c r="M9">
        <f>VLOOKUP(H9,$A$1:F$161,M$2,0)</f>
        <v>1691.37</v>
      </c>
    </row>
    <row r="10" spans="1:13" x14ac:dyDescent="0.25">
      <c r="A10" t="s">
        <v>9</v>
      </c>
      <c r="B10">
        <v>433.03</v>
      </c>
      <c r="C10">
        <v>288.69</v>
      </c>
      <c r="D10">
        <v>288.69</v>
      </c>
      <c r="E10">
        <v>182.64</v>
      </c>
      <c r="F10">
        <v>182.59</v>
      </c>
      <c r="H10" t="s">
        <v>16</v>
      </c>
      <c r="I10">
        <f>VLOOKUP(H10,$A$1:F$161,I$2,0)</f>
        <v>31.94</v>
      </c>
      <c r="J10">
        <f>VLOOKUP(H10,$A$1:F$161,J$2,0)</f>
        <v>25.17</v>
      </c>
      <c r="K10">
        <f>VLOOKUP(H10,$A$1:F$161,K$2,0)</f>
        <v>0.82</v>
      </c>
      <c r="L10">
        <f>VLOOKUP(H10,$A$1:F$161,L$2,0)</f>
        <v>6.78</v>
      </c>
      <c r="M10">
        <f>VLOOKUP(H10,$A$1:F$161,M$2,0)</f>
        <v>11.98</v>
      </c>
    </row>
    <row r="11" spans="1:13" x14ac:dyDescent="0.25">
      <c r="A11" t="s">
        <v>10</v>
      </c>
      <c r="B11">
        <v>3646.88</v>
      </c>
      <c r="C11">
        <v>3235.31</v>
      </c>
      <c r="D11">
        <v>3039.73</v>
      </c>
      <c r="E11">
        <v>1815.82</v>
      </c>
      <c r="F11">
        <v>1586.6</v>
      </c>
      <c r="H11" t="s">
        <v>17</v>
      </c>
      <c r="I11">
        <f>VLOOKUP(H11,$A$1:F$161,I$2,0)</f>
        <v>208.54</v>
      </c>
      <c r="J11">
        <f>VLOOKUP(H11,$A$1:F$161,J$2,0)</f>
        <v>203.91</v>
      </c>
      <c r="K11">
        <f>VLOOKUP(H11,$A$1:F$161,K$2,0)</f>
        <v>170.34</v>
      </c>
      <c r="L11">
        <f>VLOOKUP(H11,$A$1:F$161,L$2,0)</f>
        <v>105.26</v>
      </c>
      <c r="M11">
        <f>VLOOKUP(H11,$A$1:F$161,M$2,0)</f>
        <v>73.260000000000005</v>
      </c>
    </row>
    <row r="12" spans="1:13" x14ac:dyDescent="0.25">
      <c r="A12" t="s">
        <v>11</v>
      </c>
      <c r="B12">
        <v>3646.88</v>
      </c>
      <c r="C12">
        <v>3235.31</v>
      </c>
      <c r="D12">
        <v>3039.73</v>
      </c>
      <c r="E12">
        <v>1815.82</v>
      </c>
      <c r="F12">
        <v>1586.6</v>
      </c>
      <c r="H12" t="s">
        <v>18</v>
      </c>
      <c r="I12">
        <f>VLOOKUP(H12,$A$1:F$161,I$2,0)</f>
        <v>2364.9499999999998</v>
      </c>
      <c r="J12">
        <f>VLOOKUP(H12,$A$1:F$161,J$2,0)</f>
        <v>2434.64</v>
      </c>
      <c r="K12">
        <f>VLOOKUP(H12,$A$1:F$161,K$2,0)</f>
        <v>2809.04</v>
      </c>
      <c r="L12">
        <f>VLOOKUP(H12,$A$1:F$161,L$2,0)</f>
        <v>2284.27</v>
      </c>
      <c r="M12">
        <f>VLOOKUP(H12,$A$1:F$161,M$2,0)</f>
        <v>1926.76</v>
      </c>
    </row>
    <row r="13" spans="1:13" x14ac:dyDescent="0.25">
      <c r="A13" t="s">
        <v>118</v>
      </c>
      <c r="B13">
        <v>0</v>
      </c>
      <c r="C13">
        <v>0</v>
      </c>
      <c r="D13">
        <v>0</v>
      </c>
      <c r="E13">
        <v>0.04</v>
      </c>
      <c r="F13">
        <v>0.13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4079.91</v>
      </c>
      <c r="C14">
        <v>3524</v>
      </c>
      <c r="D14">
        <v>3328.42</v>
      </c>
      <c r="E14">
        <v>1998.5</v>
      </c>
      <c r="F14">
        <v>1769.32</v>
      </c>
      <c r="H14" t="s">
        <v>21</v>
      </c>
      <c r="I14">
        <f>VLOOKUP(H14,$A$1:F$161,I$2,0)</f>
        <v>711.75</v>
      </c>
      <c r="J14">
        <f>VLOOKUP(H14,$A$1:F$161,J$2,0)</f>
        <v>511.39</v>
      </c>
      <c r="K14">
        <f>VLOOKUP(H14,$A$1:F$161,K$2,0)</f>
        <v>477.66</v>
      </c>
      <c r="L14">
        <f>VLOOKUP(H14,$A$1:F$161,L$2,0)</f>
        <v>316.8</v>
      </c>
      <c r="M14">
        <f>VLOOKUP(H14,$A$1:F$161,M$2,0)</f>
        <v>190.95</v>
      </c>
    </row>
    <row r="15" spans="1:13" x14ac:dyDescent="0.25">
      <c r="A15" t="s">
        <v>119</v>
      </c>
      <c r="B15">
        <v>0</v>
      </c>
      <c r="C15">
        <v>0</v>
      </c>
      <c r="D15">
        <v>0</v>
      </c>
      <c r="E15">
        <v>0</v>
      </c>
      <c r="F15">
        <v>0.11</v>
      </c>
      <c r="H15" t="s">
        <v>22</v>
      </c>
      <c r="I15">
        <f>VLOOKUP(H15,$A$1:F$161,I$2,0)</f>
        <v>1630.26</v>
      </c>
      <c r="J15">
        <f>VLOOKUP(H15,$A$1:F$161,J$2,0)</f>
        <v>1176.54</v>
      </c>
      <c r="K15">
        <f>VLOOKUP(H15,$A$1:F$161,K$2,0)</f>
        <v>1245.5</v>
      </c>
      <c r="L15">
        <f>VLOOKUP(H15,$A$1:F$161,L$2,0)</f>
        <v>1030.4000000000001</v>
      </c>
      <c r="M15">
        <f>VLOOKUP(H15,$A$1:F$161,M$2,0)</f>
        <v>1027.79</v>
      </c>
    </row>
    <row r="16" spans="1:13" x14ac:dyDescent="0.25">
      <c r="A16" t="s">
        <v>116</v>
      </c>
      <c r="B16">
        <v>116.79</v>
      </c>
      <c r="C16">
        <v>64.790000000000006</v>
      </c>
      <c r="D16">
        <v>30.68</v>
      </c>
      <c r="E16">
        <v>7.77</v>
      </c>
      <c r="F16">
        <v>-1.43</v>
      </c>
      <c r="H16" t="s">
        <v>23</v>
      </c>
      <c r="I16">
        <f>VLOOKUP(H16,$A$1:F$161,I$2,0)</f>
        <v>49.74</v>
      </c>
      <c r="J16">
        <f>VLOOKUP(H16,$A$1:F$161,J$2,0)</f>
        <v>33.17</v>
      </c>
      <c r="K16">
        <f>VLOOKUP(H16,$A$1:F$161,K$2,0)</f>
        <v>29.98</v>
      </c>
      <c r="L16">
        <f>VLOOKUP(H16,$A$1:F$161,L$2,0)</f>
        <v>16.02</v>
      </c>
      <c r="M16">
        <f>VLOOKUP(H16,$A$1:F$161,M$2,0)</f>
        <v>16.75</v>
      </c>
    </row>
    <row r="17" spans="1:13" ht="24" customHeight="1" x14ac:dyDescent="0.25">
      <c r="A17" t="s">
        <v>13</v>
      </c>
      <c r="H17" t="s">
        <v>24</v>
      </c>
      <c r="I17">
        <f>VLOOKUP(H17,$A$1:F$161,I$2,0)</f>
        <v>3020.25</v>
      </c>
      <c r="J17">
        <f>VLOOKUP(H17,$A$1:F$161,J$2,0)</f>
        <v>2434.9499999999998</v>
      </c>
      <c r="K17">
        <f>VLOOKUP(H17,$A$1:F$161,K$2,0)</f>
        <v>2220.29</v>
      </c>
      <c r="L17">
        <f>VLOOKUP(H17,$A$1:F$161,L$2,0)</f>
        <v>1740.87</v>
      </c>
      <c r="M17">
        <f>VLOOKUP(H17,$A$1:F$161,M$2,0)</f>
        <v>1588.85</v>
      </c>
    </row>
    <row r="18" spans="1:13" x14ac:dyDescent="0.25">
      <c r="A18" t="s">
        <v>14</v>
      </c>
      <c r="B18">
        <v>1813.33</v>
      </c>
      <c r="C18">
        <v>1979.62</v>
      </c>
      <c r="D18">
        <v>2355.38</v>
      </c>
      <c r="E18">
        <v>1980.07</v>
      </c>
      <c r="F18">
        <v>1691.37</v>
      </c>
      <c r="H18" t="s">
        <v>25</v>
      </c>
      <c r="I18">
        <f>VLOOKUP(H18,$A$1:F$161,I$2,0)</f>
        <v>9581.89</v>
      </c>
      <c r="J18">
        <f>VLOOKUP(H18,$A$1:F$161,J$2,0)</f>
        <v>8458.3799999999992</v>
      </c>
      <c r="K18">
        <f>VLOOKUP(H18,$A$1:F$161,K$2,0)</f>
        <v>8388.43</v>
      </c>
      <c r="L18">
        <f>VLOOKUP(H18,$A$1:F$161,L$2,0)</f>
        <v>6031.41</v>
      </c>
      <c r="M18">
        <f>VLOOKUP(H18,$A$1:F$161,M$2,0)</f>
        <v>5283.61</v>
      </c>
    </row>
    <row r="19" spans="1:13" x14ac:dyDescent="0.25">
      <c r="A19" t="s">
        <v>15</v>
      </c>
      <c r="B19">
        <v>311.14</v>
      </c>
      <c r="C19">
        <v>225.94</v>
      </c>
      <c r="D19">
        <v>282.51</v>
      </c>
      <c r="E19">
        <v>192.17</v>
      </c>
      <c r="F19">
        <v>150.15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16</v>
      </c>
      <c r="B20">
        <v>31.94</v>
      </c>
      <c r="C20">
        <v>25.17</v>
      </c>
      <c r="D20">
        <v>0.82</v>
      </c>
      <c r="E20">
        <v>6.78</v>
      </c>
      <c r="F20">
        <v>11.98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17</v>
      </c>
      <c r="B21">
        <v>208.54</v>
      </c>
      <c r="C21">
        <v>203.91</v>
      </c>
      <c r="D21">
        <v>170.34</v>
      </c>
      <c r="E21">
        <v>105.26</v>
      </c>
      <c r="F21">
        <v>73.260000000000005</v>
      </c>
      <c r="H21" t="s">
        <v>28</v>
      </c>
      <c r="I21">
        <f>VLOOKUP(H21,$A$1:F$161,I$2,0)</f>
        <v>5727.97</v>
      </c>
      <c r="J21">
        <f>VLOOKUP(H21,$A$1:F$161,J$2,0)</f>
        <v>5827.19</v>
      </c>
      <c r="K21">
        <f>VLOOKUP(H21,$A$1:F$161,K$2,0)</f>
        <v>5892.5</v>
      </c>
      <c r="L21">
        <f>VLOOKUP(H21,$A$1:F$161,L$2,0)</f>
        <v>3860.18</v>
      </c>
      <c r="M21">
        <f>VLOOKUP(H21,$A$1:F$161,M$2,0)</f>
        <v>3541.17</v>
      </c>
    </row>
    <row r="22" spans="1:13" x14ac:dyDescent="0.25">
      <c r="A22" t="s">
        <v>18</v>
      </c>
      <c r="B22">
        <v>2364.9499999999998</v>
      </c>
      <c r="C22">
        <v>2434.64</v>
      </c>
      <c r="D22">
        <v>2809.04</v>
      </c>
      <c r="E22">
        <v>2284.27</v>
      </c>
      <c r="F22">
        <v>1926.76</v>
      </c>
      <c r="H22" t="s">
        <v>29</v>
      </c>
      <c r="I22">
        <f>VLOOKUP(H22,$A$1:F$161,I$2,0)</f>
        <v>496.61</v>
      </c>
      <c r="J22">
        <f>VLOOKUP(H22,$A$1:F$161,J$2,0)</f>
        <v>66.819999999999993</v>
      </c>
      <c r="K22">
        <f>VLOOKUP(H22,$A$1:F$161,K$2,0)</f>
        <v>63.82</v>
      </c>
      <c r="L22">
        <f>VLOOKUP(H22,$A$1:F$161,L$2,0)</f>
        <v>352.36</v>
      </c>
      <c r="M22">
        <f>VLOOKUP(H22,$A$1:F$161,M$2,0)</f>
        <v>145.44</v>
      </c>
    </row>
    <row r="23" spans="1:13" ht="15" customHeight="1" x14ac:dyDescent="0.25">
      <c r="A23" t="s">
        <v>19</v>
      </c>
      <c r="H23" t="s">
        <v>30</v>
      </c>
      <c r="I23">
        <f>VLOOKUP(H23,$A$1:F$161,I$2,0)</f>
        <v>6783.15</v>
      </c>
      <c r="J23">
        <f>VLOOKUP(H23,$A$1:F$161,J$2,0)</f>
        <v>6451.2</v>
      </c>
      <c r="K23">
        <f>VLOOKUP(H23,$A$1:F$161,K$2,0)</f>
        <v>6518.64</v>
      </c>
      <c r="L23">
        <f>VLOOKUP(H23,$A$1:F$161,L$2,0)</f>
        <v>4737.3900000000003</v>
      </c>
      <c r="M23">
        <f>VLOOKUP(H23,$A$1:F$161,M$2,0)</f>
        <v>4124.0200000000004</v>
      </c>
    </row>
    <row r="24" spans="1:13" x14ac:dyDescent="0.25">
      <c r="A24" t="s">
        <v>20</v>
      </c>
      <c r="B24">
        <v>628.49</v>
      </c>
      <c r="C24">
        <v>713.86</v>
      </c>
      <c r="D24">
        <v>467.15</v>
      </c>
      <c r="E24">
        <v>377.66</v>
      </c>
      <c r="F24">
        <v>353.37</v>
      </c>
      <c r="H24" t="s">
        <v>32</v>
      </c>
      <c r="I24">
        <f>VLOOKUP(H24,$A$1:F$161,I$2,0)</f>
        <v>2.41</v>
      </c>
      <c r="J24">
        <f>VLOOKUP(H24,$A$1:F$161,J$2,0)</f>
        <v>11.02</v>
      </c>
      <c r="K24">
        <f>VLOOKUP(H24,$A$1:F$161,K$2,0)</f>
        <v>12.85</v>
      </c>
      <c r="L24">
        <f>VLOOKUP(H24,$A$1:F$161,L$2,0)</f>
        <v>33.4</v>
      </c>
      <c r="M24">
        <f>VLOOKUP(H24,$A$1:F$161,M$2,0)</f>
        <v>8</v>
      </c>
    </row>
    <row r="25" spans="1:13" x14ac:dyDescent="0.25">
      <c r="A25" t="s">
        <v>21</v>
      </c>
      <c r="B25">
        <v>711.75</v>
      </c>
      <c r="C25">
        <v>511.39</v>
      </c>
      <c r="D25">
        <v>477.66</v>
      </c>
      <c r="E25">
        <v>316.8</v>
      </c>
      <c r="F25">
        <v>190.95</v>
      </c>
      <c r="H25" t="s">
        <v>33</v>
      </c>
      <c r="I25">
        <f>VLOOKUP(H25,$A$1:F$161,I$2,0)</f>
        <v>41.26</v>
      </c>
      <c r="J25">
        <f>VLOOKUP(H25,$A$1:F$161,J$2,0)</f>
        <v>41.79</v>
      </c>
      <c r="K25">
        <f>VLOOKUP(H25,$A$1:F$161,K$2,0)</f>
        <v>44.55</v>
      </c>
      <c r="L25">
        <f>VLOOKUP(H25,$A$1:F$161,L$2,0)</f>
        <v>20.09</v>
      </c>
      <c r="M25">
        <f>VLOOKUP(H25,$A$1:F$161,M$2,0)</f>
        <v>19.32</v>
      </c>
    </row>
    <row r="26" spans="1:13" x14ac:dyDescent="0.25">
      <c r="A26" t="s">
        <v>22</v>
      </c>
      <c r="B26">
        <v>1630.26</v>
      </c>
      <c r="C26">
        <v>1176.54</v>
      </c>
      <c r="D26">
        <v>1245.5</v>
      </c>
      <c r="E26">
        <v>1030.4000000000001</v>
      </c>
      <c r="F26">
        <v>1027.79</v>
      </c>
      <c r="H26" t="s">
        <v>34</v>
      </c>
      <c r="I26">
        <f>VLOOKUP(H26,$A$1:F$161,I$2,0)</f>
        <v>184.73</v>
      </c>
      <c r="J26">
        <f>VLOOKUP(H26,$A$1:F$161,J$2,0)</f>
        <v>130.47</v>
      </c>
      <c r="K26">
        <f>VLOOKUP(H26,$A$1:F$161,K$2,0)</f>
        <v>116.29</v>
      </c>
      <c r="L26">
        <f>VLOOKUP(H26,$A$1:F$161,L$2,0)</f>
        <v>86.59</v>
      </c>
      <c r="M26">
        <f>VLOOKUP(H26,$A$1:F$161,M$2,0)</f>
        <v>153.47999999999999</v>
      </c>
    </row>
    <row r="27" spans="1:13" x14ac:dyDescent="0.25">
      <c r="A27" t="s">
        <v>23</v>
      </c>
      <c r="B27">
        <v>49.74</v>
      </c>
      <c r="C27">
        <v>33.17</v>
      </c>
      <c r="D27">
        <v>29.98</v>
      </c>
      <c r="E27">
        <v>16.02</v>
      </c>
      <c r="F27">
        <v>16.75</v>
      </c>
      <c r="H27" t="s">
        <v>35</v>
      </c>
      <c r="I27">
        <f>VLOOKUP(H27,$A$1:F$161,I$2,0)</f>
        <v>7035.78</v>
      </c>
      <c r="J27">
        <f>VLOOKUP(H27,$A$1:F$161,J$2,0)</f>
        <v>6658.71</v>
      </c>
      <c r="K27">
        <f>VLOOKUP(H27,$A$1:F$161,K$2,0)</f>
        <v>6716.55</v>
      </c>
      <c r="L27">
        <f>VLOOKUP(H27,$A$1:F$161,L$2,0)</f>
        <v>4890.66</v>
      </c>
      <c r="M27">
        <f>VLOOKUP(H27,$A$1:F$161,M$2,0)</f>
        <v>4314.99</v>
      </c>
    </row>
    <row r="28" spans="1:13" x14ac:dyDescent="0.25">
      <c r="A28" t="s">
        <v>24</v>
      </c>
      <c r="B28">
        <v>3020.25</v>
      </c>
      <c r="C28">
        <v>2434.9499999999998</v>
      </c>
      <c r="D28">
        <v>2220.29</v>
      </c>
      <c r="E28">
        <v>1740.87</v>
      </c>
      <c r="F28">
        <v>1588.85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25</v>
      </c>
      <c r="B29">
        <v>9581.89</v>
      </c>
      <c r="C29">
        <v>8458.3799999999992</v>
      </c>
      <c r="D29">
        <v>8388.43</v>
      </c>
      <c r="E29">
        <v>6031.41</v>
      </c>
      <c r="F29">
        <v>5283.61</v>
      </c>
      <c r="H29" t="s">
        <v>38</v>
      </c>
      <c r="I29">
        <f>VLOOKUP(H29,$A$1:F$161,I$2,0)</f>
        <v>1448.09</v>
      </c>
      <c r="J29">
        <f>VLOOKUP(H29,$A$1:F$161,J$2,0)</f>
        <v>928.8</v>
      </c>
      <c r="K29">
        <f>VLOOKUP(H29,$A$1:F$161,K$2,0)</f>
        <v>881.51</v>
      </c>
      <c r="L29">
        <f>VLOOKUP(H29,$A$1:F$161,L$2,0)</f>
        <v>578.4</v>
      </c>
      <c r="M29">
        <f>VLOOKUP(H29,$A$1:F$161,M$2,0)</f>
        <v>438.89</v>
      </c>
    </row>
    <row r="30" spans="1:13" x14ac:dyDescent="0.25">
      <c r="A30" t="s">
        <v>26</v>
      </c>
      <c r="H30" t="s">
        <v>39</v>
      </c>
      <c r="I30">
        <f>VLOOKUP(H30,$A$1:F$161,I$2,0)</f>
        <v>221.25</v>
      </c>
      <c r="J30">
        <f>VLOOKUP(H30,$A$1:F$161,J$2,0)</f>
        <v>241.8</v>
      </c>
      <c r="K30">
        <f>VLOOKUP(H30,$A$1:F$161,K$2,0)</f>
        <v>172.56</v>
      </c>
      <c r="L30">
        <f>VLOOKUP(H30,$A$1:F$161,L$2,0)</f>
        <v>128.03</v>
      </c>
      <c r="M30">
        <f>VLOOKUP(H30,$A$1:F$161,M$2,0)</f>
        <v>150.25</v>
      </c>
    </row>
    <row r="31" spans="1:13" ht="24" customHeight="1" x14ac:dyDescent="0.25">
      <c r="A31" t="s">
        <v>27</v>
      </c>
      <c r="H31" t="s">
        <v>40</v>
      </c>
      <c r="I31">
        <f>VLOOKUP(H31,$A$1:F$161,I$2,0)</f>
        <v>336.62</v>
      </c>
      <c r="J31">
        <f>VLOOKUP(H31,$A$1:F$161,J$2,0)</f>
        <v>190.05</v>
      </c>
      <c r="K31">
        <f>VLOOKUP(H31,$A$1:F$161,K$2,0)</f>
        <v>171.08</v>
      </c>
      <c r="L31">
        <f>VLOOKUP(H31,$A$1:F$161,L$2,0)</f>
        <v>93.48</v>
      </c>
      <c r="M31">
        <f>VLOOKUP(H31,$A$1:F$161,M$2,0)</f>
        <v>94.46</v>
      </c>
    </row>
    <row r="32" spans="1:13" x14ac:dyDescent="0.25">
      <c r="A32" t="s">
        <v>28</v>
      </c>
      <c r="B32">
        <v>5727.97</v>
      </c>
      <c r="C32">
        <v>5827.19</v>
      </c>
      <c r="D32">
        <v>5892.5</v>
      </c>
      <c r="E32">
        <v>3860.18</v>
      </c>
      <c r="F32">
        <v>3541.17</v>
      </c>
      <c r="H32" t="s">
        <v>41</v>
      </c>
      <c r="I32">
        <f>VLOOKUP(H32,$A$1:F$161,I$2,0)</f>
        <v>9.4499999999999993</v>
      </c>
      <c r="J32">
        <f>VLOOKUP(H32,$A$1:F$161,J$2,0)</f>
        <v>10.02</v>
      </c>
      <c r="K32">
        <f>VLOOKUP(H32,$A$1:F$161,K$2,0)</f>
        <v>6.94</v>
      </c>
      <c r="L32">
        <f>VLOOKUP(H32,$A$1:F$161,L$2,0)</f>
        <v>1.55</v>
      </c>
      <c r="M32">
        <f>VLOOKUP(H32,$A$1:F$161,M$2,0)</f>
        <v>0.03</v>
      </c>
    </row>
    <row r="33" spans="1:13" x14ac:dyDescent="0.25">
      <c r="A33" t="s">
        <v>106</v>
      </c>
      <c r="B33">
        <v>558.57000000000005</v>
      </c>
      <c r="C33">
        <v>557.20000000000005</v>
      </c>
      <c r="D33">
        <v>562.30999999999995</v>
      </c>
      <c r="E33">
        <v>524.86</v>
      </c>
      <c r="F33">
        <v>437.42</v>
      </c>
      <c r="H33" t="s">
        <v>42</v>
      </c>
      <c r="I33">
        <f>VLOOKUP(H33,$A$1:F$161,I$2,0)</f>
        <v>530.70000000000005</v>
      </c>
      <c r="J33">
        <f>VLOOKUP(H33,$A$1:F$161,J$2,0)</f>
        <v>429.01</v>
      </c>
      <c r="K33">
        <f>VLOOKUP(H33,$A$1:F$161,K$2,0)</f>
        <v>439.8</v>
      </c>
      <c r="L33">
        <f>VLOOKUP(H33,$A$1:F$161,L$2,0)</f>
        <v>339.29</v>
      </c>
      <c r="M33">
        <f>VLOOKUP(H33,$A$1:F$161,M$2,0)</f>
        <v>285</v>
      </c>
    </row>
    <row r="34" spans="1:13" x14ac:dyDescent="0.25">
      <c r="A34" t="s">
        <v>29</v>
      </c>
      <c r="B34">
        <v>496.61</v>
      </c>
      <c r="C34">
        <v>66.819999999999993</v>
      </c>
      <c r="D34">
        <v>63.82</v>
      </c>
      <c r="E34">
        <v>352.36</v>
      </c>
      <c r="F34">
        <v>145.44</v>
      </c>
      <c r="H34" t="s">
        <v>43</v>
      </c>
      <c r="I34">
        <f>VLOOKUP(H34,$A$1:F$161,I$2,0)</f>
        <v>2546.11</v>
      </c>
      <c r="J34">
        <f>VLOOKUP(H34,$A$1:F$161,J$2,0)</f>
        <v>1799.68</v>
      </c>
      <c r="K34">
        <f>VLOOKUP(H34,$A$1:F$161,K$2,0)</f>
        <v>1671.88</v>
      </c>
      <c r="L34">
        <f>VLOOKUP(H34,$A$1:F$161,L$2,0)</f>
        <v>1140.75</v>
      </c>
      <c r="M34">
        <f>VLOOKUP(H34,$A$1:F$161,M$2,0)</f>
        <v>968.62</v>
      </c>
    </row>
    <row r="35" spans="1:13" x14ac:dyDescent="0.25">
      <c r="A35" t="s">
        <v>30</v>
      </c>
      <c r="B35">
        <v>6783.15</v>
      </c>
      <c r="C35">
        <v>6451.2</v>
      </c>
      <c r="D35">
        <v>6518.64</v>
      </c>
      <c r="E35">
        <v>4737.3900000000003</v>
      </c>
      <c r="F35">
        <v>4124.0200000000004</v>
      </c>
      <c r="H35" t="s">
        <v>44</v>
      </c>
      <c r="I35">
        <f>VLOOKUP(H35,$A$1:F$161,I$2,0)</f>
        <v>9581.89</v>
      </c>
      <c r="J35">
        <f>VLOOKUP(H35,$A$1:F$161,J$2,0)</f>
        <v>8458.3799999999992</v>
      </c>
      <c r="K35">
        <f>VLOOKUP(H35,$A$1:F$161,K$2,0)</f>
        <v>8388.43</v>
      </c>
      <c r="L35">
        <f>VLOOKUP(H35,$A$1:F$161,L$2,0)</f>
        <v>6031.41</v>
      </c>
      <c r="M35">
        <f>VLOOKUP(H35,$A$1:F$161,M$2,0)</f>
        <v>5283.61</v>
      </c>
    </row>
    <row r="36" spans="1:13" x14ac:dyDescent="0.25">
      <c r="A36" t="s">
        <v>31</v>
      </c>
      <c r="B36">
        <v>0</v>
      </c>
      <c r="C36">
        <v>0</v>
      </c>
      <c r="D36">
        <v>0</v>
      </c>
      <c r="E36">
        <v>11.24</v>
      </c>
      <c r="F36">
        <v>8.23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32</v>
      </c>
      <c r="B37">
        <v>2.41</v>
      </c>
      <c r="C37">
        <v>11.02</v>
      </c>
      <c r="D37">
        <v>12.85</v>
      </c>
      <c r="E37">
        <v>33.4</v>
      </c>
      <c r="F37">
        <v>8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33</v>
      </c>
      <c r="B38">
        <v>41.26</v>
      </c>
      <c r="C38">
        <v>41.79</v>
      </c>
      <c r="D38">
        <v>44.55</v>
      </c>
      <c r="E38">
        <v>20.09</v>
      </c>
      <c r="F38">
        <v>19.32</v>
      </c>
      <c r="H38" t="s">
        <v>47</v>
      </c>
      <c r="I38">
        <f>VLOOKUP(H38,$A$1:F$161,I$2,0)</f>
        <v>975.75</v>
      </c>
      <c r="J38">
        <f>VLOOKUP(H38,$A$1:F$161,J$2,0)</f>
        <v>461.75</v>
      </c>
      <c r="K38">
        <f>VLOOKUP(H38,$A$1:F$161,K$2,0)</f>
        <v>685.22</v>
      </c>
      <c r="L38">
        <f>VLOOKUP(H38,$A$1:F$161,L$2,0)</f>
        <v>339.79</v>
      </c>
      <c r="M38">
        <f>VLOOKUP(H38,$A$1:F$161,M$2,0)</f>
        <v>290</v>
      </c>
    </row>
    <row r="39" spans="1:13" x14ac:dyDescent="0.25">
      <c r="A39" t="s">
        <v>34</v>
      </c>
      <c r="B39">
        <v>184.73</v>
      </c>
      <c r="C39">
        <v>130.47</v>
      </c>
      <c r="D39">
        <v>116.29</v>
      </c>
      <c r="E39">
        <v>86.59</v>
      </c>
      <c r="F39">
        <v>153.47999999999999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35</v>
      </c>
      <c r="B40">
        <v>7035.78</v>
      </c>
      <c r="C40">
        <v>6658.71</v>
      </c>
      <c r="D40">
        <v>6716.55</v>
      </c>
      <c r="E40">
        <v>4890.66</v>
      </c>
      <c r="F40">
        <v>4314.99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ht="15" customHeight="1" x14ac:dyDescent="0.25">
      <c r="A41" t="s">
        <v>36</v>
      </c>
      <c r="H41" t="s">
        <v>64</v>
      </c>
      <c r="I41" t="e">
        <f>VLOOKUP(H41,$A$1:F$161,I$2,0)</f>
        <v>#N/A</v>
      </c>
      <c r="J41" t="e">
        <f>VLOOKUP(H41,$A$1:F$161,J$2,0)</f>
        <v>#N/A</v>
      </c>
      <c r="K41" t="e">
        <f>VLOOKUP(H41,$A$1:F$161,K$2,0)</f>
        <v>#N/A</v>
      </c>
      <c r="L41" t="e">
        <f>VLOOKUP(H41,$A$1:F$161,L$2,0)</f>
        <v>#N/A</v>
      </c>
      <c r="M41" t="e">
        <f>VLOOKUP(H41,$A$1:F$161,M$2,0)</f>
        <v>#N/A</v>
      </c>
    </row>
    <row r="42" spans="1:13" x14ac:dyDescent="0.25">
      <c r="A42" t="s">
        <v>38</v>
      </c>
      <c r="B42">
        <v>1448.09</v>
      </c>
      <c r="C42">
        <v>928.8</v>
      </c>
      <c r="D42">
        <v>881.51</v>
      </c>
      <c r="E42">
        <v>578.4</v>
      </c>
      <c r="F42">
        <v>438.89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39</v>
      </c>
      <c r="B43">
        <v>221.25</v>
      </c>
      <c r="C43">
        <v>241.8</v>
      </c>
      <c r="D43">
        <v>172.56</v>
      </c>
      <c r="E43">
        <v>128.03</v>
      </c>
      <c r="F43">
        <v>150.25</v>
      </c>
      <c r="H43" t="s">
        <v>68</v>
      </c>
      <c r="I43">
        <f>VLOOKUP(H43,$A$1:F$161,I$2,0)</f>
        <v>8777.41</v>
      </c>
      <c r="J43">
        <f>VLOOKUP(H43,$A$1:F$161,J$2,0)</f>
        <v>6466.11</v>
      </c>
      <c r="K43">
        <f>VLOOKUP(H43,$A$1:F$161,K$2,0)</f>
        <v>7123.22</v>
      </c>
      <c r="L43">
        <f>VLOOKUP(H43,$A$1:F$161,L$2,0)</f>
        <v>5111.3100000000004</v>
      </c>
      <c r="M43">
        <f>VLOOKUP(H43,$A$1:F$161,M$2,0)</f>
        <v>4407.3500000000004</v>
      </c>
    </row>
    <row r="44" spans="1:13" x14ac:dyDescent="0.25">
      <c r="A44" t="s">
        <v>40</v>
      </c>
      <c r="B44">
        <v>336.62</v>
      </c>
      <c r="C44">
        <v>190.05</v>
      </c>
      <c r="D44">
        <v>171.08</v>
      </c>
      <c r="E44">
        <v>93.48</v>
      </c>
      <c r="F44">
        <v>94.46</v>
      </c>
      <c r="H44" t="s">
        <v>70</v>
      </c>
      <c r="I44">
        <f>VLOOKUP(H44,$A$1:F$161,I$2,0)</f>
        <v>8642.35</v>
      </c>
      <c r="J44">
        <f>VLOOKUP(H44,$A$1:F$161,J$2,0)</f>
        <v>6360.46</v>
      </c>
      <c r="K44">
        <f>VLOOKUP(H44,$A$1:F$161,K$2,0)</f>
        <v>7004.34</v>
      </c>
      <c r="L44">
        <f>VLOOKUP(H44,$A$1:F$161,L$2,0)</f>
        <v>4988.4399999999996</v>
      </c>
      <c r="M44">
        <f>VLOOKUP(H44,$A$1:F$161,M$2,0)</f>
        <v>3894.51</v>
      </c>
    </row>
    <row r="45" spans="1:13" x14ac:dyDescent="0.25">
      <c r="A45" t="s">
        <v>41</v>
      </c>
      <c r="B45">
        <v>9.4499999999999993</v>
      </c>
      <c r="C45">
        <v>10.02</v>
      </c>
      <c r="D45">
        <v>6.94</v>
      </c>
      <c r="E45">
        <v>1.55</v>
      </c>
      <c r="F45">
        <v>0.03</v>
      </c>
      <c r="H45" t="s">
        <v>71</v>
      </c>
      <c r="I45">
        <f>VLOOKUP(H45,$A$1:F$161,I$2,0)</f>
        <v>180.88</v>
      </c>
      <c r="J45">
        <f>VLOOKUP(H45,$A$1:F$161,J$2,0)</f>
        <v>89.68</v>
      </c>
      <c r="K45">
        <f>VLOOKUP(H45,$A$1:F$161,K$2,0)</f>
        <v>125.24</v>
      </c>
      <c r="L45">
        <f>VLOOKUP(H45,$A$1:F$161,L$2,0)</f>
        <v>116.82</v>
      </c>
      <c r="M45">
        <f>VLOOKUP(H45,$A$1:F$161,M$2,0)</f>
        <v>109.03</v>
      </c>
    </row>
    <row r="46" spans="1:13" x14ac:dyDescent="0.25">
      <c r="A46" t="s">
        <v>42</v>
      </c>
      <c r="B46">
        <v>530.70000000000005</v>
      </c>
      <c r="C46">
        <v>429.01</v>
      </c>
      <c r="D46">
        <v>439.8</v>
      </c>
      <c r="E46">
        <v>339.29</v>
      </c>
      <c r="F46">
        <v>285</v>
      </c>
      <c r="H46" t="s">
        <v>72</v>
      </c>
      <c r="I46">
        <f>VLOOKUP(H46,$A$1:F$161,I$2,0)</f>
        <v>8823.23</v>
      </c>
      <c r="J46">
        <f>VLOOKUP(H46,$A$1:F$161,J$2,0)</f>
        <v>6450.14</v>
      </c>
      <c r="K46">
        <f>VLOOKUP(H46,$A$1:F$161,K$2,0)</f>
        <v>7129.58</v>
      </c>
      <c r="L46">
        <f>VLOOKUP(H46,$A$1:F$161,L$2,0)</f>
        <v>5105.26</v>
      </c>
      <c r="M46">
        <f>VLOOKUP(H46,$A$1:F$161,M$2,0)</f>
        <v>4003.54</v>
      </c>
    </row>
    <row r="47" spans="1:13" x14ac:dyDescent="0.25">
      <c r="A47" t="s">
        <v>43</v>
      </c>
      <c r="B47">
        <v>2546.11</v>
      </c>
      <c r="C47">
        <v>1799.68</v>
      </c>
      <c r="D47">
        <v>1671.88</v>
      </c>
      <c r="E47">
        <v>1140.75</v>
      </c>
      <c r="F47">
        <v>968.62</v>
      </c>
      <c r="H47" t="s">
        <v>73</v>
      </c>
      <c r="I47">
        <f>VLOOKUP(H47,$A$1:F$161,I$2,0)</f>
        <v>67.930000000000007</v>
      </c>
      <c r="J47">
        <f>VLOOKUP(H47,$A$1:F$161,J$2,0)</f>
        <v>36.97</v>
      </c>
      <c r="K47">
        <f>VLOOKUP(H47,$A$1:F$161,K$2,0)</f>
        <v>42.53</v>
      </c>
      <c r="L47">
        <f>VLOOKUP(H47,$A$1:F$161,L$2,0)</f>
        <v>21.82</v>
      </c>
      <c r="M47">
        <f>VLOOKUP(H47,$A$1:F$161,M$2,0)</f>
        <v>12.51</v>
      </c>
    </row>
    <row r="48" spans="1:13" x14ac:dyDescent="0.25">
      <c r="A48" t="s">
        <v>44</v>
      </c>
      <c r="B48">
        <v>9581.89</v>
      </c>
      <c r="C48">
        <v>8458.3799999999992</v>
      </c>
      <c r="D48">
        <v>8388.43</v>
      </c>
      <c r="E48">
        <v>6031.41</v>
      </c>
      <c r="F48">
        <v>5283.61</v>
      </c>
      <c r="H48" t="s">
        <v>74</v>
      </c>
      <c r="I48">
        <f>VLOOKUP(H48,$A$1:F$161,I$2,0)</f>
        <v>8891.16</v>
      </c>
      <c r="J48">
        <f>VLOOKUP(H48,$A$1:F$161,J$2,0)</f>
        <v>6487.11</v>
      </c>
      <c r="K48">
        <f>VLOOKUP(H48,$A$1:F$161,K$2,0)</f>
        <v>7172.11</v>
      </c>
      <c r="L48">
        <f>VLOOKUP(H48,$A$1:F$161,L$2,0)</f>
        <v>5127.08</v>
      </c>
      <c r="M48">
        <f>VLOOKUP(H48,$A$1:F$161,M$2,0)</f>
        <v>4016.05</v>
      </c>
    </row>
    <row r="49" spans="1:13" ht="24" customHeight="1" x14ac:dyDescent="0.25">
      <c r="A49" t="s">
        <v>45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36" customHeight="1" x14ac:dyDescent="0.25">
      <c r="A50" t="s">
        <v>46</v>
      </c>
      <c r="H50" t="s">
        <v>76</v>
      </c>
      <c r="I50">
        <f>VLOOKUP(H50,$A$1:F$161,I$2,0)</f>
        <v>3968.91</v>
      </c>
      <c r="J50">
        <f>VLOOKUP(H50,$A$1:F$161,J$2,0)</f>
        <v>2688.51</v>
      </c>
      <c r="K50">
        <f>VLOOKUP(H50,$A$1:F$161,K$2,0)</f>
        <v>2939.56</v>
      </c>
      <c r="L50">
        <f>VLOOKUP(H50,$A$1:F$161,L$2,0)</f>
        <v>2112.2800000000002</v>
      </c>
      <c r="M50">
        <f>VLOOKUP(H50,$A$1:F$161,M$2,0)</f>
        <v>1855.51</v>
      </c>
    </row>
    <row r="51" spans="1:13" x14ac:dyDescent="0.25">
      <c r="A51" t="s">
        <v>47</v>
      </c>
      <c r="B51">
        <v>975.75</v>
      </c>
      <c r="C51">
        <v>461.75</v>
      </c>
      <c r="D51">
        <v>685.22</v>
      </c>
      <c r="E51">
        <v>339.79</v>
      </c>
      <c r="F51">
        <v>290</v>
      </c>
      <c r="H51" t="s">
        <v>77</v>
      </c>
      <c r="I51">
        <f>VLOOKUP(H51,$A$1:F$161,I$2,0)</f>
        <v>165.47</v>
      </c>
      <c r="J51">
        <f>VLOOKUP(H51,$A$1:F$161,J$2,0)</f>
        <v>92.59</v>
      </c>
      <c r="K51">
        <f>VLOOKUP(H51,$A$1:F$161,K$2,0)</f>
        <v>423.73</v>
      </c>
      <c r="L51">
        <f>VLOOKUP(H51,$A$1:F$161,L$2,0)</f>
        <v>194.22</v>
      </c>
      <c r="M51">
        <f>VLOOKUP(H51,$A$1:F$161,M$2,0)</f>
        <v>27.77</v>
      </c>
    </row>
    <row r="52" spans="1:13" ht="15" customHeight="1" x14ac:dyDescent="0.25">
      <c r="A52" t="s">
        <v>57</v>
      </c>
      <c r="H52" t="s">
        <v>78</v>
      </c>
      <c r="I52">
        <f>VLOOKUP(H52,$A$1:F$161,I$2,0)</f>
        <v>-99.72</v>
      </c>
      <c r="J52">
        <f>VLOOKUP(H52,$A$1:F$161,J$2,0)</f>
        <v>-17.16</v>
      </c>
      <c r="K52">
        <f>VLOOKUP(H52,$A$1:F$161,K$2,0)</f>
        <v>-143.86000000000001</v>
      </c>
      <c r="L52">
        <f>VLOOKUP(H52,$A$1:F$161,L$2,0)</f>
        <v>-62.4</v>
      </c>
      <c r="M52">
        <f>VLOOKUP(H52,$A$1:F$161,M$2,0)</f>
        <v>-73.22</v>
      </c>
    </row>
    <row r="53" spans="1:13" x14ac:dyDescent="0.25">
      <c r="A53" t="s">
        <v>58</v>
      </c>
      <c r="B53">
        <v>198.34</v>
      </c>
      <c r="C53">
        <v>198.34</v>
      </c>
      <c r="D53">
        <v>198.34</v>
      </c>
      <c r="E53">
        <v>107.01</v>
      </c>
      <c r="F53">
        <v>107.01</v>
      </c>
      <c r="H53" t="s">
        <v>79</v>
      </c>
      <c r="I53">
        <f>VLOOKUP(H53,$A$1:F$161,I$2,0)</f>
        <v>1007.7</v>
      </c>
      <c r="J53">
        <f>VLOOKUP(H53,$A$1:F$161,J$2,0)</f>
        <v>889.74</v>
      </c>
      <c r="K53">
        <f>VLOOKUP(H53,$A$1:F$161,K$2,0)</f>
        <v>810.82</v>
      </c>
      <c r="L53">
        <f>VLOOKUP(H53,$A$1:F$161,L$2,0)</f>
        <v>582.95000000000005</v>
      </c>
      <c r="M53">
        <f>VLOOKUP(H53,$A$1:F$161,M$2,0)</f>
        <v>462.84</v>
      </c>
    </row>
    <row r="54" spans="1:13" ht="24" customHeight="1" x14ac:dyDescent="0.25">
      <c r="A54" t="s">
        <v>59</v>
      </c>
      <c r="H54" t="s">
        <v>80</v>
      </c>
      <c r="I54">
        <f>VLOOKUP(H54,$A$1:F$161,I$2,0)</f>
        <v>184.7</v>
      </c>
      <c r="J54">
        <f>VLOOKUP(H54,$A$1:F$161,J$2,0)</f>
        <v>281.10000000000002</v>
      </c>
      <c r="K54">
        <f>VLOOKUP(H54,$A$1:F$161,K$2,0)</f>
        <v>309.64</v>
      </c>
      <c r="L54">
        <f>VLOOKUP(H54,$A$1:F$161,L$2,0)</f>
        <v>212.56</v>
      </c>
      <c r="M54">
        <f>VLOOKUP(H54,$A$1:F$161,M$2,0)</f>
        <v>212.18</v>
      </c>
    </row>
    <row r="55" spans="1:13" ht="24" customHeight="1" x14ac:dyDescent="0.25">
      <c r="A55" t="s">
        <v>62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H56" t="s">
        <v>82</v>
      </c>
      <c r="I56">
        <f>VLOOKUP(H56,$A$1:F$161,I$2,0)</f>
        <v>531.26</v>
      </c>
      <c r="J56">
        <f>VLOOKUP(H56,$A$1:F$161,J$2,0)</f>
        <v>528.70000000000005</v>
      </c>
      <c r="K56">
        <f>VLOOKUP(H56,$A$1:F$161,K$2,0)</f>
        <v>488.63</v>
      </c>
      <c r="L56">
        <f>VLOOKUP(H56,$A$1:F$161,L$2,0)</f>
        <v>385.07</v>
      </c>
      <c r="M56">
        <f>VLOOKUP(H56,$A$1:F$161,M$2,0)</f>
        <v>346.64</v>
      </c>
    </row>
    <row r="57" spans="1:13" x14ac:dyDescent="0.25">
      <c r="H57" t="s">
        <v>83</v>
      </c>
      <c r="I57">
        <f>VLOOKUP(H57,$A$1:F$161,I$2,0)</f>
        <v>2126.23</v>
      </c>
      <c r="J57">
        <f>VLOOKUP(H57,$A$1:F$161,J$2,0)</f>
        <v>1594.6</v>
      </c>
      <c r="K57">
        <f>VLOOKUP(H57,$A$1:F$161,K$2,0)</f>
        <v>1651.68</v>
      </c>
      <c r="L57">
        <f>VLOOKUP(H57,$A$1:F$161,L$2,0)</f>
        <v>1271.6199999999999</v>
      </c>
      <c r="M57">
        <f>VLOOKUP(H57,$A$1:F$161,M$2,0)</f>
        <v>894.73</v>
      </c>
    </row>
    <row r="58" spans="1:13" x14ac:dyDescent="0.25">
      <c r="H58" t="s">
        <v>84</v>
      </c>
      <c r="I58">
        <f>VLOOKUP(H58,$A$1:F$161,I$2,0)</f>
        <v>7884.55</v>
      </c>
      <c r="J58">
        <f>VLOOKUP(H58,$A$1:F$161,J$2,0)</f>
        <v>6058.08</v>
      </c>
      <c r="K58">
        <f>VLOOKUP(H58,$A$1:F$161,K$2,0)</f>
        <v>6480.2</v>
      </c>
      <c r="L58">
        <f>VLOOKUP(H58,$A$1:F$161,L$2,0)</f>
        <v>4696.3</v>
      </c>
      <c r="M58">
        <f>VLOOKUP(H58,$A$1:F$161,M$2,0)</f>
        <v>3726.45</v>
      </c>
    </row>
    <row r="59" spans="1:13" ht="15" customHeight="1" x14ac:dyDescent="0.25">
      <c r="A59" t="s">
        <v>65</v>
      </c>
      <c r="H59" t="s">
        <v>85</v>
      </c>
      <c r="I59">
        <f>VLOOKUP(H59,$A$1:F$161,I$2,0)</f>
        <v>1006.61</v>
      </c>
      <c r="J59">
        <f>VLOOKUP(H59,$A$1:F$161,J$2,0)</f>
        <v>429.03</v>
      </c>
      <c r="K59">
        <f>VLOOKUP(H59,$A$1:F$161,K$2,0)</f>
        <v>691.91</v>
      </c>
      <c r="L59">
        <f>VLOOKUP(H59,$A$1:F$161,L$2,0)</f>
        <v>430.78</v>
      </c>
      <c r="M59">
        <f>VLOOKUP(H59,$A$1:F$161,M$2,0)</f>
        <v>289.60000000000002</v>
      </c>
    </row>
    <row r="60" spans="1:13" x14ac:dyDescent="0.25">
      <c r="H60" t="s">
        <v>87</v>
      </c>
      <c r="I60">
        <f>VLOOKUP(H60,$A$1:F$161,I$2,0)</f>
        <v>1006.61</v>
      </c>
      <c r="J60">
        <f>VLOOKUP(H60,$A$1:F$161,J$2,0)</f>
        <v>429.03</v>
      </c>
      <c r="K60">
        <f>VLOOKUP(H60,$A$1:F$161,K$2,0)</f>
        <v>691.91</v>
      </c>
      <c r="L60">
        <f>VLOOKUP(H60,$A$1:F$161,L$2,0)</f>
        <v>430.78</v>
      </c>
      <c r="M60">
        <f>VLOOKUP(H60,$A$1:F$161,M$2,0)</f>
        <v>289.60000000000002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134.19999999999999</v>
      </c>
      <c r="J62">
        <f>VLOOKUP(H62,$A$1:F$161,J$2,0)</f>
        <v>42.39</v>
      </c>
      <c r="K62">
        <f>VLOOKUP(H62,$A$1:F$161,K$2,0)</f>
        <v>104.83</v>
      </c>
      <c r="L62">
        <f>VLOOKUP(H62,$A$1:F$161,L$2,0)</f>
        <v>109.41</v>
      </c>
      <c r="M62">
        <f>VLOOKUP(H62,$A$1:F$161,M$2,0)</f>
        <v>54.79</v>
      </c>
    </row>
    <row r="63" spans="1:13" x14ac:dyDescent="0.25">
      <c r="H63" t="s">
        <v>90</v>
      </c>
      <c r="I63">
        <f>VLOOKUP(H63,$A$1:F$161,I$2,0)</f>
        <v>91.35</v>
      </c>
      <c r="J63">
        <f>VLOOKUP(H63,$A$1:F$161,J$2,0)</f>
        <v>-52.52</v>
      </c>
      <c r="K63">
        <f>VLOOKUP(H63,$A$1:F$161,K$2,0)</f>
        <v>116.25</v>
      </c>
      <c r="L63">
        <f>VLOOKUP(H63,$A$1:F$161,L$2,0)</f>
        <v>23.09</v>
      </c>
      <c r="M63">
        <f>VLOOKUP(H63,$A$1:F$161,M$2,0)</f>
        <v>21.95</v>
      </c>
    </row>
    <row r="64" spans="1:13" x14ac:dyDescent="0.25">
      <c r="H64" t="s">
        <v>112</v>
      </c>
      <c r="I64">
        <f>VLOOKUP(H64,$A$1:F$161,I$2,0)</f>
        <v>35.01</v>
      </c>
      <c r="J64">
        <f>VLOOKUP(H64,$A$1:F$161,J$2,0)</f>
        <v>15.37</v>
      </c>
      <c r="K64">
        <f>VLOOKUP(H64,$A$1:F$161,K$2,0)</f>
        <v>2.99</v>
      </c>
      <c r="L64">
        <f>VLOOKUP(H64,$A$1:F$161,L$2,0)</f>
        <v>1.44</v>
      </c>
      <c r="M64">
        <f>VLOOKUP(H64,$A$1:F$161,M$2,0)</f>
        <v>0.16</v>
      </c>
    </row>
    <row r="65" spans="8:13" x14ac:dyDescent="0.25">
      <c r="H65" t="s">
        <v>91</v>
      </c>
      <c r="I65">
        <f>VLOOKUP(H65,$A$1:F$161,I$2,0)</f>
        <v>260.56</v>
      </c>
      <c r="J65">
        <f>VLOOKUP(H65,$A$1:F$161,J$2,0)</f>
        <v>5.23</v>
      </c>
      <c r="K65">
        <f>VLOOKUP(H65,$A$1:F$161,K$2,0)</f>
        <v>224.07</v>
      </c>
      <c r="L65">
        <f>VLOOKUP(H65,$A$1:F$161,L$2,0)</f>
        <v>133.94</v>
      </c>
      <c r="M65">
        <f>VLOOKUP(H65,$A$1:F$161,M$2,0)</f>
        <v>76.900000000000006</v>
      </c>
    </row>
    <row r="66" spans="8:13" x14ac:dyDescent="0.25">
      <c r="H66" t="s">
        <v>92</v>
      </c>
      <c r="I66">
        <f>VLOOKUP(H66,$A$1:F$161,I$2,0)</f>
        <v>746.05</v>
      </c>
      <c r="J66">
        <f>VLOOKUP(H66,$A$1:F$161,J$2,0)</f>
        <v>423.8</v>
      </c>
      <c r="K66">
        <f>VLOOKUP(H66,$A$1:F$161,K$2,0)</f>
        <v>467.84</v>
      </c>
      <c r="L66">
        <f>VLOOKUP(H66,$A$1:F$161,L$2,0)</f>
        <v>296.83999999999997</v>
      </c>
      <c r="M66">
        <f>VLOOKUP(H66,$A$1:F$161,M$2,0)</f>
        <v>212.71</v>
      </c>
    </row>
    <row r="67" spans="8:13" x14ac:dyDescent="0.25">
      <c r="H67" t="s">
        <v>93</v>
      </c>
      <c r="I67">
        <f>VLOOKUP(H67,$A$1:F$161,I$2,0)</f>
        <v>746.05</v>
      </c>
      <c r="J67">
        <f>VLOOKUP(H67,$A$1:F$161,J$2,0)</f>
        <v>423.8</v>
      </c>
      <c r="K67">
        <f>VLOOKUP(H67,$A$1:F$161,K$2,0)</f>
        <v>467.84</v>
      </c>
      <c r="L67">
        <f>VLOOKUP(H67,$A$1:F$161,L$2,0)</f>
        <v>296.83999999999997</v>
      </c>
      <c r="M67">
        <f>VLOOKUP(H67,$A$1:F$161,M$2,0)</f>
        <v>212.71</v>
      </c>
    </row>
    <row r="68" spans="8:13" x14ac:dyDescent="0.25">
      <c r="H68" t="s">
        <v>94</v>
      </c>
      <c r="I68">
        <f>VLOOKUP(H68,$A$1:F$161,I$2,0)</f>
        <v>746.05</v>
      </c>
      <c r="J68">
        <f>VLOOKUP(H68,$A$1:F$161,J$2,0)</f>
        <v>423.8</v>
      </c>
      <c r="K68">
        <f>VLOOKUP(H68,$A$1:F$161,K$2,0)</f>
        <v>467.84</v>
      </c>
      <c r="L68">
        <f>VLOOKUP(H68,$A$1:F$161,L$2,0)</f>
        <v>296.83999999999997</v>
      </c>
      <c r="M68">
        <f>VLOOKUP(H68,$A$1:F$161,M$2,0)</f>
        <v>212.71</v>
      </c>
    </row>
    <row r="69" spans="8:13" x14ac:dyDescent="0.25">
      <c r="H69" t="s">
        <v>101</v>
      </c>
      <c r="I69">
        <f>VLOOKUP(H69,$A$1:F$161,I$2,0)</f>
        <v>108.26</v>
      </c>
      <c r="J69">
        <f>VLOOKUP(H69,$A$1:F$161,J$2,0)</f>
        <v>72.17</v>
      </c>
      <c r="K69">
        <f>VLOOKUP(H69,$A$1:F$161,K$2,0)</f>
        <v>69.010000000000005</v>
      </c>
      <c r="L69">
        <f>VLOOKUP(H69,$A$1:F$161,L$2,0)</f>
        <v>45.66</v>
      </c>
      <c r="M69">
        <f>VLOOKUP(H69,$A$1:F$161,M$2,0)</f>
        <v>45.63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9.17</v>
      </c>
      <c r="L70">
        <f>VLOOKUP(H70,$A$1:F$161,L$2,0)</f>
        <v>5.47</v>
      </c>
      <c r="M70">
        <f>VLOOKUP(H70,$A$1:F$161,M$2,0)</f>
        <v>9.2899999999999991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147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4</v>
      </c>
      <c r="C92">
        <v>44166</v>
      </c>
      <c r="D92">
        <v>43800</v>
      </c>
      <c r="E92">
        <v>43435</v>
      </c>
      <c r="F92">
        <v>43070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8777.41</v>
      </c>
      <c r="C97">
        <v>6466.11</v>
      </c>
      <c r="D97">
        <v>7123.22</v>
      </c>
      <c r="E97">
        <v>5111.3100000000004</v>
      </c>
      <c r="F97">
        <v>4407.3500000000004</v>
      </c>
    </row>
    <row r="98" spans="1:6" x14ac:dyDescent="0.25">
      <c r="A98" t="s">
        <v>69</v>
      </c>
      <c r="B98">
        <v>135.06</v>
      </c>
      <c r="C98">
        <v>105.65</v>
      </c>
      <c r="D98">
        <v>118.88</v>
      </c>
      <c r="E98">
        <v>122.87</v>
      </c>
      <c r="F98">
        <v>512.84</v>
      </c>
    </row>
    <row r="99" spans="1:6" x14ac:dyDescent="0.25">
      <c r="A99" t="s">
        <v>70</v>
      </c>
      <c r="B99">
        <v>8642.35</v>
      </c>
      <c r="C99">
        <v>6360.46</v>
      </c>
      <c r="D99">
        <v>7004.34</v>
      </c>
      <c r="E99">
        <v>4988.4399999999996</v>
      </c>
      <c r="F99">
        <v>3894.51</v>
      </c>
    </row>
    <row r="100" spans="1:6" x14ac:dyDescent="0.25">
      <c r="A100" t="s">
        <v>71</v>
      </c>
      <c r="B100">
        <v>180.88</v>
      </c>
      <c r="C100">
        <v>89.68</v>
      </c>
      <c r="D100">
        <v>125.24</v>
      </c>
      <c r="E100">
        <v>116.82</v>
      </c>
      <c r="F100">
        <v>109.03</v>
      </c>
    </row>
    <row r="101" spans="1:6" x14ac:dyDescent="0.25">
      <c r="A101" t="s">
        <v>72</v>
      </c>
      <c r="B101">
        <v>8823.23</v>
      </c>
      <c r="C101">
        <v>6450.14</v>
      </c>
      <c r="D101">
        <v>7129.58</v>
      </c>
      <c r="E101">
        <v>5105.26</v>
      </c>
      <c r="F101">
        <v>4003.54</v>
      </c>
    </row>
    <row r="102" spans="1:6" x14ac:dyDescent="0.25">
      <c r="A102" t="s">
        <v>73</v>
      </c>
      <c r="B102">
        <v>67.930000000000007</v>
      </c>
      <c r="C102">
        <v>36.97</v>
      </c>
      <c r="D102">
        <v>42.53</v>
      </c>
      <c r="E102">
        <v>21.82</v>
      </c>
      <c r="F102">
        <v>12.51</v>
      </c>
    </row>
    <row r="103" spans="1:6" x14ac:dyDescent="0.25">
      <c r="A103" t="s">
        <v>74</v>
      </c>
      <c r="B103">
        <v>8891.16</v>
      </c>
      <c r="C103">
        <v>6487.11</v>
      </c>
      <c r="D103">
        <v>7172.11</v>
      </c>
      <c r="E103">
        <v>5127.08</v>
      </c>
      <c r="F103">
        <v>4016.05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3968.91</v>
      </c>
      <c r="C105">
        <v>2688.51</v>
      </c>
      <c r="D105">
        <v>2939.56</v>
      </c>
      <c r="E105">
        <v>2112.2800000000002</v>
      </c>
      <c r="F105">
        <v>1855.51</v>
      </c>
    </row>
    <row r="106" spans="1:6" x14ac:dyDescent="0.25">
      <c r="A106" t="s">
        <v>77</v>
      </c>
      <c r="B106">
        <v>165.47</v>
      </c>
      <c r="C106">
        <v>92.59</v>
      </c>
      <c r="D106">
        <v>423.73</v>
      </c>
      <c r="E106">
        <v>194.22</v>
      </c>
      <c r="F106">
        <v>27.77</v>
      </c>
    </row>
    <row r="107" spans="1:6" x14ac:dyDescent="0.25">
      <c r="A107" t="s">
        <v>78</v>
      </c>
      <c r="B107">
        <v>-99.72</v>
      </c>
      <c r="C107">
        <v>-17.16</v>
      </c>
      <c r="D107">
        <v>-143.86000000000001</v>
      </c>
      <c r="E107">
        <v>-62.4</v>
      </c>
      <c r="F107">
        <v>-73.22</v>
      </c>
    </row>
    <row r="108" spans="1:6" x14ac:dyDescent="0.25">
      <c r="A108" t="s">
        <v>79</v>
      </c>
      <c r="B108">
        <v>1007.7</v>
      </c>
      <c r="C108">
        <v>889.74</v>
      </c>
      <c r="D108">
        <v>810.82</v>
      </c>
      <c r="E108">
        <v>582.95000000000005</v>
      </c>
      <c r="F108">
        <v>462.84</v>
      </c>
    </row>
    <row r="109" spans="1:6" x14ac:dyDescent="0.25">
      <c r="A109" t="s">
        <v>80</v>
      </c>
      <c r="B109">
        <v>184.7</v>
      </c>
      <c r="C109">
        <v>281.10000000000002</v>
      </c>
      <c r="D109">
        <v>309.64</v>
      </c>
      <c r="E109">
        <v>212.56</v>
      </c>
      <c r="F109">
        <v>212.18</v>
      </c>
    </row>
    <row r="110" spans="1:6" x14ac:dyDescent="0.25">
      <c r="A110" t="s">
        <v>82</v>
      </c>
      <c r="B110">
        <v>531.26</v>
      </c>
      <c r="C110">
        <v>528.70000000000005</v>
      </c>
      <c r="D110">
        <v>488.63</v>
      </c>
      <c r="E110">
        <v>385.07</v>
      </c>
      <c r="F110">
        <v>346.64</v>
      </c>
    </row>
    <row r="111" spans="1:6" x14ac:dyDescent="0.25">
      <c r="A111" t="s">
        <v>83</v>
      </c>
      <c r="B111">
        <v>2126.23</v>
      </c>
      <c r="C111">
        <v>1594.6</v>
      </c>
      <c r="D111">
        <v>1651.68</v>
      </c>
      <c r="E111">
        <v>1271.6199999999999</v>
      </c>
      <c r="F111">
        <v>894.73</v>
      </c>
    </row>
    <row r="112" spans="1:6" x14ac:dyDescent="0.25">
      <c r="A112" t="s">
        <v>84</v>
      </c>
      <c r="B112">
        <v>7884.55</v>
      </c>
      <c r="C112">
        <v>6058.08</v>
      </c>
      <c r="D112">
        <v>6480.2</v>
      </c>
      <c r="E112">
        <v>4696.3</v>
      </c>
      <c r="F112">
        <v>3726.45</v>
      </c>
    </row>
    <row r="113" spans="1:6" x14ac:dyDescent="0.25">
      <c r="A113" t="s">
        <v>85</v>
      </c>
      <c r="B113">
        <v>1006.61</v>
      </c>
      <c r="C113">
        <v>429.03</v>
      </c>
      <c r="D113">
        <v>691.91</v>
      </c>
      <c r="E113">
        <v>430.78</v>
      </c>
      <c r="F113">
        <v>289.60000000000002</v>
      </c>
    </row>
    <row r="114" spans="1:6" x14ac:dyDescent="0.25">
      <c r="A114" t="s">
        <v>87</v>
      </c>
      <c r="B114">
        <v>1006.61</v>
      </c>
      <c r="C114">
        <v>429.03</v>
      </c>
      <c r="D114">
        <v>691.91</v>
      </c>
      <c r="E114">
        <v>430.78</v>
      </c>
      <c r="F114">
        <v>289.60000000000002</v>
      </c>
    </row>
    <row r="115" spans="1:6" ht="24" customHeight="1" x14ac:dyDescent="0.25">
      <c r="A115" t="s">
        <v>88</v>
      </c>
    </row>
    <row r="116" spans="1:6" x14ac:dyDescent="0.25">
      <c r="A116" t="s">
        <v>89</v>
      </c>
      <c r="B116">
        <v>134.19999999999999</v>
      </c>
      <c r="C116">
        <v>42.39</v>
      </c>
      <c r="D116">
        <v>104.83</v>
      </c>
      <c r="E116">
        <v>109.41</v>
      </c>
      <c r="F116">
        <v>54.79</v>
      </c>
    </row>
    <row r="117" spans="1:6" x14ac:dyDescent="0.25">
      <c r="A117" t="s">
        <v>90</v>
      </c>
      <c r="B117">
        <v>91.35</v>
      </c>
      <c r="C117">
        <v>-52.52</v>
      </c>
      <c r="D117">
        <v>116.25</v>
      </c>
      <c r="E117">
        <v>23.09</v>
      </c>
      <c r="F117">
        <v>21.95</v>
      </c>
    </row>
    <row r="118" spans="1:6" x14ac:dyDescent="0.25">
      <c r="A118" t="s">
        <v>112</v>
      </c>
      <c r="B118">
        <v>35.01</v>
      </c>
      <c r="C118">
        <v>15.37</v>
      </c>
      <c r="D118">
        <v>2.99</v>
      </c>
      <c r="E118">
        <v>1.44</v>
      </c>
      <c r="F118">
        <v>0.16</v>
      </c>
    </row>
    <row r="119" spans="1:6" x14ac:dyDescent="0.25">
      <c r="A119" t="s">
        <v>91</v>
      </c>
      <c r="B119">
        <v>260.56</v>
      </c>
      <c r="C119">
        <v>5.23</v>
      </c>
      <c r="D119">
        <v>224.07</v>
      </c>
      <c r="E119">
        <v>133.94</v>
      </c>
      <c r="F119">
        <v>76.900000000000006</v>
      </c>
    </row>
    <row r="120" spans="1:6" x14ac:dyDescent="0.25">
      <c r="A120" t="s">
        <v>92</v>
      </c>
      <c r="B120">
        <v>746.05</v>
      </c>
      <c r="C120">
        <v>423.8</v>
      </c>
      <c r="D120">
        <v>467.84</v>
      </c>
      <c r="E120">
        <v>296.83999999999997</v>
      </c>
      <c r="F120">
        <v>212.71</v>
      </c>
    </row>
    <row r="121" spans="1:6" x14ac:dyDescent="0.25">
      <c r="A121" t="s">
        <v>93</v>
      </c>
      <c r="B121">
        <v>746.05</v>
      </c>
      <c r="C121">
        <v>423.8</v>
      </c>
      <c r="D121">
        <v>467.84</v>
      </c>
      <c r="E121">
        <v>296.83999999999997</v>
      </c>
      <c r="F121">
        <v>212.71</v>
      </c>
    </row>
    <row r="122" spans="1:6" x14ac:dyDescent="0.25">
      <c r="A122" t="s">
        <v>94</v>
      </c>
      <c r="B122">
        <v>746.05</v>
      </c>
      <c r="C122">
        <v>423.8</v>
      </c>
      <c r="D122">
        <v>467.84</v>
      </c>
      <c r="E122">
        <v>296.83999999999997</v>
      </c>
      <c r="F122">
        <v>212.71</v>
      </c>
    </row>
    <row r="123" spans="1:6" x14ac:dyDescent="0.25">
      <c r="A123" t="s">
        <v>116</v>
      </c>
      <c r="B123">
        <v>-52</v>
      </c>
      <c r="C123">
        <v>-28.28</v>
      </c>
      <c r="D123">
        <v>-3.23</v>
      </c>
      <c r="E123">
        <v>-7.02</v>
      </c>
      <c r="F123">
        <v>-3.91</v>
      </c>
    </row>
    <row r="124" spans="1:6" x14ac:dyDescent="0.25">
      <c r="A124" t="s">
        <v>130</v>
      </c>
      <c r="B124">
        <v>0</v>
      </c>
      <c r="C124">
        <v>-66.53</v>
      </c>
      <c r="D124">
        <v>4.3600000000000003</v>
      </c>
      <c r="E124">
        <v>3.02</v>
      </c>
      <c r="F124">
        <v>1.35</v>
      </c>
    </row>
    <row r="125" spans="1:6" x14ac:dyDescent="0.25">
      <c r="A125" t="s">
        <v>113</v>
      </c>
      <c r="B125">
        <v>694.05</v>
      </c>
      <c r="C125">
        <v>329</v>
      </c>
      <c r="D125">
        <v>468.98</v>
      </c>
      <c r="E125">
        <v>292.83999999999997</v>
      </c>
      <c r="F125">
        <v>210.15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16</v>
      </c>
      <c r="C128">
        <v>11</v>
      </c>
      <c r="D128">
        <v>17</v>
      </c>
      <c r="E128">
        <v>11</v>
      </c>
      <c r="F128">
        <v>12</v>
      </c>
    </row>
    <row r="129" spans="1:6" x14ac:dyDescent="0.25">
      <c r="A129" t="s">
        <v>97</v>
      </c>
      <c r="B129">
        <v>16</v>
      </c>
      <c r="C129">
        <v>11</v>
      </c>
      <c r="D129">
        <v>17</v>
      </c>
      <c r="E129">
        <v>11</v>
      </c>
      <c r="F129">
        <v>12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108.26</v>
      </c>
      <c r="C131">
        <v>72.17</v>
      </c>
      <c r="D131">
        <v>69.010000000000005</v>
      </c>
      <c r="E131">
        <v>45.66</v>
      </c>
      <c r="F131">
        <v>45.63</v>
      </c>
    </row>
    <row r="132" spans="1:6" x14ac:dyDescent="0.25">
      <c r="A132" t="s">
        <v>102</v>
      </c>
      <c r="B132">
        <v>0</v>
      </c>
      <c r="C132">
        <v>0</v>
      </c>
      <c r="D132">
        <v>9.17</v>
      </c>
      <c r="E132">
        <v>5.47</v>
      </c>
      <c r="F132">
        <v>9.2899999999999991</v>
      </c>
    </row>
    <row r="136" spans="1:6" ht="15" customHeight="1" x14ac:dyDescent="0.25">
      <c r="A136" t="s">
        <v>65</v>
      </c>
    </row>
  </sheetData>
  <hyperlinks>
    <hyperlink ref="B1" r:id="rId1" display="javascript:void(0);" xr:uid="{069A94D9-B028-4BFB-B7AC-96AE0891C97B}"/>
    <hyperlink ref="B90" r:id="rId2" display="javascript:void(0);" xr:uid="{E45A2A29-877C-4200-B558-32EF72853636}"/>
  </hyperlinks>
  <pageMargins left="0.7" right="0.7" top="0.75" bottom="0.75" header="0.3" footer="0.3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55871-6ED0-4CC7-9DE5-84EED9B8DE9D}">
  <sheetPr codeName="Sheet20"/>
  <dimension ref="A1:M136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148</v>
      </c>
      <c r="B1" t="s">
        <v>1</v>
      </c>
      <c r="H1" t="str">
        <f>A1</f>
        <v>Titan Company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89</v>
      </c>
      <c r="J4">
        <f>VLOOKUP(H4,$A$1:F$161,J$2,0)</f>
        <v>89</v>
      </c>
      <c r="K4">
        <f>VLOOKUP(H4,$A$1:F$161,K$2,0)</f>
        <v>88.78</v>
      </c>
      <c r="L4">
        <f>VLOOKUP(H4,$A$1:F$161,L$2,0)</f>
        <v>88.78</v>
      </c>
      <c r="M4">
        <f>VLOOKUP(H4,$A$1:F$161,M$2,0)</f>
        <v>88.78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89</v>
      </c>
      <c r="J5">
        <f>VLOOKUP(H5,$A$1:F$161,J$2,0)</f>
        <v>89</v>
      </c>
      <c r="K5">
        <f>VLOOKUP(H5,$A$1:F$161,K$2,0)</f>
        <v>88.78</v>
      </c>
      <c r="L5">
        <f>VLOOKUP(H5,$A$1:F$161,L$2,0)</f>
        <v>88.78</v>
      </c>
      <c r="M5">
        <f>VLOOKUP(H5,$A$1:F$161,M$2,0)</f>
        <v>88.78</v>
      </c>
    </row>
    <row r="6" spans="1:13" x14ac:dyDescent="0.25">
      <c r="H6" t="s">
        <v>10</v>
      </c>
      <c r="I6">
        <f>VLOOKUP(H6,$A$1:F$161,I$2,0)</f>
        <v>9208</v>
      </c>
      <c r="J6">
        <f>VLOOKUP(H6,$A$1:F$161,J$2,0)</f>
        <v>7404</v>
      </c>
      <c r="K6">
        <f>VLOOKUP(H6,$A$1:F$161,K$2,0)</f>
        <v>6575.97</v>
      </c>
      <c r="L6">
        <f>VLOOKUP(H6,$A$1:F$161,L$2,0)</f>
        <v>5981.37</v>
      </c>
      <c r="M6">
        <f>VLOOKUP(H6,$A$1:F$161,M$2,0)</f>
        <v>5001.1000000000004</v>
      </c>
    </row>
    <row r="7" spans="1:13" ht="24" customHeight="1" x14ac:dyDescent="0.25">
      <c r="A7" t="s">
        <v>6</v>
      </c>
      <c r="H7" t="s">
        <v>11</v>
      </c>
      <c r="I7">
        <f>VLOOKUP(H7,$A$1:F$161,I$2,0)</f>
        <v>9208</v>
      </c>
      <c r="J7">
        <f>VLOOKUP(H7,$A$1:F$161,J$2,0)</f>
        <v>7404</v>
      </c>
      <c r="K7">
        <f>VLOOKUP(H7,$A$1:F$161,K$2,0)</f>
        <v>6575.97</v>
      </c>
      <c r="L7">
        <f>VLOOKUP(H7,$A$1:F$161,L$2,0)</f>
        <v>5981.37</v>
      </c>
      <c r="M7">
        <f>VLOOKUP(H7,$A$1:F$161,M$2,0)</f>
        <v>5001.1000000000004</v>
      </c>
    </row>
    <row r="8" spans="1:13" ht="24" customHeight="1" x14ac:dyDescent="0.25">
      <c r="A8" t="s">
        <v>7</v>
      </c>
      <c r="H8" t="s">
        <v>12</v>
      </c>
      <c r="I8">
        <f>VLOOKUP(H8,$A$1:F$161,I$2,0)</f>
        <v>9303</v>
      </c>
      <c r="J8">
        <f>VLOOKUP(H8,$A$1:F$161,J$2,0)</f>
        <v>7497</v>
      </c>
      <c r="K8">
        <f>VLOOKUP(H8,$A$1:F$161,K$2,0)</f>
        <v>6668.75</v>
      </c>
      <c r="L8">
        <f>VLOOKUP(H8,$A$1:F$161,L$2,0)</f>
        <v>6070.15</v>
      </c>
      <c r="M8">
        <f>VLOOKUP(H8,$A$1:F$161,M$2,0)</f>
        <v>5089.88</v>
      </c>
    </row>
    <row r="9" spans="1:13" x14ac:dyDescent="0.25">
      <c r="A9" t="s">
        <v>8</v>
      </c>
      <c r="B9">
        <v>89</v>
      </c>
      <c r="C9">
        <v>89</v>
      </c>
      <c r="D9">
        <v>88.78</v>
      </c>
      <c r="E9">
        <v>88.78</v>
      </c>
      <c r="F9">
        <v>88.78</v>
      </c>
      <c r="H9" t="s">
        <v>14</v>
      </c>
      <c r="I9">
        <f>VLOOKUP(H9,$A$1:F$161,I$2,0)</f>
        <v>2</v>
      </c>
      <c r="J9">
        <f>VLOOKUP(H9,$A$1:F$161,J$2,0)</f>
        <v>9</v>
      </c>
      <c r="K9">
        <f>VLOOKUP(H9,$A$1:F$161,K$2,0)</f>
        <v>16.97</v>
      </c>
      <c r="L9">
        <f>VLOOKUP(H9,$A$1:F$161,L$2,0)</f>
        <v>31.67</v>
      </c>
      <c r="M9">
        <f>VLOOKUP(H9,$A$1:F$161,M$2,0)</f>
        <v>0</v>
      </c>
    </row>
    <row r="10" spans="1:13" x14ac:dyDescent="0.25">
      <c r="A10" t="s">
        <v>9</v>
      </c>
      <c r="B10">
        <v>89</v>
      </c>
      <c r="C10">
        <v>89</v>
      </c>
      <c r="D10">
        <v>88.78</v>
      </c>
      <c r="E10">
        <v>88.78</v>
      </c>
      <c r="F10">
        <v>88.78</v>
      </c>
      <c r="H10" t="s">
        <v>16</v>
      </c>
      <c r="I10">
        <f>VLOOKUP(H10,$A$1:F$161,I$2,0)</f>
        <v>1143</v>
      </c>
      <c r="J10">
        <f>VLOOKUP(H10,$A$1:F$161,J$2,0)</f>
        <v>1063</v>
      </c>
      <c r="K10">
        <f>VLOOKUP(H10,$A$1:F$161,K$2,0)</f>
        <v>1060.81</v>
      </c>
      <c r="L10">
        <f>VLOOKUP(H10,$A$1:F$161,L$2,0)</f>
        <v>1.33</v>
      </c>
      <c r="M10">
        <f>VLOOKUP(H10,$A$1:F$161,M$2,0)</f>
        <v>1.26</v>
      </c>
    </row>
    <row r="11" spans="1:13" x14ac:dyDescent="0.25">
      <c r="A11" t="s">
        <v>10</v>
      </c>
      <c r="B11">
        <v>9208</v>
      </c>
      <c r="C11">
        <v>7404</v>
      </c>
      <c r="D11">
        <v>6575.97</v>
      </c>
      <c r="E11">
        <v>5981.37</v>
      </c>
      <c r="F11">
        <v>5001.1000000000004</v>
      </c>
      <c r="H11" t="s">
        <v>17</v>
      </c>
      <c r="I11">
        <f>VLOOKUP(H11,$A$1:F$161,I$2,0)</f>
        <v>198</v>
      </c>
      <c r="J11">
        <f>VLOOKUP(H11,$A$1:F$161,J$2,0)</f>
        <v>156</v>
      </c>
      <c r="K11">
        <f>VLOOKUP(H11,$A$1:F$161,K$2,0)</f>
        <v>166.12</v>
      </c>
      <c r="L11">
        <f>VLOOKUP(H11,$A$1:F$161,L$2,0)</f>
        <v>130.68</v>
      </c>
      <c r="M11">
        <f>VLOOKUP(H11,$A$1:F$161,M$2,0)</f>
        <v>116.34</v>
      </c>
    </row>
    <row r="12" spans="1:13" x14ac:dyDescent="0.25">
      <c r="A12" t="s">
        <v>11</v>
      </c>
      <c r="B12">
        <v>9208</v>
      </c>
      <c r="C12">
        <v>7404</v>
      </c>
      <c r="D12">
        <v>6575.97</v>
      </c>
      <c r="E12">
        <v>5981.37</v>
      </c>
      <c r="F12">
        <v>5001.1000000000004</v>
      </c>
      <c r="H12" t="s">
        <v>18</v>
      </c>
      <c r="I12">
        <f>VLOOKUP(H12,$A$1:F$161,I$2,0)</f>
        <v>1349</v>
      </c>
      <c r="J12">
        <f>VLOOKUP(H12,$A$1:F$161,J$2,0)</f>
        <v>1236</v>
      </c>
      <c r="K12">
        <f>VLOOKUP(H12,$A$1:F$161,K$2,0)</f>
        <v>1250.0899999999999</v>
      </c>
      <c r="L12">
        <f>VLOOKUP(H12,$A$1:F$161,L$2,0)</f>
        <v>169.09</v>
      </c>
      <c r="M12">
        <f>VLOOKUP(H12,$A$1:F$161,M$2,0)</f>
        <v>120.77</v>
      </c>
    </row>
    <row r="13" spans="1:13" x14ac:dyDescent="0.25">
      <c r="A13" t="s">
        <v>118</v>
      </c>
      <c r="B13">
        <v>6</v>
      </c>
      <c r="C13">
        <v>4</v>
      </c>
      <c r="D13">
        <v>4</v>
      </c>
      <c r="E13">
        <v>0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9303</v>
      </c>
      <c r="C14">
        <v>7497</v>
      </c>
      <c r="D14">
        <v>6668.75</v>
      </c>
      <c r="E14">
        <v>6070.15</v>
      </c>
      <c r="F14">
        <v>5089.88</v>
      </c>
      <c r="H14" t="s">
        <v>21</v>
      </c>
      <c r="I14">
        <f>VLOOKUP(H14,$A$1:F$161,I$2,0)</f>
        <v>1294</v>
      </c>
      <c r="J14">
        <f>VLOOKUP(H14,$A$1:F$161,J$2,0)</f>
        <v>789</v>
      </c>
      <c r="K14">
        <f>VLOOKUP(H14,$A$1:F$161,K$2,0)</f>
        <v>596.71</v>
      </c>
      <c r="L14">
        <f>VLOOKUP(H14,$A$1:F$161,L$2,0)</f>
        <v>905.98</v>
      </c>
      <c r="M14">
        <f>VLOOKUP(H14,$A$1:F$161,M$2,0)</f>
        <v>877.74</v>
      </c>
    </row>
    <row r="15" spans="1:13" x14ac:dyDescent="0.25">
      <c r="A15" t="s">
        <v>116</v>
      </c>
      <c r="B15">
        <v>30</v>
      </c>
      <c r="C15">
        <v>5</v>
      </c>
      <c r="D15">
        <v>4.4000000000000004</v>
      </c>
      <c r="E15">
        <v>14.08</v>
      </c>
      <c r="F15">
        <v>-1.82</v>
      </c>
      <c r="H15" t="s">
        <v>22</v>
      </c>
      <c r="I15">
        <f>VLOOKUP(H15,$A$1:F$161,I$2,0)</f>
        <v>8664</v>
      </c>
      <c r="J15">
        <f>VLOOKUP(H15,$A$1:F$161,J$2,0)</f>
        <v>2529</v>
      </c>
      <c r="K15">
        <f>VLOOKUP(H15,$A$1:F$161,K$2,0)</f>
        <v>2619.69</v>
      </c>
      <c r="L15">
        <f>VLOOKUP(H15,$A$1:F$161,L$2,0)</f>
        <v>2137.63</v>
      </c>
      <c r="M15">
        <f>VLOOKUP(H15,$A$1:F$161,M$2,0)</f>
        <v>1721.9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38</v>
      </c>
      <c r="J16">
        <f>VLOOKUP(H16,$A$1:F$161,J$2,0)</f>
        <v>30</v>
      </c>
      <c r="K16">
        <f>VLOOKUP(H16,$A$1:F$161,K$2,0)</f>
        <v>119.7</v>
      </c>
      <c r="L16">
        <f>VLOOKUP(H16,$A$1:F$161,L$2,0)</f>
        <v>65.34</v>
      </c>
      <c r="M16">
        <f>VLOOKUP(H16,$A$1:F$161,M$2,0)</f>
        <v>24.73</v>
      </c>
    </row>
    <row r="17" spans="1:13" x14ac:dyDescent="0.25">
      <c r="A17" t="s">
        <v>14</v>
      </c>
      <c r="B17">
        <v>2</v>
      </c>
      <c r="C17">
        <v>9</v>
      </c>
      <c r="D17">
        <v>16.97</v>
      </c>
      <c r="E17">
        <v>31.67</v>
      </c>
      <c r="F17">
        <v>0</v>
      </c>
      <c r="H17" t="s">
        <v>24</v>
      </c>
      <c r="I17">
        <f>VLOOKUP(H17,$A$1:F$161,I$2,0)</f>
        <v>10512</v>
      </c>
      <c r="J17">
        <f>VLOOKUP(H17,$A$1:F$161,J$2,0)</f>
        <v>7714</v>
      </c>
      <c r="K17">
        <f>VLOOKUP(H17,$A$1:F$161,K$2,0)</f>
        <v>5626.55</v>
      </c>
      <c r="L17">
        <f>VLOOKUP(H17,$A$1:F$161,L$2,0)</f>
        <v>5461.93</v>
      </c>
      <c r="M17">
        <f>VLOOKUP(H17,$A$1:F$161,M$2,0)</f>
        <v>4315.38</v>
      </c>
    </row>
    <row r="18" spans="1:13" x14ac:dyDescent="0.25">
      <c r="A18" t="s">
        <v>15</v>
      </c>
      <c r="B18">
        <v>6</v>
      </c>
      <c r="C18">
        <v>8</v>
      </c>
      <c r="D18">
        <v>6.19</v>
      </c>
      <c r="E18">
        <v>5.41</v>
      </c>
      <c r="F18">
        <v>3.17</v>
      </c>
      <c r="H18" t="s">
        <v>25</v>
      </c>
      <c r="I18">
        <f>VLOOKUP(H18,$A$1:F$161,I$2,0)</f>
        <v>21194</v>
      </c>
      <c r="J18">
        <f>VLOOKUP(H18,$A$1:F$161,J$2,0)</f>
        <v>16452</v>
      </c>
      <c r="K18">
        <f>VLOOKUP(H18,$A$1:F$161,K$2,0)</f>
        <v>13549.79</v>
      </c>
      <c r="L18">
        <f>VLOOKUP(H18,$A$1:F$161,L$2,0)</f>
        <v>11715.25</v>
      </c>
      <c r="M18">
        <f>VLOOKUP(H18,$A$1:F$161,M$2,0)</f>
        <v>9524.2099999999991</v>
      </c>
    </row>
    <row r="19" spans="1:13" x14ac:dyDescent="0.25">
      <c r="A19" t="s">
        <v>16</v>
      </c>
      <c r="B19">
        <v>1143</v>
      </c>
      <c r="C19">
        <v>1063</v>
      </c>
      <c r="D19">
        <v>1060.81</v>
      </c>
      <c r="E19">
        <v>1.33</v>
      </c>
      <c r="F19">
        <v>1.26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198</v>
      </c>
      <c r="C20">
        <v>156</v>
      </c>
      <c r="D20">
        <v>166.12</v>
      </c>
      <c r="E20">
        <v>130.68</v>
      </c>
      <c r="F20">
        <v>116.34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1349</v>
      </c>
      <c r="C21">
        <v>1236</v>
      </c>
      <c r="D21">
        <v>1250.0899999999999</v>
      </c>
      <c r="E21">
        <v>169.09</v>
      </c>
      <c r="F21">
        <v>120.77</v>
      </c>
      <c r="H21" t="s">
        <v>28</v>
      </c>
      <c r="I21">
        <f>VLOOKUP(H21,$A$1:F$161,I$2,0)</f>
        <v>2192</v>
      </c>
      <c r="J21">
        <f>VLOOKUP(H21,$A$1:F$161,J$2,0)</f>
        <v>2157</v>
      </c>
      <c r="K21">
        <f>VLOOKUP(H21,$A$1:F$161,K$2,0)</f>
        <v>2244.14</v>
      </c>
      <c r="L21">
        <f>VLOOKUP(H21,$A$1:F$161,L$2,0)</f>
        <v>1206.33</v>
      </c>
      <c r="M21">
        <f>VLOOKUP(H21,$A$1:F$161,M$2,0)</f>
        <v>1124.72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69</v>
      </c>
      <c r="J22">
        <f>VLOOKUP(H22,$A$1:F$161,J$2,0)</f>
        <v>19</v>
      </c>
      <c r="K22">
        <f>VLOOKUP(H22,$A$1:F$161,K$2,0)</f>
        <v>11.52</v>
      </c>
      <c r="L22">
        <f>VLOOKUP(H22,$A$1:F$161,L$2,0)</f>
        <v>28.95</v>
      </c>
      <c r="M22">
        <f>VLOOKUP(H22,$A$1:F$161,M$2,0)</f>
        <v>43.01</v>
      </c>
    </row>
    <row r="23" spans="1:13" x14ac:dyDescent="0.25">
      <c r="A23" t="s">
        <v>20</v>
      </c>
      <c r="B23">
        <v>516</v>
      </c>
      <c r="C23">
        <v>4366</v>
      </c>
      <c r="D23">
        <v>2290.4499999999998</v>
      </c>
      <c r="E23">
        <v>2352.98</v>
      </c>
      <c r="F23">
        <v>1691.01</v>
      </c>
      <c r="H23" t="s">
        <v>30</v>
      </c>
      <c r="I23">
        <f>VLOOKUP(H23,$A$1:F$161,I$2,0)</f>
        <v>2506</v>
      </c>
      <c r="J23">
        <f>VLOOKUP(H23,$A$1:F$161,J$2,0)</f>
        <v>2432</v>
      </c>
      <c r="K23">
        <f>VLOOKUP(H23,$A$1:F$161,K$2,0)</f>
        <v>2528.66</v>
      </c>
      <c r="L23">
        <f>VLOOKUP(H23,$A$1:F$161,L$2,0)</f>
        <v>1475.39</v>
      </c>
      <c r="M23">
        <f>VLOOKUP(H23,$A$1:F$161,M$2,0)</f>
        <v>1394.17</v>
      </c>
    </row>
    <row r="24" spans="1:13" x14ac:dyDescent="0.25">
      <c r="A24" t="s">
        <v>21</v>
      </c>
      <c r="B24">
        <v>1294</v>
      </c>
      <c r="C24">
        <v>789</v>
      </c>
      <c r="D24">
        <v>596.71</v>
      </c>
      <c r="E24">
        <v>905.98</v>
      </c>
      <c r="F24">
        <v>877.74</v>
      </c>
      <c r="H24" t="s">
        <v>32</v>
      </c>
      <c r="I24">
        <f>VLOOKUP(H24,$A$1:F$161,I$2,0)</f>
        <v>137</v>
      </c>
      <c r="J24">
        <f>VLOOKUP(H24,$A$1:F$161,J$2,0)</f>
        <v>105</v>
      </c>
      <c r="K24">
        <f>VLOOKUP(H24,$A$1:F$161,K$2,0)</f>
        <v>159</v>
      </c>
      <c r="L24">
        <f>VLOOKUP(H24,$A$1:F$161,L$2,0)</f>
        <v>74.180000000000007</v>
      </c>
      <c r="M24">
        <f>VLOOKUP(H24,$A$1:F$161,M$2,0)</f>
        <v>36.06</v>
      </c>
    </row>
    <row r="25" spans="1:13" x14ac:dyDescent="0.25">
      <c r="A25" t="s">
        <v>22</v>
      </c>
      <c r="B25">
        <v>8664</v>
      </c>
      <c r="C25">
        <v>2529</v>
      </c>
      <c r="D25">
        <v>2619.69</v>
      </c>
      <c r="E25">
        <v>2137.63</v>
      </c>
      <c r="F25">
        <v>1721.9</v>
      </c>
      <c r="H25" t="s">
        <v>33</v>
      </c>
      <c r="I25">
        <f>VLOOKUP(H25,$A$1:F$161,I$2,0)</f>
        <v>42</v>
      </c>
      <c r="J25">
        <f>VLOOKUP(H25,$A$1:F$161,J$2,0)</f>
        <v>158</v>
      </c>
      <c r="K25">
        <f>VLOOKUP(H25,$A$1:F$161,K$2,0)</f>
        <v>153.5</v>
      </c>
      <c r="L25">
        <f>VLOOKUP(H25,$A$1:F$161,L$2,0)</f>
        <v>129.13</v>
      </c>
      <c r="M25">
        <f>VLOOKUP(H25,$A$1:F$161,M$2,0)</f>
        <v>0</v>
      </c>
    </row>
    <row r="26" spans="1:13" x14ac:dyDescent="0.25">
      <c r="A26" t="s">
        <v>23</v>
      </c>
      <c r="B26">
        <v>38</v>
      </c>
      <c r="C26">
        <v>30</v>
      </c>
      <c r="D26">
        <v>119.7</v>
      </c>
      <c r="E26">
        <v>65.34</v>
      </c>
      <c r="F26">
        <v>24.73</v>
      </c>
      <c r="H26" t="s">
        <v>34</v>
      </c>
      <c r="I26">
        <f>VLOOKUP(H26,$A$1:F$161,I$2,0)</f>
        <v>653</v>
      </c>
      <c r="J26">
        <f>VLOOKUP(H26,$A$1:F$161,J$2,0)</f>
        <v>418</v>
      </c>
      <c r="K26">
        <f>VLOOKUP(H26,$A$1:F$161,K$2,0)</f>
        <v>420.96</v>
      </c>
      <c r="L26">
        <f>VLOOKUP(H26,$A$1:F$161,L$2,0)</f>
        <v>287.04000000000002</v>
      </c>
      <c r="M26">
        <f>VLOOKUP(H26,$A$1:F$161,M$2,0)</f>
        <v>335.58</v>
      </c>
    </row>
    <row r="27" spans="1:13" x14ac:dyDescent="0.25">
      <c r="A27" t="s">
        <v>24</v>
      </c>
      <c r="B27">
        <v>10512</v>
      </c>
      <c r="C27">
        <v>7714</v>
      </c>
      <c r="D27">
        <v>5626.55</v>
      </c>
      <c r="E27">
        <v>5461.93</v>
      </c>
      <c r="F27">
        <v>4315.38</v>
      </c>
      <c r="H27" t="s">
        <v>35</v>
      </c>
      <c r="I27">
        <f>VLOOKUP(H27,$A$1:F$161,I$2,0)</f>
        <v>3740</v>
      </c>
      <c r="J27">
        <f>VLOOKUP(H27,$A$1:F$161,J$2,0)</f>
        <v>3255</v>
      </c>
      <c r="K27">
        <f>VLOOKUP(H27,$A$1:F$161,K$2,0)</f>
        <v>3429.49</v>
      </c>
      <c r="L27">
        <f>VLOOKUP(H27,$A$1:F$161,L$2,0)</f>
        <v>2127.9499999999998</v>
      </c>
      <c r="M27">
        <f>VLOOKUP(H27,$A$1:F$161,M$2,0)</f>
        <v>1923.2</v>
      </c>
    </row>
    <row r="28" spans="1:13" x14ac:dyDescent="0.25">
      <c r="A28" t="s">
        <v>25</v>
      </c>
      <c r="B28">
        <v>21194</v>
      </c>
      <c r="C28">
        <v>16452</v>
      </c>
      <c r="D28">
        <v>13549.79</v>
      </c>
      <c r="E28">
        <v>11715.25</v>
      </c>
      <c r="F28">
        <v>9524.2099999999991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13609</v>
      </c>
      <c r="J29">
        <f>VLOOKUP(H29,$A$1:F$161,J$2,0)</f>
        <v>8408</v>
      </c>
      <c r="K29">
        <f>VLOOKUP(H29,$A$1:F$161,K$2,0)</f>
        <v>8102.98</v>
      </c>
      <c r="L29">
        <f>VLOOKUP(H29,$A$1:F$161,L$2,0)</f>
        <v>7038.82</v>
      </c>
      <c r="M29">
        <f>VLOOKUP(H29,$A$1:F$161,M$2,0)</f>
        <v>5924.84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565</v>
      </c>
      <c r="J30">
        <f>VLOOKUP(H30,$A$1:F$161,J$2,0)</f>
        <v>366</v>
      </c>
      <c r="K30">
        <f>VLOOKUP(H30,$A$1:F$161,K$2,0)</f>
        <v>311.55</v>
      </c>
      <c r="L30">
        <f>VLOOKUP(H30,$A$1:F$161,L$2,0)</f>
        <v>420.45</v>
      </c>
      <c r="M30">
        <f>VLOOKUP(H30,$A$1:F$161,M$2,0)</f>
        <v>295.69</v>
      </c>
    </row>
    <row r="31" spans="1:13" x14ac:dyDescent="0.25">
      <c r="A31" t="s">
        <v>28</v>
      </c>
      <c r="B31">
        <v>2192</v>
      </c>
      <c r="C31">
        <v>2157</v>
      </c>
      <c r="D31">
        <v>2244.14</v>
      </c>
      <c r="E31">
        <v>1206.33</v>
      </c>
      <c r="F31">
        <v>1124.72</v>
      </c>
      <c r="H31" t="s">
        <v>40</v>
      </c>
      <c r="I31">
        <f>VLOOKUP(H31,$A$1:F$161,I$2,0)</f>
        <v>1573</v>
      </c>
      <c r="J31">
        <f>VLOOKUP(H31,$A$1:F$161,J$2,0)</f>
        <v>560</v>
      </c>
      <c r="K31">
        <f>VLOOKUP(H31,$A$1:F$161,K$2,0)</f>
        <v>381.13</v>
      </c>
      <c r="L31">
        <f>VLOOKUP(H31,$A$1:F$161,L$2,0)</f>
        <v>1066.48</v>
      </c>
      <c r="M31">
        <f>VLOOKUP(H31,$A$1:F$161,M$2,0)</f>
        <v>617.91</v>
      </c>
    </row>
    <row r="32" spans="1:13" x14ac:dyDescent="0.25">
      <c r="A32" t="s">
        <v>106</v>
      </c>
      <c r="B32">
        <v>229</v>
      </c>
      <c r="C32">
        <v>243</v>
      </c>
      <c r="D32">
        <v>266.27999999999997</v>
      </c>
      <c r="E32">
        <v>237.29</v>
      </c>
      <c r="F32">
        <v>226.08</v>
      </c>
      <c r="H32" t="s">
        <v>41</v>
      </c>
      <c r="I32">
        <f>VLOOKUP(H32,$A$1:F$161,I$2,0)</f>
        <v>423</v>
      </c>
      <c r="J32">
        <f>VLOOKUP(H32,$A$1:F$161,J$2,0)</f>
        <v>109</v>
      </c>
      <c r="K32">
        <f>VLOOKUP(H32,$A$1:F$161,K$2,0)</f>
        <v>56.1</v>
      </c>
      <c r="L32">
        <f>VLOOKUP(H32,$A$1:F$161,L$2,0)</f>
        <v>246.6</v>
      </c>
      <c r="M32">
        <f>VLOOKUP(H32,$A$1:F$161,M$2,0)</f>
        <v>0</v>
      </c>
    </row>
    <row r="33" spans="1:13" x14ac:dyDescent="0.25">
      <c r="A33" t="s">
        <v>29</v>
      </c>
      <c r="B33">
        <v>69</v>
      </c>
      <c r="C33">
        <v>19</v>
      </c>
      <c r="D33">
        <v>11.52</v>
      </c>
      <c r="E33">
        <v>28.95</v>
      </c>
      <c r="F33">
        <v>43.01</v>
      </c>
      <c r="H33" t="s">
        <v>42</v>
      </c>
      <c r="I33">
        <f>VLOOKUP(H33,$A$1:F$161,I$2,0)</f>
        <v>1269</v>
      </c>
      <c r="J33">
        <f>VLOOKUP(H33,$A$1:F$161,J$2,0)</f>
        <v>949</v>
      </c>
      <c r="K33">
        <f>VLOOKUP(H33,$A$1:F$161,K$2,0)</f>
        <v>1154.97</v>
      </c>
      <c r="L33">
        <f>VLOOKUP(H33,$A$1:F$161,L$2,0)</f>
        <v>745.73</v>
      </c>
      <c r="M33">
        <f>VLOOKUP(H33,$A$1:F$161,M$2,0)</f>
        <v>760.96</v>
      </c>
    </row>
    <row r="34" spans="1:13" x14ac:dyDescent="0.25">
      <c r="A34" t="s">
        <v>120</v>
      </c>
      <c r="B34">
        <v>16</v>
      </c>
      <c r="C34">
        <v>13</v>
      </c>
      <c r="D34">
        <v>6.72</v>
      </c>
      <c r="E34">
        <v>2.82</v>
      </c>
      <c r="F34">
        <v>0.36</v>
      </c>
      <c r="H34" t="s">
        <v>43</v>
      </c>
      <c r="I34">
        <f>VLOOKUP(H34,$A$1:F$161,I$2,0)</f>
        <v>17454</v>
      </c>
      <c r="J34">
        <f>VLOOKUP(H34,$A$1:F$161,J$2,0)</f>
        <v>13197</v>
      </c>
      <c r="K34">
        <f>VLOOKUP(H34,$A$1:F$161,K$2,0)</f>
        <v>10120.299999999999</v>
      </c>
      <c r="L34">
        <f>VLOOKUP(H34,$A$1:F$161,L$2,0)</f>
        <v>9587.2999999999993</v>
      </c>
      <c r="M34">
        <f>VLOOKUP(H34,$A$1:F$161,M$2,0)</f>
        <v>7601.01</v>
      </c>
    </row>
    <row r="35" spans="1:13" x14ac:dyDescent="0.25">
      <c r="A35" t="s">
        <v>30</v>
      </c>
      <c r="B35">
        <v>2506</v>
      </c>
      <c r="C35">
        <v>2432</v>
      </c>
      <c r="D35">
        <v>2528.66</v>
      </c>
      <c r="E35">
        <v>1475.39</v>
      </c>
      <c r="F35">
        <v>1394.17</v>
      </c>
      <c r="H35" t="s">
        <v>44</v>
      </c>
      <c r="I35">
        <f>VLOOKUP(H35,$A$1:F$161,I$2,0)</f>
        <v>21194</v>
      </c>
      <c r="J35">
        <f>VLOOKUP(H35,$A$1:F$161,J$2,0)</f>
        <v>16452</v>
      </c>
      <c r="K35">
        <f>VLOOKUP(H35,$A$1:F$161,K$2,0)</f>
        <v>13549.79</v>
      </c>
      <c r="L35">
        <f>VLOOKUP(H35,$A$1:F$161,L$2,0)</f>
        <v>11715.25</v>
      </c>
      <c r="M35">
        <f>VLOOKUP(H35,$A$1:F$161,M$2,0)</f>
        <v>9524.2099999999991</v>
      </c>
    </row>
    <row r="36" spans="1:13" x14ac:dyDescent="0.25">
      <c r="A36" t="s">
        <v>31</v>
      </c>
      <c r="B36">
        <v>279</v>
      </c>
      <c r="C36">
        <v>19</v>
      </c>
      <c r="D36">
        <v>44.36</v>
      </c>
      <c r="E36">
        <v>39.200000000000003</v>
      </c>
      <c r="F36">
        <v>34.380000000000003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32</v>
      </c>
      <c r="B37">
        <v>137</v>
      </c>
      <c r="C37">
        <v>105</v>
      </c>
      <c r="D37">
        <v>159</v>
      </c>
      <c r="E37">
        <v>74.180000000000007</v>
      </c>
      <c r="F37">
        <v>36.06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33</v>
      </c>
      <c r="B38">
        <v>42</v>
      </c>
      <c r="C38">
        <v>158</v>
      </c>
      <c r="D38">
        <v>153.5</v>
      </c>
      <c r="E38">
        <v>129.13</v>
      </c>
      <c r="F38">
        <v>0</v>
      </c>
      <c r="H38" t="s">
        <v>47</v>
      </c>
      <c r="I38">
        <f>VLOOKUP(H38,$A$1:F$161,I$2,0)</f>
        <v>569</v>
      </c>
      <c r="J38">
        <f>VLOOKUP(H38,$A$1:F$161,J$2,0)</f>
        <v>436</v>
      </c>
      <c r="K38">
        <f>VLOOKUP(H38,$A$1:F$161,K$2,0)</f>
        <v>454.91</v>
      </c>
      <c r="L38">
        <f>VLOOKUP(H38,$A$1:F$161,L$2,0)</f>
        <v>426.12</v>
      </c>
      <c r="M38">
        <f>VLOOKUP(H38,$A$1:F$161,M$2,0)</f>
        <v>0</v>
      </c>
    </row>
    <row r="39" spans="1:13" x14ac:dyDescent="0.25">
      <c r="A39" t="s">
        <v>34</v>
      </c>
      <c r="B39">
        <v>653</v>
      </c>
      <c r="C39">
        <v>418</v>
      </c>
      <c r="D39">
        <v>420.96</v>
      </c>
      <c r="E39">
        <v>287.04000000000002</v>
      </c>
      <c r="F39">
        <v>335.58</v>
      </c>
      <c r="H39" t="s">
        <v>62</v>
      </c>
      <c r="I39">
        <f>VLOOKUP(H39,$A$1:F$161,I$2,0)</f>
        <v>15</v>
      </c>
      <c r="J39">
        <f>VLOOKUP(H39,$A$1:F$161,J$2,0)</f>
        <v>2805</v>
      </c>
      <c r="K39">
        <f>VLOOKUP(H39,$A$1:F$161,K$2,0)</f>
        <v>113.57</v>
      </c>
      <c r="L39">
        <f>VLOOKUP(H39,$A$1:F$161,L$2,0)</f>
        <v>69.22</v>
      </c>
      <c r="M39">
        <f>VLOOKUP(H39,$A$1:F$161,M$2,0)</f>
        <v>1.61</v>
      </c>
    </row>
    <row r="40" spans="1:13" x14ac:dyDescent="0.25">
      <c r="A40" t="s">
        <v>35</v>
      </c>
      <c r="B40">
        <v>3740</v>
      </c>
      <c r="C40">
        <v>3255</v>
      </c>
      <c r="D40">
        <v>3429.49</v>
      </c>
      <c r="E40">
        <v>2127.9499999999998</v>
      </c>
      <c r="F40">
        <v>1923.2</v>
      </c>
      <c r="H40" t="s">
        <v>63</v>
      </c>
      <c r="I40">
        <f>VLOOKUP(H40,$A$1:F$161,I$2,0)</f>
        <v>0</v>
      </c>
      <c r="J40">
        <f>VLOOKUP(H40,$A$1:F$161,J$2,0)</f>
        <v>0</v>
      </c>
      <c r="K40">
        <f>VLOOKUP(H40,$A$1:F$161,K$2,0)</f>
        <v>0</v>
      </c>
      <c r="L40">
        <f>VLOOKUP(H40,$A$1:F$161,L$2,0)</f>
        <v>0</v>
      </c>
      <c r="M40">
        <f>VLOOKUP(H40,$A$1:F$161,M$2,0)</f>
        <v>1.61</v>
      </c>
    </row>
    <row r="41" spans="1:13" ht="15" customHeight="1" x14ac:dyDescent="0.25">
      <c r="A41" t="s">
        <v>36</v>
      </c>
      <c r="H41" t="s">
        <v>64</v>
      </c>
      <c r="I41">
        <f>VLOOKUP(H41,$A$1:F$161,I$2,0)</f>
        <v>15</v>
      </c>
      <c r="J41">
        <f>VLOOKUP(H41,$A$1:F$161,J$2,0)</f>
        <v>2805</v>
      </c>
      <c r="K41">
        <f>VLOOKUP(H41,$A$1:F$161,K$2,0)</f>
        <v>113.57</v>
      </c>
      <c r="L41">
        <f>VLOOKUP(H41,$A$1:F$161,L$2,0)</f>
        <v>69.22</v>
      </c>
      <c r="M41">
        <f>VLOOKUP(H41,$A$1:F$161,M$2,0)</f>
        <v>0</v>
      </c>
    </row>
    <row r="42" spans="1:13" x14ac:dyDescent="0.25">
      <c r="A42" t="s">
        <v>37</v>
      </c>
      <c r="B42">
        <v>15</v>
      </c>
      <c r="C42">
        <v>2805</v>
      </c>
      <c r="D42">
        <v>113.57</v>
      </c>
      <c r="E42">
        <v>69.22</v>
      </c>
      <c r="F42">
        <v>1.61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38</v>
      </c>
      <c r="B43">
        <v>13609</v>
      </c>
      <c r="C43">
        <v>8408</v>
      </c>
      <c r="D43">
        <v>8102.98</v>
      </c>
      <c r="E43">
        <v>7038.82</v>
      </c>
      <c r="F43">
        <v>5924.84</v>
      </c>
      <c r="H43" t="s">
        <v>68</v>
      </c>
      <c r="I43">
        <f>VLOOKUP(H43,$A$1:F$161,I$2,0)</f>
        <v>27417</v>
      </c>
      <c r="J43">
        <f>VLOOKUP(H43,$A$1:F$161,J$2,0)</f>
        <v>20088</v>
      </c>
      <c r="K43">
        <f>VLOOKUP(H43,$A$1:F$161,K$2,0)</f>
        <v>20767.7</v>
      </c>
      <c r="L43">
        <f>VLOOKUP(H43,$A$1:F$161,L$2,0)</f>
        <v>19592.060000000001</v>
      </c>
      <c r="M43">
        <f>VLOOKUP(H43,$A$1:F$161,M$2,0)</f>
        <v>15982.67</v>
      </c>
    </row>
    <row r="44" spans="1:13" x14ac:dyDescent="0.25">
      <c r="A44" t="s">
        <v>39</v>
      </c>
      <c r="B44">
        <v>565</v>
      </c>
      <c r="C44">
        <v>366</v>
      </c>
      <c r="D44">
        <v>311.55</v>
      </c>
      <c r="E44">
        <v>420.45</v>
      </c>
      <c r="F44">
        <v>295.69</v>
      </c>
      <c r="H44" t="s">
        <v>70</v>
      </c>
      <c r="I44">
        <f>VLOOKUP(H44,$A$1:F$161,I$2,0)</f>
        <v>27417</v>
      </c>
      <c r="J44">
        <f>VLOOKUP(H44,$A$1:F$161,J$2,0)</f>
        <v>20088</v>
      </c>
      <c r="K44">
        <f>VLOOKUP(H44,$A$1:F$161,K$2,0)</f>
        <v>20767.7</v>
      </c>
      <c r="L44">
        <f>VLOOKUP(H44,$A$1:F$161,L$2,0)</f>
        <v>19592.060000000001</v>
      </c>
      <c r="M44">
        <f>VLOOKUP(H44,$A$1:F$161,M$2,0)</f>
        <v>15946.49</v>
      </c>
    </row>
    <row r="45" spans="1:13" x14ac:dyDescent="0.25">
      <c r="A45" t="s">
        <v>40</v>
      </c>
      <c r="B45">
        <v>1573</v>
      </c>
      <c r="C45">
        <v>560</v>
      </c>
      <c r="D45">
        <v>381.13</v>
      </c>
      <c r="E45">
        <v>1066.48</v>
      </c>
      <c r="F45">
        <v>617.91</v>
      </c>
      <c r="H45" t="s">
        <v>71</v>
      </c>
      <c r="I45">
        <f>VLOOKUP(H45,$A$1:F$161,I$2,0)</f>
        <v>1382</v>
      </c>
      <c r="J45">
        <f>VLOOKUP(H45,$A$1:F$161,J$2,0)</f>
        <v>1556</v>
      </c>
      <c r="K45">
        <f>VLOOKUP(H45,$A$1:F$161,K$2,0)</f>
        <v>283.83999999999997</v>
      </c>
      <c r="L45">
        <f>VLOOKUP(H45,$A$1:F$161,L$2,0)</f>
        <v>186.46</v>
      </c>
      <c r="M45">
        <f>VLOOKUP(H45,$A$1:F$161,M$2,0)</f>
        <v>173.28</v>
      </c>
    </row>
    <row r="46" spans="1:13" x14ac:dyDescent="0.25">
      <c r="A46" t="s">
        <v>41</v>
      </c>
      <c r="B46">
        <v>423</v>
      </c>
      <c r="C46">
        <v>109</v>
      </c>
      <c r="D46">
        <v>56.1</v>
      </c>
      <c r="E46">
        <v>246.6</v>
      </c>
      <c r="F46">
        <v>0</v>
      </c>
      <c r="H46" t="s">
        <v>72</v>
      </c>
      <c r="I46">
        <f>VLOOKUP(H46,$A$1:F$161,I$2,0)</f>
        <v>28799</v>
      </c>
      <c r="J46">
        <f>VLOOKUP(H46,$A$1:F$161,J$2,0)</f>
        <v>21644</v>
      </c>
      <c r="K46">
        <f>VLOOKUP(H46,$A$1:F$161,K$2,0)</f>
        <v>21051.54</v>
      </c>
      <c r="L46">
        <f>VLOOKUP(H46,$A$1:F$161,L$2,0)</f>
        <v>19778.52</v>
      </c>
      <c r="M46">
        <f>VLOOKUP(H46,$A$1:F$161,M$2,0)</f>
        <v>16119.77</v>
      </c>
    </row>
    <row r="47" spans="1:13" x14ac:dyDescent="0.25">
      <c r="A47" t="s">
        <v>42</v>
      </c>
      <c r="B47">
        <v>1269</v>
      </c>
      <c r="C47">
        <v>949</v>
      </c>
      <c r="D47">
        <v>1154.97</v>
      </c>
      <c r="E47">
        <v>745.73</v>
      </c>
      <c r="F47">
        <v>760.96</v>
      </c>
      <c r="H47" t="s">
        <v>73</v>
      </c>
      <c r="I47">
        <f>VLOOKUP(H47,$A$1:F$161,I$2,0)</f>
        <v>234</v>
      </c>
      <c r="J47">
        <f>VLOOKUP(H47,$A$1:F$161,J$2,0)</f>
        <v>186</v>
      </c>
      <c r="K47">
        <f>VLOOKUP(H47,$A$1:F$161,K$2,0)</f>
        <v>153.22999999999999</v>
      </c>
      <c r="L47">
        <f>VLOOKUP(H47,$A$1:F$161,L$2,0)</f>
        <v>182.94</v>
      </c>
      <c r="M47">
        <f>VLOOKUP(H47,$A$1:F$161,M$2,0)</f>
        <v>88.86</v>
      </c>
    </row>
    <row r="48" spans="1:13" x14ac:dyDescent="0.25">
      <c r="A48" t="s">
        <v>43</v>
      </c>
      <c r="B48">
        <v>17454</v>
      </c>
      <c r="C48">
        <v>13197</v>
      </c>
      <c r="D48">
        <v>10120.299999999999</v>
      </c>
      <c r="E48">
        <v>9587.2999999999993</v>
      </c>
      <c r="F48">
        <v>7601.01</v>
      </c>
      <c r="H48" t="s">
        <v>74</v>
      </c>
      <c r="I48">
        <f>VLOOKUP(H48,$A$1:F$161,I$2,0)</f>
        <v>29033</v>
      </c>
      <c r="J48">
        <f>VLOOKUP(H48,$A$1:F$161,J$2,0)</f>
        <v>21830</v>
      </c>
      <c r="K48">
        <f>VLOOKUP(H48,$A$1:F$161,K$2,0)</f>
        <v>21204.77</v>
      </c>
      <c r="L48">
        <f>VLOOKUP(H48,$A$1:F$161,L$2,0)</f>
        <v>19961.46</v>
      </c>
      <c r="M48">
        <f>VLOOKUP(H48,$A$1:F$161,M$2,0)</f>
        <v>16208.63</v>
      </c>
    </row>
    <row r="49" spans="1:13" x14ac:dyDescent="0.25">
      <c r="A49" t="s">
        <v>44</v>
      </c>
      <c r="B49">
        <v>21194</v>
      </c>
      <c r="C49">
        <v>16452</v>
      </c>
      <c r="D49">
        <v>13549.79</v>
      </c>
      <c r="E49">
        <v>11715.25</v>
      </c>
      <c r="F49">
        <v>9524.2099999999991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45</v>
      </c>
      <c r="H50" t="s">
        <v>76</v>
      </c>
      <c r="I50">
        <f>VLOOKUP(H50,$A$1:F$161,I$2,0)</f>
        <v>22108</v>
      </c>
      <c r="J50">
        <f>VLOOKUP(H50,$A$1:F$161,J$2,0)</f>
        <v>13713</v>
      </c>
      <c r="K50">
        <f>VLOOKUP(H50,$A$1:F$161,K$2,0)</f>
        <v>13042.34</v>
      </c>
      <c r="L50">
        <f>VLOOKUP(H50,$A$1:F$161,L$2,0)</f>
        <v>12230.63</v>
      </c>
      <c r="M50">
        <f>VLOOKUP(H50,$A$1:F$161,M$2,0)</f>
        <v>10452.82</v>
      </c>
    </row>
    <row r="51" spans="1:13" ht="36" customHeight="1" x14ac:dyDescent="0.25">
      <c r="A51" t="s">
        <v>46</v>
      </c>
      <c r="H51" t="s">
        <v>77</v>
      </c>
      <c r="I51">
        <f>VLOOKUP(H51,$A$1:F$161,I$2,0)</f>
        <v>4328</v>
      </c>
      <c r="J51">
        <f>VLOOKUP(H51,$A$1:F$161,J$2,0)</f>
        <v>2579</v>
      </c>
      <c r="K51">
        <f>VLOOKUP(H51,$A$1:F$161,K$2,0)</f>
        <v>2990.8</v>
      </c>
      <c r="L51">
        <f>VLOOKUP(H51,$A$1:F$161,L$2,0)</f>
        <v>2940.03</v>
      </c>
      <c r="M51">
        <f>VLOOKUP(H51,$A$1:F$161,M$2,0)</f>
        <v>2212.0100000000002</v>
      </c>
    </row>
    <row r="52" spans="1:13" x14ac:dyDescent="0.25">
      <c r="A52" t="s">
        <v>47</v>
      </c>
      <c r="B52">
        <v>569</v>
      </c>
      <c r="C52">
        <v>436</v>
      </c>
      <c r="D52">
        <v>454.91</v>
      </c>
      <c r="E52">
        <v>426.12</v>
      </c>
      <c r="F52">
        <v>0</v>
      </c>
      <c r="H52" t="s">
        <v>78</v>
      </c>
      <c r="I52">
        <f>VLOOKUP(H52,$A$1:F$161,I$2,0)</f>
        <v>-4795</v>
      </c>
      <c r="J52">
        <f>VLOOKUP(H52,$A$1:F$161,J$2,0)</f>
        <v>122</v>
      </c>
      <c r="K52">
        <f>VLOOKUP(H52,$A$1:F$161,K$2,0)</f>
        <v>-878.07</v>
      </c>
      <c r="L52">
        <f>VLOOKUP(H52,$A$1:F$161,L$2,0)</f>
        <v>-776.41</v>
      </c>
      <c r="M52">
        <f>VLOOKUP(H52,$A$1:F$161,M$2,0)</f>
        <v>-978.61</v>
      </c>
    </row>
    <row r="53" spans="1:13" ht="15" customHeight="1" x14ac:dyDescent="0.25">
      <c r="A53" t="s">
        <v>57</v>
      </c>
      <c r="H53" t="s">
        <v>79</v>
      </c>
      <c r="I53">
        <f>VLOOKUP(H53,$A$1:F$161,I$2,0)</f>
        <v>1349</v>
      </c>
      <c r="J53">
        <f>VLOOKUP(H53,$A$1:F$161,J$2,0)</f>
        <v>1065</v>
      </c>
      <c r="K53">
        <f>VLOOKUP(H53,$A$1:F$161,K$2,0)</f>
        <v>1199.42</v>
      </c>
      <c r="L53">
        <f>VLOOKUP(H53,$A$1:F$161,L$2,0)</f>
        <v>1019.27</v>
      </c>
      <c r="M53">
        <f>VLOOKUP(H53,$A$1:F$161,M$2,0)</f>
        <v>885.08</v>
      </c>
    </row>
    <row r="54" spans="1:13" x14ac:dyDescent="0.25">
      <c r="A54" t="s">
        <v>58</v>
      </c>
      <c r="B54">
        <v>44.38</v>
      </c>
      <c r="C54">
        <v>44.38</v>
      </c>
      <c r="D54">
        <v>44.39</v>
      </c>
      <c r="E54">
        <v>44.39</v>
      </c>
      <c r="F54">
        <v>44.39</v>
      </c>
      <c r="H54" t="s">
        <v>80</v>
      </c>
      <c r="I54">
        <f>VLOOKUP(H54,$A$1:F$161,I$2,0)</f>
        <v>218</v>
      </c>
      <c r="J54">
        <f>VLOOKUP(H54,$A$1:F$161,J$2,0)</f>
        <v>203</v>
      </c>
      <c r="K54">
        <f>VLOOKUP(H54,$A$1:F$161,K$2,0)</f>
        <v>166.17</v>
      </c>
      <c r="L54">
        <f>VLOOKUP(H54,$A$1:F$161,L$2,0)</f>
        <v>52.54</v>
      </c>
      <c r="M54">
        <f>VLOOKUP(H54,$A$1:F$161,M$2,0)</f>
        <v>52.92</v>
      </c>
    </row>
    <row r="55" spans="1:13" ht="24" customHeight="1" x14ac:dyDescent="0.25">
      <c r="A55" t="s">
        <v>59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60</v>
      </c>
      <c r="B56">
        <v>1</v>
      </c>
      <c r="C56">
        <v>0</v>
      </c>
      <c r="D56">
        <v>0.44</v>
      </c>
      <c r="E56">
        <v>0.41</v>
      </c>
      <c r="F56">
        <v>0.44</v>
      </c>
      <c r="H56" t="s">
        <v>82</v>
      </c>
      <c r="I56">
        <f>VLOOKUP(H56,$A$1:F$161,I$2,0)</f>
        <v>399</v>
      </c>
      <c r="J56">
        <f>VLOOKUP(H56,$A$1:F$161,J$2,0)</f>
        <v>375</v>
      </c>
      <c r="K56">
        <f>VLOOKUP(H56,$A$1:F$161,K$2,0)</f>
        <v>347.96</v>
      </c>
      <c r="L56">
        <f>VLOOKUP(H56,$A$1:F$161,L$2,0)</f>
        <v>162.84</v>
      </c>
      <c r="M56">
        <f>VLOOKUP(H56,$A$1:F$161,M$2,0)</f>
        <v>131.43</v>
      </c>
    </row>
    <row r="57" spans="1:13" x14ac:dyDescent="0.25">
      <c r="A57" t="s">
        <v>61</v>
      </c>
      <c r="B57">
        <v>278</v>
      </c>
      <c r="C57">
        <v>19</v>
      </c>
      <c r="D57">
        <v>43.92</v>
      </c>
      <c r="E57">
        <v>38.79</v>
      </c>
      <c r="F57">
        <v>33.94</v>
      </c>
      <c r="H57" t="s">
        <v>83</v>
      </c>
      <c r="I57">
        <f>VLOOKUP(H57,$A$1:F$161,I$2,0)</f>
        <v>2468</v>
      </c>
      <c r="J57">
        <f>VLOOKUP(H57,$A$1:F$161,J$2,0)</f>
        <v>2441</v>
      </c>
      <c r="K57">
        <f>VLOOKUP(H57,$A$1:F$161,K$2,0)</f>
        <v>2230.4699999999998</v>
      </c>
      <c r="L57">
        <f>VLOOKUP(H57,$A$1:F$161,L$2,0)</f>
        <v>2373.5100000000002</v>
      </c>
      <c r="M57">
        <f>VLOOKUP(H57,$A$1:F$161,M$2,0)</f>
        <v>1903.78</v>
      </c>
    </row>
    <row r="58" spans="1:13" ht="24" customHeight="1" x14ac:dyDescent="0.25">
      <c r="A58" t="s">
        <v>62</v>
      </c>
      <c r="H58" t="s">
        <v>84</v>
      </c>
      <c r="I58">
        <f>VLOOKUP(H58,$A$1:F$161,I$2,0)</f>
        <v>26075</v>
      </c>
      <c r="J58">
        <f>VLOOKUP(H58,$A$1:F$161,J$2,0)</f>
        <v>20498</v>
      </c>
      <c r="K58">
        <f>VLOOKUP(H58,$A$1:F$161,K$2,0)</f>
        <v>19099.09</v>
      </c>
      <c r="L58">
        <f>VLOOKUP(H58,$A$1:F$161,L$2,0)</f>
        <v>18002.41</v>
      </c>
      <c r="M58">
        <f>VLOOKUP(H58,$A$1:F$161,M$2,0)</f>
        <v>14659.43</v>
      </c>
    </row>
    <row r="59" spans="1:13" x14ac:dyDescent="0.25">
      <c r="A59" t="s">
        <v>63</v>
      </c>
      <c r="B59">
        <v>0</v>
      </c>
      <c r="C59">
        <v>0</v>
      </c>
      <c r="D59">
        <v>0</v>
      </c>
      <c r="E59">
        <v>0</v>
      </c>
      <c r="F59">
        <v>1.61</v>
      </c>
      <c r="H59" t="s">
        <v>85</v>
      </c>
      <c r="I59">
        <f>VLOOKUP(H59,$A$1:F$161,I$2,0)</f>
        <v>2958</v>
      </c>
      <c r="J59">
        <f>VLOOKUP(H59,$A$1:F$161,J$2,0)</f>
        <v>1332</v>
      </c>
      <c r="K59">
        <f>VLOOKUP(H59,$A$1:F$161,K$2,0)</f>
        <v>2105.6799999999998</v>
      </c>
      <c r="L59">
        <f>VLOOKUP(H59,$A$1:F$161,L$2,0)</f>
        <v>1959.05</v>
      </c>
      <c r="M59">
        <f>VLOOKUP(H59,$A$1:F$161,M$2,0)</f>
        <v>1549.2</v>
      </c>
    </row>
    <row r="60" spans="1:13" x14ac:dyDescent="0.25">
      <c r="A60" t="s">
        <v>64</v>
      </c>
      <c r="B60">
        <v>15</v>
      </c>
      <c r="C60">
        <v>2805</v>
      </c>
      <c r="D60">
        <v>113.57</v>
      </c>
      <c r="E60">
        <v>69.22</v>
      </c>
      <c r="F60">
        <v>0</v>
      </c>
      <c r="H60" t="s">
        <v>87</v>
      </c>
      <c r="I60">
        <f>VLOOKUP(H60,$A$1:F$161,I$2,0)</f>
        <v>2904</v>
      </c>
      <c r="J60">
        <f>VLOOKUP(H60,$A$1:F$161,J$2,0)</f>
        <v>1332</v>
      </c>
      <c r="K60">
        <f>VLOOKUP(H60,$A$1:F$161,K$2,0)</f>
        <v>2105.6799999999998</v>
      </c>
      <c r="L60">
        <f>VLOOKUP(H60,$A$1:F$161,L$2,0)</f>
        <v>1959.05</v>
      </c>
      <c r="M60">
        <f>VLOOKUP(H60,$A$1:F$161,M$2,0)</f>
        <v>1532.55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786</v>
      </c>
      <c r="J62">
        <f>VLOOKUP(H62,$A$1:F$161,J$2,0)</f>
        <v>360</v>
      </c>
      <c r="K62">
        <f>VLOOKUP(H62,$A$1:F$161,K$2,0)</f>
        <v>570.20000000000005</v>
      </c>
      <c r="L62">
        <f>VLOOKUP(H62,$A$1:F$161,L$2,0)</f>
        <v>617.5</v>
      </c>
      <c r="M62">
        <f>VLOOKUP(H62,$A$1:F$161,M$2,0)</f>
        <v>449.96</v>
      </c>
    </row>
    <row r="63" spans="1:13" x14ac:dyDescent="0.25">
      <c r="H63" t="s">
        <v>90</v>
      </c>
      <c r="I63">
        <f>VLOOKUP(H63,$A$1:F$161,I$2,0)</f>
        <v>-80</v>
      </c>
      <c r="J63">
        <f>VLOOKUP(H63,$A$1:F$161,J$2,0)</f>
        <v>-7</v>
      </c>
      <c r="K63">
        <f>VLOOKUP(H63,$A$1:F$161,K$2,0)</f>
        <v>38.79</v>
      </c>
      <c r="L63">
        <f>VLOOKUP(H63,$A$1:F$161,L$2,0)</f>
        <v>-49.26</v>
      </c>
      <c r="M63">
        <f>VLOOKUP(H63,$A$1:F$161,M$2,0)</f>
        <v>-22.09</v>
      </c>
    </row>
    <row r="64" spans="1:13" ht="15" customHeight="1" x14ac:dyDescent="0.25">
      <c r="A64" t="s">
        <v>65</v>
      </c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706</v>
      </c>
      <c r="J65">
        <f>VLOOKUP(H65,$A$1:F$161,J$2,0)</f>
        <v>353</v>
      </c>
      <c r="K65">
        <f>VLOOKUP(H65,$A$1:F$161,K$2,0)</f>
        <v>608.99</v>
      </c>
      <c r="L65">
        <f>VLOOKUP(H65,$A$1:F$161,L$2,0)</f>
        <v>568.24</v>
      </c>
      <c r="M65">
        <f>VLOOKUP(H65,$A$1:F$161,M$2,0)</f>
        <v>427.87</v>
      </c>
    </row>
    <row r="66" spans="8:13" x14ac:dyDescent="0.25">
      <c r="H66" t="s">
        <v>92</v>
      </c>
      <c r="I66">
        <f>VLOOKUP(H66,$A$1:F$161,I$2,0)</f>
        <v>2198</v>
      </c>
      <c r="J66">
        <f>VLOOKUP(H66,$A$1:F$161,J$2,0)</f>
        <v>979</v>
      </c>
      <c r="K66">
        <f>VLOOKUP(H66,$A$1:F$161,K$2,0)</f>
        <v>1496.69</v>
      </c>
      <c r="L66">
        <f>VLOOKUP(H66,$A$1:F$161,L$2,0)</f>
        <v>1390.81</v>
      </c>
      <c r="M66">
        <f>VLOOKUP(H66,$A$1:F$161,M$2,0)</f>
        <v>1104.68</v>
      </c>
    </row>
    <row r="67" spans="8:13" x14ac:dyDescent="0.25">
      <c r="H67" t="s">
        <v>93</v>
      </c>
      <c r="I67">
        <f>VLOOKUP(H67,$A$1:F$161,I$2,0)</f>
        <v>2198</v>
      </c>
      <c r="J67">
        <f>VLOOKUP(H67,$A$1:F$161,J$2,0)</f>
        <v>979</v>
      </c>
      <c r="K67">
        <f>VLOOKUP(H67,$A$1:F$161,K$2,0)</f>
        <v>1496.69</v>
      </c>
      <c r="L67">
        <f>VLOOKUP(H67,$A$1:F$161,L$2,0)</f>
        <v>1390.81</v>
      </c>
      <c r="M67">
        <f>VLOOKUP(H67,$A$1:F$161,M$2,0)</f>
        <v>1104.68</v>
      </c>
    </row>
    <row r="68" spans="8:13" x14ac:dyDescent="0.25">
      <c r="H68" t="s">
        <v>94</v>
      </c>
      <c r="I68">
        <f>VLOOKUP(H68,$A$1:F$161,I$2,0)</f>
        <v>2198</v>
      </c>
      <c r="J68">
        <f>VLOOKUP(H68,$A$1:F$161,J$2,0)</f>
        <v>979</v>
      </c>
      <c r="K68">
        <f>VLOOKUP(H68,$A$1:F$161,K$2,0)</f>
        <v>1496.69</v>
      </c>
      <c r="L68">
        <f>VLOOKUP(H68,$A$1:F$161,L$2,0)</f>
        <v>1390.81</v>
      </c>
      <c r="M68">
        <f>VLOOKUP(H68,$A$1:F$161,M$2,0)</f>
        <v>1104.68</v>
      </c>
    </row>
    <row r="69" spans="8:13" x14ac:dyDescent="0.25">
      <c r="H69" t="s">
        <v>101</v>
      </c>
      <c r="I69">
        <f>VLOOKUP(H69,$A$1:F$161,I$2,0)</f>
        <v>355</v>
      </c>
      <c r="J69">
        <f>VLOOKUP(H69,$A$1:F$161,J$2,0)</f>
        <v>355</v>
      </c>
      <c r="K69">
        <f>VLOOKUP(H69,$A$1:F$161,K$2,0)</f>
        <v>443.89</v>
      </c>
      <c r="L69">
        <f>VLOOKUP(H69,$A$1:F$161,L$2,0)</f>
        <v>332.92</v>
      </c>
      <c r="M69">
        <f>VLOOKUP(H69,$A$1:F$161,M$2,0)</f>
        <v>230.81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91.24</v>
      </c>
      <c r="L70">
        <f>VLOOKUP(H70,$A$1:F$161,L$2,0)</f>
        <v>68.45</v>
      </c>
      <c r="M70">
        <f>VLOOKUP(H70,$A$1:F$161,M$2,0)</f>
        <v>46.99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148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27417</v>
      </c>
      <c r="C97">
        <v>20088</v>
      </c>
      <c r="D97">
        <v>20767.7</v>
      </c>
      <c r="E97">
        <v>19592.060000000001</v>
      </c>
      <c r="F97">
        <v>15982.67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36.18</v>
      </c>
    </row>
    <row r="99" spans="1:6" x14ac:dyDescent="0.25">
      <c r="A99" t="s">
        <v>70</v>
      </c>
      <c r="B99">
        <v>27417</v>
      </c>
      <c r="C99">
        <v>20088</v>
      </c>
      <c r="D99">
        <v>20767.7</v>
      </c>
      <c r="E99">
        <v>19592.060000000001</v>
      </c>
      <c r="F99">
        <v>15946.49</v>
      </c>
    </row>
    <row r="100" spans="1:6" x14ac:dyDescent="0.25">
      <c r="A100" t="s">
        <v>71</v>
      </c>
      <c r="B100">
        <v>1382</v>
      </c>
      <c r="C100">
        <v>1556</v>
      </c>
      <c r="D100">
        <v>283.83999999999997</v>
      </c>
      <c r="E100">
        <v>186.46</v>
      </c>
      <c r="F100">
        <v>173.28</v>
      </c>
    </row>
    <row r="101" spans="1:6" x14ac:dyDescent="0.25">
      <c r="A101" t="s">
        <v>72</v>
      </c>
      <c r="B101">
        <v>28799</v>
      </c>
      <c r="C101">
        <v>21644</v>
      </c>
      <c r="D101">
        <v>21051.54</v>
      </c>
      <c r="E101">
        <v>19778.52</v>
      </c>
      <c r="F101">
        <v>16119.77</v>
      </c>
    </row>
    <row r="102" spans="1:6" x14ac:dyDescent="0.25">
      <c r="A102" t="s">
        <v>73</v>
      </c>
      <c r="B102">
        <v>234</v>
      </c>
      <c r="C102">
        <v>186</v>
      </c>
      <c r="D102">
        <v>153.22999999999999</v>
      </c>
      <c r="E102">
        <v>182.94</v>
      </c>
      <c r="F102">
        <v>88.86</v>
      </c>
    </row>
    <row r="103" spans="1:6" x14ac:dyDescent="0.25">
      <c r="A103" t="s">
        <v>74</v>
      </c>
      <c r="B103">
        <v>29033</v>
      </c>
      <c r="C103">
        <v>21830</v>
      </c>
      <c r="D103">
        <v>21204.77</v>
      </c>
      <c r="E103">
        <v>19961.46</v>
      </c>
      <c r="F103">
        <v>16208.63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22108</v>
      </c>
      <c r="C105">
        <v>13713</v>
      </c>
      <c r="D105">
        <v>13042.34</v>
      </c>
      <c r="E105">
        <v>12230.63</v>
      </c>
      <c r="F105">
        <v>10452.82</v>
      </c>
    </row>
    <row r="106" spans="1:6" x14ac:dyDescent="0.25">
      <c r="A106" t="s">
        <v>77</v>
      </c>
      <c r="B106">
        <v>4328</v>
      </c>
      <c r="C106">
        <v>2579</v>
      </c>
      <c r="D106">
        <v>2990.8</v>
      </c>
      <c r="E106">
        <v>2940.03</v>
      </c>
      <c r="F106">
        <v>2212.0100000000002</v>
      </c>
    </row>
    <row r="107" spans="1:6" x14ac:dyDescent="0.25">
      <c r="A107" t="s">
        <v>78</v>
      </c>
      <c r="B107">
        <v>-4795</v>
      </c>
      <c r="C107">
        <v>122</v>
      </c>
      <c r="D107">
        <v>-878.07</v>
      </c>
      <c r="E107">
        <v>-776.41</v>
      </c>
      <c r="F107">
        <v>-978.61</v>
      </c>
    </row>
    <row r="108" spans="1:6" x14ac:dyDescent="0.25">
      <c r="A108" t="s">
        <v>79</v>
      </c>
      <c r="B108">
        <v>1349</v>
      </c>
      <c r="C108">
        <v>1065</v>
      </c>
      <c r="D108">
        <v>1199.42</v>
      </c>
      <c r="E108">
        <v>1019.27</v>
      </c>
      <c r="F108">
        <v>885.08</v>
      </c>
    </row>
    <row r="109" spans="1:6" x14ac:dyDescent="0.25">
      <c r="A109" t="s">
        <v>80</v>
      </c>
      <c r="B109">
        <v>218</v>
      </c>
      <c r="C109">
        <v>203</v>
      </c>
      <c r="D109">
        <v>166.17</v>
      </c>
      <c r="E109">
        <v>52.54</v>
      </c>
      <c r="F109">
        <v>52.92</v>
      </c>
    </row>
    <row r="110" spans="1:6" x14ac:dyDescent="0.25">
      <c r="A110" t="s">
        <v>82</v>
      </c>
      <c r="B110">
        <v>399</v>
      </c>
      <c r="C110">
        <v>375</v>
      </c>
      <c r="D110">
        <v>347.96</v>
      </c>
      <c r="E110">
        <v>162.84</v>
      </c>
      <c r="F110">
        <v>131.43</v>
      </c>
    </row>
    <row r="111" spans="1:6" x14ac:dyDescent="0.25">
      <c r="A111" t="s">
        <v>83</v>
      </c>
      <c r="B111">
        <v>2468</v>
      </c>
      <c r="C111">
        <v>2441</v>
      </c>
      <c r="D111">
        <v>2230.4699999999998</v>
      </c>
      <c r="E111">
        <v>2373.5100000000002</v>
      </c>
      <c r="F111">
        <v>1903.78</v>
      </c>
    </row>
    <row r="112" spans="1:6" x14ac:dyDescent="0.25">
      <c r="A112" t="s">
        <v>84</v>
      </c>
      <c r="B112">
        <v>26075</v>
      </c>
      <c r="C112">
        <v>20498</v>
      </c>
      <c r="D112">
        <v>19099.09</v>
      </c>
      <c r="E112">
        <v>18002.41</v>
      </c>
      <c r="F112">
        <v>14659.43</v>
      </c>
    </row>
    <row r="113" spans="1:6" x14ac:dyDescent="0.25">
      <c r="A113" t="s">
        <v>85</v>
      </c>
      <c r="B113">
        <v>2958</v>
      </c>
      <c r="C113">
        <v>1332</v>
      </c>
      <c r="D113">
        <v>2105.6799999999998</v>
      </c>
      <c r="E113">
        <v>1959.05</v>
      </c>
      <c r="F113">
        <v>1549.2</v>
      </c>
    </row>
    <row r="114" spans="1:6" x14ac:dyDescent="0.25">
      <c r="A114" t="s">
        <v>86</v>
      </c>
      <c r="B114">
        <v>-54</v>
      </c>
      <c r="C114">
        <v>0</v>
      </c>
      <c r="D114">
        <v>0</v>
      </c>
      <c r="E114">
        <v>0</v>
      </c>
      <c r="F114">
        <v>-16.649999999999999</v>
      </c>
    </row>
    <row r="115" spans="1:6" x14ac:dyDescent="0.25">
      <c r="A115" t="s">
        <v>87</v>
      </c>
      <c r="B115">
        <v>2904</v>
      </c>
      <c r="C115">
        <v>1332</v>
      </c>
      <c r="D115">
        <v>2105.6799999999998</v>
      </c>
      <c r="E115">
        <v>1959.05</v>
      </c>
      <c r="F115">
        <v>1532.55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786</v>
      </c>
      <c r="C117">
        <v>360</v>
      </c>
      <c r="D117">
        <v>570.20000000000005</v>
      </c>
      <c r="E117">
        <v>617.5</v>
      </c>
      <c r="F117">
        <v>449.96</v>
      </c>
    </row>
    <row r="118" spans="1:6" x14ac:dyDescent="0.25">
      <c r="A118" t="s">
        <v>90</v>
      </c>
      <c r="B118">
        <v>-80</v>
      </c>
      <c r="C118">
        <v>-7</v>
      </c>
      <c r="D118">
        <v>38.79</v>
      </c>
      <c r="E118">
        <v>-49.26</v>
      </c>
      <c r="F118">
        <v>-22.09</v>
      </c>
    </row>
    <row r="119" spans="1:6" x14ac:dyDescent="0.25">
      <c r="A119" t="s">
        <v>91</v>
      </c>
      <c r="B119">
        <v>706</v>
      </c>
      <c r="C119">
        <v>353</v>
      </c>
      <c r="D119">
        <v>608.99</v>
      </c>
      <c r="E119">
        <v>568.24</v>
      </c>
      <c r="F119">
        <v>427.87</v>
      </c>
    </row>
    <row r="120" spans="1:6" x14ac:dyDescent="0.25">
      <c r="A120" t="s">
        <v>92</v>
      </c>
      <c r="B120">
        <v>2198</v>
      </c>
      <c r="C120">
        <v>979</v>
      </c>
      <c r="D120">
        <v>1496.69</v>
      </c>
      <c r="E120">
        <v>1390.81</v>
      </c>
      <c r="F120">
        <v>1104.68</v>
      </c>
    </row>
    <row r="121" spans="1:6" x14ac:dyDescent="0.25">
      <c r="A121" t="s">
        <v>93</v>
      </c>
      <c r="B121">
        <v>2198</v>
      </c>
      <c r="C121">
        <v>979</v>
      </c>
      <c r="D121">
        <v>1496.69</v>
      </c>
      <c r="E121">
        <v>1390.81</v>
      </c>
      <c r="F121">
        <v>1104.68</v>
      </c>
    </row>
    <row r="122" spans="1:6" x14ac:dyDescent="0.25">
      <c r="A122" t="s">
        <v>94</v>
      </c>
      <c r="B122">
        <v>2198</v>
      </c>
      <c r="C122">
        <v>979</v>
      </c>
      <c r="D122">
        <v>1496.69</v>
      </c>
      <c r="E122">
        <v>1390.81</v>
      </c>
      <c r="F122">
        <v>1104.68</v>
      </c>
    </row>
    <row r="123" spans="1:6" x14ac:dyDescent="0.25">
      <c r="A123" t="s">
        <v>116</v>
      </c>
      <c r="B123">
        <v>-25</v>
      </c>
      <c r="C123">
        <v>-1</v>
      </c>
      <c r="D123">
        <v>8.73</v>
      </c>
      <c r="E123">
        <v>15.5</v>
      </c>
      <c r="F123">
        <v>28.18</v>
      </c>
    </row>
    <row r="124" spans="1:6" x14ac:dyDescent="0.25">
      <c r="A124" t="s">
        <v>130</v>
      </c>
      <c r="B124">
        <v>0</v>
      </c>
      <c r="C124">
        <v>-5</v>
      </c>
      <c r="D124">
        <v>-4.03</v>
      </c>
      <c r="E124">
        <v>-2.16</v>
      </c>
      <c r="F124">
        <v>-2.77</v>
      </c>
    </row>
    <row r="125" spans="1:6" x14ac:dyDescent="0.25">
      <c r="A125" t="s">
        <v>113</v>
      </c>
      <c r="B125">
        <v>2173</v>
      </c>
      <c r="C125">
        <v>973</v>
      </c>
      <c r="D125">
        <v>1501.39</v>
      </c>
      <c r="E125">
        <v>1404.15</v>
      </c>
      <c r="F125">
        <v>1130.0899999999999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24</v>
      </c>
      <c r="C128">
        <v>11</v>
      </c>
      <c r="D128">
        <v>17</v>
      </c>
      <c r="E128">
        <v>16</v>
      </c>
      <c r="F128">
        <v>13</v>
      </c>
    </row>
    <row r="129" spans="1:6" x14ac:dyDescent="0.25">
      <c r="A129" t="s">
        <v>97</v>
      </c>
      <c r="B129">
        <v>24</v>
      </c>
      <c r="C129">
        <v>11</v>
      </c>
      <c r="D129">
        <v>17</v>
      </c>
      <c r="E129">
        <v>16</v>
      </c>
      <c r="F129">
        <v>13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355</v>
      </c>
      <c r="C131">
        <v>355</v>
      </c>
      <c r="D131">
        <v>443.89</v>
      </c>
      <c r="E131">
        <v>332.92</v>
      </c>
      <c r="F131">
        <v>230.81</v>
      </c>
    </row>
    <row r="132" spans="1:6" x14ac:dyDescent="0.25">
      <c r="A132" t="s">
        <v>102</v>
      </c>
      <c r="B132">
        <v>0</v>
      </c>
      <c r="C132">
        <v>0</v>
      </c>
      <c r="D132">
        <v>91.24</v>
      </c>
      <c r="E132">
        <v>68.45</v>
      </c>
      <c r="F132">
        <v>46.99</v>
      </c>
    </row>
    <row r="136" spans="1:6" ht="15" customHeight="1" x14ac:dyDescent="0.25">
      <c r="A136" t="s">
        <v>65</v>
      </c>
    </row>
  </sheetData>
  <hyperlinks>
    <hyperlink ref="B1" r:id="rId1" display="javascript:void(0);" xr:uid="{A05DCE6B-DF65-49FC-9F46-F34BF16DA13B}"/>
    <hyperlink ref="B90" r:id="rId2" display="javascript:void(0);" xr:uid="{248BC74D-7CFF-4D01-9ADF-2BD8AF22F3CF}"/>
  </hyperlinks>
  <pageMargins left="0.7" right="0.7" top="0.75" bottom="0.75" header="0.3" footer="0.3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2E03A-1C7A-4144-9943-B8864F350C8B}">
  <sheetPr codeName="Sheet21"/>
  <dimension ref="A1:M136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149</v>
      </c>
      <c r="B1" t="s">
        <v>1</v>
      </c>
      <c r="H1" t="str">
        <f>A1</f>
        <v>Britannia Industries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24.09</v>
      </c>
      <c r="J4">
        <f>VLOOKUP(H4,$A$1:F$161,J$2,0)</f>
        <v>24.09</v>
      </c>
      <c r="K4">
        <f>VLOOKUP(H4,$A$1:F$161,K$2,0)</f>
        <v>24.05</v>
      </c>
      <c r="L4">
        <f>VLOOKUP(H4,$A$1:F$161,L$2,0)</f>
        <v>24.03</v>
      </c>
      <c r="M4">
        <f>VLOOKUP(H4,$A$1:F$161,M$2,0)</f>
        <v>24.01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24.09</v>
      </c>
      <c r="J5">
        <f>VLOOKUP(H5,$A$1:F$161,J$2,0)</f>
        <v>24.09</v>
      </c>
      <c r="K5">
        <f>VLOOKUP(H5,$A$1:F$161,K$2,0)</f>
        <v>24.05</v>
      </c>
      <c r="L5">
        <f>VLOOKUP(H5,$A$1:F$161,L$2,0)</f>
        <v>24.03</v>
      </c>
      <c r="M5">
        <f>VLOOKUP(H5,$A$1:F$161,M$2,0)</f>
        <v>24.01</v>
      </c>
    </row>
    <row r="6" spans="1:13" x14ac:dyDescent="0.25">
      <c r="H6" t="s">
        <v>10</v>
      </c>
      <c r="I6">
        <f>VLOOKUP(H6,$A$1:F$161,I$2,0)</f>
        <v>2534.0100000000002</v>
      </c>
      <c r="J6">
        <f>VLOOKUP(H6,$A$1:F$161,J$2,0)</f>
        <v>3495.47</v>
      </c>
      <c r="K6">
        <f>VLOOKUP(H6,$A$1:F$161,K$2,0)</f>
        <v>4344.37</v>
      </c>
      <c r="L6">
        <f>VLOOKUP(H6,$A$1:F$161,L$2,0)</f>
        <v>4209.29</v>
      </c>
      <c r="M6">
        <f>VLOOKUP(H6,$A$1:F$161,M$2,0)</f>
        <v>3382.22</v>
      </c>
    </row>
    <row r="7" spans="1:13" ht="24" customHeight="1" x14ac:dyDescent="0.25">
      <c r="A7" t="s">
        <v>6</v>
      </c>
      <c r="H7" t="s">
        <v>11</v>
      </c>
      <c r="I7">
        <f>VLOOKUP(H7,$A$1:F$161,I$2,0)</f>
        <v>2534.0100000000002</v>
      </c>
      <c r="J7">
        <f>VLOOKUP(H7,$A$1:F$161,J$2,0)</f>
        <v>3495.47</v>
      </c>
      <c r="K7">
        <f>VLOOKUP(H7,$A$1:F$161,K$2,0)</f>
        <v>4344.37</v>
      </c>
      <c r="L7">
        <f>VLOOKUP(H7,$A$1:F$161,L$2,0)</f>
        <v>4209.29</v>
      </c>
      <c r="M7">
        <f>VLOOKUP(H7,$A$1:F$161,M$2,0)</f>
        <v>3382.22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2558.1</v>
      </c>
      <c r="J8">
        <f>VLOOKUP(H8,$A$1:F$161,J$2,0)</f>
        <v>3547.66</v>
      </c>
      <c r="K8">
        <f>VLOOKUP(H8,$A$1:F$161,K$2,0)</f>
        <v>4402.83</v>
      </c>
      <c r="L8">
        <f>VLOOKUP(H8,$A$1:F$161,L$2,0)</f>
        <v>4253.25</v>
      </c>
      <c r="M8">
        <f>VLOOKUP(H8,$A$1:F$161,M$2,0)</f>
        <v>3406.23</v>
      </c>
    </row>
    <row r="9" spans="1:13" x14ac:dyDescent="0.25">
      <c r="A9" t="s">
        <v>8</v>
      </c>
      <c r="B9">
        <v>24.09</v>
      </c>
      <c r="C9">
        <v>24.09</v>
      </c>
      <c r="D9">
        <v>24.05</v>
      </c>
      <c r="E9">
        <v>24.03</v>
      </c>
      <c r="F9">
        <v>24.01</v>
      </c>
      <c r="H9" t="s">
        <v>14</v>
      </c>
      <c r="I9">
        <f>VLOOKUP(H9,$A$1:F$161,I$2,0)</f>
        <v>706.99</v>
      </c>
      <c r="J9">
        <f>VLOOKUP(H9,$A$1:F$161,J$2,0)</f>
        <v>747.75</v>
      </c>
      <c r="K9">
        <f>VLOOKUP(H9,$A$1:F$161,K$2,0)</f>
        <v>766.06</v>
      </c>
      <c r="L9">
        <f>VLOOKUP(H9,$A$1:F$161,L$2,0)</f>
        <v>61.92</v>
      </c>
      <c r="M9">
        <f>VLOOKUP(H9,$A$1:F$161,M$2,0)</f>
        <v>84.57</v>
      </c>
    </row>
    <row r="10" spans="1:13" x14ac:dyDescent="0.25">
      <c r="A10" t="s">
        <v>9</v>
      </c>
      <c r="B10">
        <v>24.09</v>
      </c>
      <c r="C10">
        <v>24.09</v>
      </c>
      <c r="D10">
        <v>24.05</v>
      </c>
      <c r="E10">
        <v>24.03</v>
      </c>
      <c r="F10">
        <v>24.01</v>
      </c>
      <c r="H10" t="s">
        <v>16</v>
      </c>
      <c r="I10">
        <f>VLOOKUP(H10,$A$1:F$161,I$2,0)</f>
        <v>66.400000000000006</v>
      </c>
      <c r="J10">
        <f>VLOOKUP(H10,$A$1:F$161,J$2,0)</f>
        <v>54.07</v>
      </c>
      <c r="K10">
        <f>VLOOKUP(H10,$A$1:F$161,K$2,0)</f>
        <v>46.54</v>
      </c>
      <c r="L10">
        <f>VLOOKUP(H10,$A$1:F$161,L$2,0)</f>
        <v>27.24</v>
      </c>
      <c r="M10">
        <f>VLOOKUP(H10,$A$1:F$161,M$2,0)</f>
        <v>27.14</v>
      </c>
    </row>
    <row r="11" spans="1:13" x14ac:dyDescent="0.25">
      <c r="A11" t="s">
        <v>10</v>
      </c>
      <c r="B11">
        <v>2534.0100000000002</v>
      </c>
      <c r="C11">
        <v>3495.47</v>
      </c>
      <c r="D11">
        <v>4344.37</v>
      </c>
      <c r="E11">
        <v>4209.29</v>
      </c>
      <c r="F11">
        <v>3382.22</v>
      </c>
      <c r="H11" t="s">
        <v>17</v>
      </c>
      <c r="I11">
        <f>VLOOKUP(H11,$A$1:F$161,I$2,0)</f>
        <v>0</v>
      </c>
      <c r="J11">
        <f>VLOOKUP(H11,$A$1:F$161,J$2,0)</f>
        <v>0</v>
      </c>
      <c r="K11">
        <f>VLOOKUP(H11,$A$1:F$161,K$2,0)</f>
        <v>0</v>
      </c>
      <c r="L11">
        <f>VLOOKUP(H11,$A$1:F$161,L$2,0)</f>
        <v>11.45</v>
      </c>
      <c r="M11">
        <f>VLOOKUP(H11,$A$1:F$161,M$2,0)</f>
        <v>8.8699999999999992</v>
      </c>
    </row>
    <row r="12" spans="1:13" x14ac:dyDescent="0.25">
      <c r="A12" t="s">
        <v>11</v>
      </c>
      <c r="B12">
        <v>2534.0100000000002</v>
      </c>
      <c r="C12">
        <v>3495.47</v>
      </c>
      <c r="D12">
        <v>4344.37</v>
      </c>
      <c r="E12">
        <v>4209.29</v>
      </c>
      <c r="F12">
        <v>3382.22</v>
      </c>
      <c r="H12" t="s">
        <v>18</v>
      </c>
      <c r="I12">
        <f>VLOOKUP(H12,$A$1:F$161,I$2,0)</f>
        <v>774.2</v>
      </c>
      <c r="J12">
        <f>VLOOKUP(H12,$A$1:F$161,J$2,0)</f>
        <v>810.51</v>
      </c>
      <c r="K12">
        <f>VLOOKUP(H12,$A$1:F$161,K$2,0)</f>
        <v>825.29</v>
      </c>
      <c r="L12">
        <f>VLOOKUP(H12,$A$1:F$161,L$2,0)</f>
        <v>104.48</v>
      </c>
      <c r="M12">
        <f>VLOOKUP(H12,$A$1:F$161,M$2,0)</f>
        <v>120.58</v>
      </c>
    </row>
    <row r="13" spans="1:13" x14ac:dyDescent="0.25">
      <c r="A13" t="s">
        <v>118</v>
      </c>
      <c r="B13">
        <v>0</v>
      </c>
      <c r="C13">
        <v>28.1</v>
      </c>
      <c r="D13">
        <v>34.409999999999997</v>
      </c>
      <c r="E13">
        <v>19.93</v>
      </c>
      <c r="F13">
        <v>0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2558.1</v>
      </c>
      <c r="C14">
        <v>3547.66</v>
      </c>
      <c r="D14">
        <v>4402.83</v>
      </c>
      <c r="E14">
        <v>4253.25</v>
      </c>
      <c r="F14">
        <v>3406.23</v>
      </c>
      <c r="H14" t="s">
        <v>21</v>
      </c>
      <c r="I14">
        <f>VLOOKUP(H14,$A$1:F$161,I$2,0)</f>
        <v>1285.22</v>
      </c>
      <c r="J14">
        <f>VLOOKUP(H14,$A$1:F$161,J$2,0)</f>
        <v>1314.75</v>
      </c>
      <c r="K14">
        <f>VLOOKUP(H14,$A$1:F$161,K$2,0)</f>
        <v>1047</v>
      </c>
      <c r="L14">
        <f>VLOOKUP(H14,$A$1:F$161,L$2,0)</f>
        <v>1140.51</v>
      </c>
      <c r="M14">
        <f>VLOOKUP(H14,$A$1:F$161,M$2,0)</f>
        <v>994.09</v>
      </c>
    </row>
    <row r="15" spans="1:13" x14ac:dyDescent="0.25">
      <c r="A15" t="s">
        <v>116</v>
      </c>
      <c r="B15">
        <v>27.5</v>
      </c>
      <c r="C15">
        <v>36.340000000000003</v>
      </c>
      <c r="D15">
        <v>35.65</v>
      </c>
      <c r="E15">
        <v>32.68</v>
      </c>
      <c r="F15">
        <v>13.14</v>
      </c>
      <c r="H15" t="s">
        <v>22</v>
      </c>
      <c r="I15">
        <f>VLOOKUP(H15,$A$1:F$161,I$2,0)</f>
        <v>626.85</v>
      </c>
      <c r="J15">
        <f>VLOOKUP(H15,$A$1:F$161,J$2,0)</f>
        <v>572.63</v>
      </c>
      <c r="K15">
        <f>VLOOKUP(H15,$A$1:F$161,K$2,0)</f>
        <v>509.77</v>
      </c>
      <c r="L15">
        <f>VLOOKUP(H15,$A$1:F$161,L$2,0)</f>
        <v>438.29</v>
      </c>
      <c r="M15">
        <f>VLOOKUP(H15,$A$1:F$161,M$2,0)</f>
        <v>381.26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485.11</v>
      </c>
      <c r="J16">
        <f>VLOOKUP(H16,$A$1:F$161,J$2,0)</f>
        <v>387.47</v>
      </c>
      <c r="K16">
        <f>VLOOKUP(H16,$A$1:F$161,K$2,0)</f>
        <v>273.7</v>
      </c>
      <c r="L16">
        <f>VLOOKUP(H16,$A$1:F$161,L$2,0)</f>
        <v>196.51</v>
      </c>
      <c r="M16">
        <f>VLOOKUP(H16,$A$1:F$161,M$2,0)</f>
        <v>178.97</v>
      </c>
    </row>
    <row r="17" spans="1:13" x14ac:dyDescent="0.25">
      <c r="A17" t="s">
        <v>14</v>
      </c>
      <c r="B17">
        <v>706.99</v>
      </c>
      <c r="C17">
        <v>747.75</v>
      </c>
      <c r="D17">
        <v>766.06</v>
      </c>
      <c r="E17">
        <v>61.92</v>
      </c>
      <c r="F17">
        <v>84.57</v>
      </c>
      <c r="H17" t="s">
        <v>24</v>
      </c>
      <c r="I17">
        <f>VLOOKUP(H17,$A$1:F$161,I$2,0)</f>
        <v>4155.7299999999996</v>
      </c>
      <c r="J17">
        <f>VLOOKUP(H17,$A$1:F$161,J$2,0)</f>
        <v>3614.27</v>
      </c>
      <c r="K17">
        <f>VLOOKUP(H17,$A$1:F$161,K$2,0)</f>
        <v>2578.46</v>
      </c>
      <c r="L17">
        <f>VLOOKUP(H17,$A$1:F$161,L$2,0)</f>
        <v>1851.41</v>
      </c>
      <c r="M17">
        <f>VLOOKUP(H17,$A$1:F$161,M$2,0)</f>
        <v>1647.97</v>
      </c>
    </row>
    <row r="18" spans="1:13" x14ac:dyDescent="0.25">
      <c r="A18" t="s">
        <v>15</v>
      </c>
      <c r="B18">
        <v>0.81</v>
      </c>
      <c r="C18">
        <v>8.69</v>
      </c>
      <c r="D18">
        <v>12.69</v>
      </c>
      <c r="E18">
        <v>3.87</v>
      </c>
      <c r="F18">
        <v>0</v>
      </c>
      <c r="H18" t="s">
        <v>25</v>
      </c>
      <c r="I18">
        <f>VLOOKUP(H18,$A$1:F$161,I$2,0)</f>
        <v>7515.53</v>
      </c>
      <c r="J18">
        <f>VLOOKUP(H18,$A$1:F$161,J$2,0)</f>
        <v>8008.78</v>
      </c>
      <c r="K18">
        <f>VLOOKUP(H18,$A$1:F$161,K$2,0)</f>
        <v>7842.23</v>
      </c>
      <c r="L18">
        <f>VLOOKUP(H18,$A$1:F$161,L$2,0)</f>
        <v>6241.82</v>
      </c>
      <c r="M18">
        <f>VLOOKUP(H18,$A$1:F$161,M$2,0)</f>
        <v>5187.92</v>
      </c>
    </row>
    <row r="19" spans="1:13" x14ac:dyDescent="0.25">
      <c r="A19" t="s">
        <v>16</v>
      </c>
      <c r="B19">
        <v>66.400000000000006</v>
      </c>
      <c r="C19">
        <v>54.07</v>
      </c>
      <c r="D19">
        <v>46.54</v>
      </c>
      <c r="E19">
        <v>27.24</v>
      </c>
      <c r="F19">
        <v>27.14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0</v>
      </c>
      <c r="C20">
        <v>0</v>
      </c>
      <c r="D20">
        <v>0</v>
      </c>
      <c r="E20">
        <v>11.45</v>
      </c>
      <c r="F20">
        <v>8.8699999999999992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774.2</v>
      </c>
      <c r="C21">
        <v>810.51</v>
      </c>
      <c r="D21">
        <v>825.29</v>
      </c>
      <c r="E21">
        <v>104.48</v>
      </c>
      <c r="F21">
        <v>120.58</v>
      </c>
      <c r="H21" t="s">
        <v>28</v>
      </c>
      <c r="I21">
        <f>VLOOKUP(H21,$A$1:F$161,I$2,0)</f>
        <v>1598</v>
      </c>
      <c r="J21">
        <f>VLOOKUP(H21,$A$1:F$161,J$2,0)</f>
        <v>1648.51</v>
      </c>
      <c r="K21">
        <f>VLOOKUP(H21,$A$1:F$161,K$2,0)</f>
        <v>1730.84</v>
      </c>
      <c r="L21">
        <f>VLOOKUP(H21,$A$1:F$161,L$2,0)</f>
        <v>1550.31</v>
      </c>
      <c r="M21">
        <f>VLOOKUP(H21,$A$1:F$161,M$2,0)</f>
        <v>1209.43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535.67999999999995</v>
      </c>
      <c r="J22">
        <f>VLOOKUP(H22,$A$1:F$161,J$2,0)</f>
        <v>116.52</v>
      </c>
      <c r="K22">
        <f>VLOOKUP(H22,$A$1:F$161,K$2,0)</f>
        <v>39.549999999999997</v>
      </c>
      <c r="L22">
        <f>VLOOKUP(H22,$A$1:F$161,L$2,0)</f>
        <v>101.24</v>
      </c>
      <c r="M22">
        <f>VLOOKUP(H22,$A$1:F$161,M$2,0)</f>
        <v>202.82</v>
      </c>
    </row>
    <row r="23" spans="1:13" x14ac:dyDescent="0.25">
      <c r="A23" t="s">
        <v>20</v>
      </c>
      <c r="B23">
        <v>1758.55</v>
      </c>
      <c r="C23">
        <v>1339.42</v>
      </c>
      <c r="D23">
        <v>747.99</v>
      </c>
      <c r="E23">
        <v>76.099999999999994</v>
      </c>
      <c r="F23">
        <v>93.65</v>
      </c>
      <c r="H23" t="s">
        <v>30</v>
      </c>
      <c r="I23">
        <f>VLOOKUP(H23,$A$1:F$161,I$2,0)</f>
        <v>2149.2800000000002</v>
      </c>
      <c r="J23">
        <f>VLOOKUP(H23,$A$1:F$161,J$2,0)</f>
        <v>1773.57</v>
      </c>
      <c r="K23">
        <f>VLOOKUP(H23,$A$1:F$161,K$2,0)</f>
        <v>1778.76</v>
      </c>
      <c r="L23">
        <f>VLOOKUP(H23,$A$1:F$161,L$2,0)</f>
        <v>1659.17</v>
      </c>
      <c r="M23">
        <f>VLOOKUP(H23,$A$1:F$161,M$2,0)</f>
        <v>1420.22</v>
      </c>
    </row>
    <row r="24" spans="1:13" x14ac:dyDescent="0.25">
      <c r="A24" t="s">
        <v>21</v>
      </c>
      <c r="B24">
        <v>1285.22</v>
      </c>
      <c r="C24">
        <v>1314.75</v>
      </c>
      <c r="D24">
        <v>1047</v>
      </c>
      <c r="E24">
        <v>1140.51</v>
      </c>
      <c r="F24">
        <v>994.09</v>
      </c>
      <c r="H24" t="s">
        <v>32</v>
      </c>
      <c r="I24">
        <f>VLOOKUP(H24,$A$1:F$161,I$2,0)</f>
        <v>44.93</v>
      </c>
      <c r="J24">
        <f>VLOOKUP(H24,$A$1:F$161,J$2,0)</f>
        <v>9.66</v>
      </c>
      <c r="K24">
        <f>VLOOKUP(H24,$A$1:F$161,K$2,0)</f>
        <v>19.559999999999999</v>
      </c>
      <c r="L24">
        <f>VLOOKUP(H24,$A$1:F$161,L$2,0)</f>
        <v>13.75</v>
      </c>
      <c r="M24">
        <f>VLOOKUP(H24,$A$1:F$161,M$2,0)</f>
        <v>22.57</v>
      </c>
    </row>
    <row r="25" spans="1:13" x14ac:dyDescent="0.25">
      <c r="A25" t="s">
        <v>22</v>
      </c>
      <c r="B25">
        <v>626.85</v>
      </c>
      <c r="C25">
        <v>572.63</v>
      </c>
      <c r="D25">
        <v>509.77</v>
      </c>
      <c r="E25">
        <v>438.29</v>
      </c>
      <c r="F25">
        <v>381.26</v>
      </c>
      <c r="H25" t="s">
        <v>33</v>
      </c>
      <c r="I25">
        <f>VLOOKUP(H25,$A$1:F$161,I$2,0)</f>
        <v>100</v>
      </c>
      <c r="J25">
        <f>VLOOKUP(H25,$A$1:F$161,J$2,0)</f>
        <v>74.58</v>
      </c>
      <c r="K25">
        <f>VLOOKUP(H25,$A$1:F$161,K$2,0)</f>
        <v>202.95</v>
      </c>
      <c r="L25">
        <f>VLOOKUP(H25,$A$1:F$161,L$2,0)</f>
        <v>19.02</v>
      </c>
      <c r="M25">
        <f>VLOOKUP(H25,$A$1:F$161,M$2,0)</f>
        <v>134.24</v>
      </c>
    </row>
    <row r="26" spans="1:13" x14ac:dyDescent="0.25">
      <c r="A26" t="s">
        <v>23</v>
      </c>
      <c r="B26">
        <v>485.11</v>
      </c>
      <c r="C26">
        <v>387.47</v>
      </c>
      <c r="D26">
        <v>273.7</v>
      </c>
      <c r="E26">
        <v>196.51</v>
      </c>
      <c r="F26">
        <v>178.97</v>
      </c>
      <c r="H26" t="s">
        <v>34</v>
      </c>
      <c r="I26">
        <f>VLOOKUP(H26,$A$1:F$161,I$2,0)</f>
        <v>182.65</v>
      </c>
      <c r="J26">
        <f>VLOOKUP(H26,$A$1:F$161,J$2,0)</f>
        <v>207.95</v>
      </c>
      <c r="K26">
        <f>VLOOKUP(H26,$A$1:F$161,K$2,0)</f>
        <v>142.56</v>
      </c>
      <c r="L26">
        <f>VLOOKUP(H26,$A$1:F$161,L$2,0)</f>
        <v>166.77</v>
      </c>
      <c r="M26">
        <f>VLOOKUP(H26,$A$1:F$161,M$2,0)</f>
        <v>108.93</v>
      </c>
    </row>
    <row r="27" spans="1:13" x14ac:dyDescent="0.25">
      <c r="A27" t="s">
        <v>24</v>
      </c>
      <c r="B27">
        <v>4155.7299999999996</v>
      </c>
      <c r="C27">
        <v>3614.27</v>
      </c>
      <c r="D27">
        <v>2578.46</v>
      </c>
      <c r="E27">
        <v>1851.41</v>
      </c>
      <c r="F27">
        <v>1647.97</v>
      </c>
      <c r="H27" t="s">
        <v>35</v>
      </c>
      <c r="I27">
        <f>VLOOKUP(H27,$A$1:F$161,I$2,0)</f>
        <v>3545.11</v>
      </c>
      <c r="J27">
        <f>VLOOKUP(H27,$A$1:F$161,J$2,0)</f>
        <v>3589.1</v>
      </c>
      <c r="K27">
        <f>VLOOKUP(H27,$A$1:F$161,K$2,0)</f>
        <v>4167.26</v>
      </c>
      <c r="L27">
        <f>VLOOKUP(H27,$A$1:F$161,L$2,0)</f>
        <v>2715.48</v>
      </c>
      <c r="M27">
        <f>VLOOKUP(H27,$A$1:F$161,M$2,0)</f>
        <v>2036.64</v>
      </c>
    </row>
    <row r="28" spans="1:13" x14ac:dyDescent="0.25">
      <c r="A28" t="s">
        <v>25</v>
      </c>
      <c r="B28">
        <v>7515.53</v>
      </c>
      <c r="C28">
        <v>8008.78</v>
      </c>
      <c r="D28">
        <v>7842.23</v>
      </c>
      <c r="E28">
        <v>6241.82</v>
      </c>
      <c r="F28">
        <v>5187.92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1367.49</v>
      </c>
      <c r="J29">
        <f>VLOOKUP(H29,$A$1:F$161,J$2,0)</f>
        <v>1091.49</v>
      </c>
      <c r="K29">
        <f>VLOOKUP(H29,$A$1:F$161,K$2,0)</f>
        <v>740.96</v>
      </c>
      <c r="L29">
        <f>VLOOKUP(H29,$A$1:F$161,L$2,0)</f>
        <v>781.38</v>
      </c>
      <c r="M29">
        <f>VLOOKUP(H29,$A$1:F$161,M$2,0)</f>
        <v>652.79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331.93</v>
      </c>
      <c r="J30">
        <f>VLOOKUP(H30,$A$1:F$161,J$2,0)</f>
        <v>257.27</v>
      </c>
      <c r="K30">
        <f>VLOOKUP(H30,$A$1:F$161,K$2,0)</f>
        <v>320.36</v>
      </c>
      <c r="L30">
        <f>VLOOKUP(H30,$A$1:F$161,L$2,0)</f>
        <v>394.24</v>
      </c>
      <c r="M30">
        <f>VLOOKUP(H30,$A$1:F$161,M$2,0)</f>
        <v>304.60000000000002</v>
      </c>
    </row>
    <row r="31" spans="1:13" x14ac:dyDescent="0.25">
      <c r="A31" t="s">
        <v>28</v>
      </c>
      <c r="B31">
        <v>1598</v>
      </c>
      <c r="C31">
        <v>1648.51</v>
      </c>
      <c r="D31">
        <v>1730.84</v>
      </c>
      <c r="E31">
        <v>1550.31</v>
      </c>
      <c r="F31">
        <v>1209.43</v>
      </c>
      <c r="H31" t="s">
        <v>40</v>
      </c>
      <c r="I31">
        <f>VLOOKUP(H31,$A$1:F$161,I$2,0)</f>
        <v>184.9</v>
      </c>
      <c r="J31">
        <f>VLOOKUP(H31,$A$1:F$161,J$2,0)</f>
        <v>211.34</v>
      </c>
      <c r="K31">
        <f>VLOOKUP(H31,$A$1:F$161,K$2,0)</f>
        <v>122.85</v>
      </c>
      <c r="L31">
        <f>VLOOKUP(H31,$A$1:F$161,L$2,0)</f>
        <v>109.82</v>
      </c>
      <c r="M31">
        <f>VLOOKUP(H31,$A$1:F$161,M$2,0)</f>
        <v>186.42</v>
      </c>
    </row>
    <row r="32" spans="1:13" x14ac:dyDescent="0.25">
      <c r="A32" t="s">
        <v>106</v>
      </c>
      <c r="B32">
        <v>15.6</v>
      </c>
      <c r="C32">
        <v>8.5399999999999991</v>
      </c>
      <c r="D32">
        <v>8.3699999999999992</v>
      </c>
      <c r="E32">
        <v>7.62</v>
      </c>
      <c r="F32">
        <v>7.97</v>
      </c>
      <c r="H32" t="s">
        <v>41</v>
      </c>
      <c r="I32">
        <f>VLOOKUP(H32,$A$1:F$161,I$2,0)</f>
        <v>698</v>
      </c>
      <c r="J32">
        <f>VLOOKUP(H32,$A$1:F$161,J$2,0)</f>
        <v>946.56</v>
      </c>
      <c r="K32">
        <f>VLOOKUP(H32,$A$1:F$161,K$2,0)</f>
        <v>1110.1099999999999</v>
      </c>
      <c r="L32">
        <f>VLOOKUP(H32,$A$1:F$161,L$2,0)</f>
        <v>1203.92</v>
      </c>
      <c r="M32">
        <f>VLOOKUP(H32,$A$1:F$161,M$2,0)</f>
        <v>844.34</v>
      </c>
    </row>
    <row r="33" spans="1:13" x14ac:dyDescent="0.25">
      <c r="A33" t="s">
        <v>29</v>
      </c>
      <c r="B33">
        <v>535.67999999999995</v>
      </c>
      <c r="C33">
        <v>116.52</v>
      </c>
      <c r="D33">
        <v>39.549999999999997</v>
      </c>
      <c r="E33">
        <v>101.24</v>
      </c>
      <c r="F33">
        <v>202.82</v>
      </c>
      <c r="H33" t="s">
        <v>42</v>
      </c>
      <c r="I33">
        <f>VLOOKUP(H33,$A$1:F$161,I$2,0)</f>
        <v>554.37</v>
      </c>
      <c r="J33">
        <f>VLOOKUP(H33,$A$1:F$161,J$2,0)</f>
        <v>519.77</v>
      </c>
      <c r="K33">
        <f>VLOOKUP(H33,$A$1:F$161,K$2,0)</f>
        <v>371.92</v>
      </c>
      <c r="L33">
        <f>VLOOKUP(H33,$A$1:F$161,L$2,0)</f>
        <v>287.10000000000002</v>
      </c>
      <c r="M33">
        <f>VLOOKUP(H33,$A$1:F$161,M$2,0)</f>
        <v>306.33</v>
      </c>
    </row>
    <row r="34" spans="1:13" x14ac:dyDescent="0.25">
      <c r="A34" t="s">
        <v>30</v>
      </c>
      <c r="B34">
        <v>2149.2800000000002</v>
      </c>
      <c r="C34">
        <v>1773.57</v>
      </c>
      <c r="D34">
        <v>1778.76</v>
      </c>
      <c r="E34">
        <v>1659.17</v>
      </c>
      <c r="F34">
        <v>1420.22</v>
      </c>
      <c r="H34" t="s">
        <v>43</v>
      </c>
      <c r="I34">
        <f>VLOOKUP(H34,$A$1:F$161,I$2,0)</f>
        <v>3970.42</v>
      </c>
      <c r="J34">
        <f>VLOOKUP(H34,$A$1:F$161,J$2,0)</f>
        <v>4419.68</v>
      </c>
      <c r="K34">
        <f>VLOOKUP(H34,$A$1:F$161,K$2,0)</f>
        <v>3674.97</v>
      </c>
      <c r="L34">
        <f>VLOOKUP(H34,$A$1:F$161,L$2,0)</f>
        <v>3526.34</v>
      </c>
      <c r="M34">
        <f>VLOOKUP(H34,$A$1:F$161,M$2,0)</f>
        <v>3151.28</v>
      </c>
    </row>
    <row r="35" spans="1:13" x14ac:dyDescent="0.25">
      <c r="A35" t="s">
        <v>31</v>
      </c>
      <c r="B35">
        <v>928.64</v>
      </c>
      <c r="C35">
        <v>1387.44</v>
      </c>
      <c r="D35">
        <v>1884.46</v>
      </c>
      <c r="E35">
        <v>726.4</v>
      </c>
      <c r="F35">
        <v>222.48</v>
      </c>
      <c r="H35" t="s">
        <v>44</v>
      </c>
      <c r="I35">
        <f>VLOOKUP(H35,$A$1:F$161,I$2,0)</f>
        <v>7515.53</v>
      </c>
      <c r="J35">
        <f>VLOOKUP(H35,$A$1:F$161,J$2,0)</f>
        <v>8008.78</v>
      </c>
      <c r="K35">
        <f>VLOOKUP(H35,$A$1:F$161,K$2,0)</f>
        <v>7842.23</v>
      </c>
      <c r="L35">
        <f>VLOOKUP(H35,$A$1:F$161,L$2,0)</f>
        <v>6241.82</v>
      </c>
      <c r="M35">
        <f>VLOOKUP(H35,$A$1:F$161,M$2,0)</f>
        <v>5187.92</v>
      </c>
    </row>
    <row r="36" spans="1:13" x14ac:dyDescent="0.25">
      <c r="A36" t="s">
        <v>32</v>
      </c>
      <c r="B36">
        <v>44.93</v>
      </c>
      <c r="C36">
        <v>9.66</v>
      </c>
      <c r="D36">
        <v>19.559999999999999</v>
      </c>
      <c r="E36">
        <v>13.75</v>
      </c>
      <c r="F36">
        <v>22.57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33</v>
      </c>
      <c r="B37">
        <v>100</v>
      </c>
      <c r="C37">
        <v>74.58</v>
      </c>
      <c r="D37">
        <v>202.95</v>
      </c>
      <c r="E37">
        <v>19.02</v>
      </c>
      <c r="F37">
        <v>134.24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34</v>
      </c>
      <c r="B38">
        <v>182.65</v>
      </c>
      <c r="C38">
        <v>207.95</v>
      </c>
      <c r="D38">
        <v>142.56</v>
      </c>
      <c r="E38">
        <v>166.77</v>
      </c>
      <c r="F38">
        <v>108.93</v>
      </c>
      <c r="H38" t="s">
        <v>47</v>
      </c>
      <c r="I38">
        <f>VLOOKUP(H38,$A$1:F$161,I$2,0)</f>
        <v>625.21</v>
      </c>
      <c r="J38">
        <f>VLOOKUP(H38,$A$1:F$161,J$2,0)</f>
        <v>584.33000000000004</v>
      </c>
      <c r="K38">
        <f>VLOOKUP(H38,$A$1:F$161,K$2,0)</f>
        <v>277.64999999999998</v>
      </c>
      <c r="L38">
        <f>VLOOKUP(H38,$A$1:F$161,L$2,0)</f>
        <v>287.83999999999997</v>
      </c>
      <c r="M38">
        <f>VLOOKUP(H38,$A$1:F$161,M$2,0)</f>
        <v>242.47</v>
      </c>
    </row>
    <row r="39" spans="1:13" x14ac:dyDescent="0.25">
      <c r="A39" t="s">
        <v>35</v>
      </c>
      <c r="B39">
        <v>3545.11</v>
      </c>
      <c r="C39">
        <v>3589.1</v>
      </c>
      <c r="D39">
        <v>4167.26</v>
      </c>
      <c r="E39">
        <v>2715.48</v>
      </c>
      <c r="F39">
        <v>2036.64</v>
      </c>
      <c r="H39" t="s">
        <v>62</v>
      </c>
      <c r="I39">
        <f>VLOOKUP(H39,$A$1:F$161,I$2,0)</f>
        <v>833.73</v>
      </c>
      <c r="J39">
        <f>VLOOKUP(H39,$A$1:F$161,J$2,0)</f>
        <v>1393.25</v>
      </c>
      <c r="K39">
        <f>VLOOKUP(H39,$A$1:F$161,K$2,0)</f>
        <v>1008.77</v>
      </c>
      <c r="L39">
        <f>VLOOKUP(H39,$A$1:F$161,L$2,0)</f>
        <v>749.88</v>
      </c>
      <c r="M39">
        <f>VLOOKUP(H39,$A$1:F$161,M$2,0)</f>
        <v>856.8</v>
      </c>
    </row>
    <row r="40" spans="1:13" ht="15" customHeight="1" x14ac:dyDescent="0.25">
      <c r="A40" t="s">
        <v>36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37</v>
      </c>
      <c r="B41">
        <v>833.73</v>
      </c>
      <c r="C41">
        <v>1393.25</v>
      </c>
      <c r="D41">
        <v>1008.77</v>
      </c>
      <c r="E41">
        <v>749.88</v>
      </c>
      <c r="F41">
        <v>856.8</v>
      </c>
      <c r="H41" t="s">
        <v>64</v>
      </c>
      <c r="I41">
        <f>VLOOKUP(H41,$A$1:F$161,I$2,0)</f>
        <v>833.73</v>
      </c>
      <c r="J41">
        <f>VLOOKUP(H41,$A$1:F$161,J$2,0)</f>
        <v>1393.25</v>
      </c>
      <c r="K41">
        <f>VLOOKUP(H41,$A$1:F$161,K$2,0)</f>
        <v>1008.77</v>
      </c>
      <c r="L41">
        <f>VLOOKUP(H41,$A$1:F$161,L$2,0)</f>
        <v>749.88</v>
      </c>
      <c r="M41">
        <f>VLOOKUP(H41,$A$1:F$161,M$2,0)</f>
        <v>856.8</v>
      </c>
    </row>
    <row r="42" spans="1:13" x14ac:dyDescent="0.25">
      <c r="A42" t="s">
        <v>38</v>
      </c>
      <c r="B42">
        <v>1367.49</v>
      </c>
      <c r="C42">
        <v>1091.49</v>
      </c>
      <c r="D42">
        <v>740.96</v>
      </c>
      <c r="E42">
        <v>781.38</v>
      </c>
      <c r="F42">
        <v>652.79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39</v>
      </c>
      <c r="B43">
        <v>331.93</v>
      </c>
      <c r="C43">
        <v>257.27</v>
      </c>
      <c r="D43">
        <v>320.36</v>
      </c>
      <c r="E43">
        <v>394.24</v>
      </c>
      <c r="F43">
        <v>304.60000000000002</v>
      </c>
      <c r="H43" t="s">
        <v>68</v>
      </c>
      <c r="I43">
        <f>VLOOKUP(H43,$A$1:F$161,I$2,0)</f>
        <v>13944.67</v>
      </c>
      <c r="J43">
        <f>VLOOKUP(H43,$A$1:F$161,J$2,0)</f>
        <v>12883.04</v>
      </c>
      <c r="K43">
        <f>VLOOKUP(H43,$A$1:F$161,K$2,0)</f>
        <v>11443.99</v>
      </c>
      <c r="L43">
        <f>VLOOKUP(H43,$A$1:F$161,L$2,0)</f>
        <v>10973.46</v>
      </c>
      <c r="M43">
        <f>VLOOKUP(H43,$A$1:F$161,M$2,0)</f>
        <v>9905.6299999999992</v>
      </c>
    </row>
    <row r="44" spans="1:13" x14ac:dyDescent="0.25">
      <c r="A44" t="s">
        <v>40</v>
      </c>
      <c r="B44">
        <v>184.9</v>
      </c>
      <c r="C44">
        <v>211.34</v>
      </c>
      <c r="D44">
        <v>122.85</v>
      </c>
      <c r="E44">
        <v>109.82</v>
      </c>
      <c r="F44">
        <v>186.42</v>
      </c>
      <c r="H44" t="s">
        <v>70</v>
      </c>
      <c r="I44">
        <f>VLOOKUP(H44,$A$1:F$161,I$2,0)</f>
        <v>13944.67</v>
      </c>
      <c r="J44">
        <f>VLOOKUP(H44,$A$1:F$161,J$2,0)</f>
        <v>12883.04</v>
      </c>
      <c r="K44">
        <f>VLOOKUP(H44,$A$1:F$161,K$2,0)</f>
        <v>11443.99</v>
      </c>
      <c r="L44">
        <f>VLOOKUP(H44,$A$1:F$161,L$2,0)</f>
        <v>10973.46</v>
      </c>
      <c r="M44">
        <f>VLOOKUP(H44,$A$1:F$161,M$2,0)</f>
        <v>9829.52</v>
      </c>
    </row>
    <row r="45" spans="1:13" x14ac:dyDescent="0.25">
      <c r="A45" t="s">
        <v>41</v>
      </c>
      <c r="B45">
        <v>698</v>
      </c>
      <c r="C45">
        <v>946.56</v>
      </c>
      <c r="D45">
        <v>1110.1099999999999</v>
      </c>
      <c r="E45">
        <v>1203.92</v>
      </c>
      <c r="F45">
        <v>844.34</v>
      </c>
      <c r="H45" t="s">
        <v>71</v>
      </c>
      <c r="I45">
        <f>VLOOKUP(H45,$A$1:F$161,I$2,0)</f>
        <v>191.59</v>
      </c>
      <c r="J45">
        <f>VLOOKUP(H45,$A$1:F$161,J$2,0)</f>
        <v>253.1</v>
      </c>
      <c r="K45">
        <f>VLOOKUP(H45,$A$1:F$161,K$2,0)</f>
        <v>155.56</v>
      </c>
      <c r="L45">
        <f>VLOOKUP(H45,$A$1:F$161,L$2,0)</f>
        <v>81.209999999999994</v>
      </c>
      <c r="M45">
        <f>VLOOKUP(H45,$A$1:F$161,M$2,0)</f>
        <v>84.47</v>
      </c>
    </row>
    <row r="46" spans="1:13" x14ac:dyDescent="0.25">
      <c r="A46" t="s">
        <v>42</v>
      </c>
      <c r="B46">
        <v>554.37</v>
      </c>
      <c r="C46">
        <v>519.77</v>
      </c>
      <c r="D46">
        <v>371.92</v>
      </c>
      <c r="E46">
        <v>287.10000000000002</v>
      </c>
      <c r="F46">
        <v>306.33</v>
      </c>
      <c r="H46" t="s">
        <v>72</v>
      </c>
      <c r="I46">
        <f>VLOOKUP(H46,$A$1:F$161,I$2,0)</f>
        <v>14136.26</v>
      </c>
      <c r="J46">
        <f>VLOOKUP(H46,$A$1:F$161,J$2,0)</f>
        <v>13136.14</v>
      </c>
      <c r="K46">
        <f>VLOOKUP(H46,$A$1:F$161,K$2,0)</f>
        <v>11599.55</v>
      </c>
      <c r="L46">
        <f>VLOOKUP(H46,$A$1:F$161,L$2,0)</f>
        <v>11054.67</v>
      </c>
      <c r="M46">
        <f>VLOOKUP(H46,$A$1:F$161,M$2,0)</f>
        <v>9913.99</v>
      </c>
    </row>
    <row r="47" spans="1:13" x14ac:dyDescent="0.25">
      <c r="A47" t="s">
        <v>43</v>
      </c>
      <c r="B47">
        <v>3970.42</v>
      </c>
      <c r="C47">
        <v>4419.68</v>
      </c>
      <c r="D47">
        <v>3674.97</v>
      </c>
      <c r="E47">
        <v>3526.34</v>
      </c>
      <c r="F47">
        <v>3151.28</v>
      </c>
      <c r="H47" t="s">
        <v>73</v>
      </c>
      <c r="I47">
        <f>VLOOKUP(H47,$A$1:F$161,I$2,0)</f>
        <v>222.83</v>
      </c>
      <c r="J47">
        <f>VLOOKUP(H47,$A$1:F$161,J$2,0)</f>
        <v>312.87</v>
      </c>
      <c r="K47">
        <f>VLOOKUP(H47,$A$1:F$161,K$2,0)</f>
        <v>279.39999999999998</v>
      </c>
      <c r="L47">
        <f>VLOOKUP(H47,$A$1:F$161,L$2,0)</f>
        <v>206.45</v>
      </c>
      <c r="M47">
        <f>VLOOKUP(H47,$A$1:F$161,M$2,0)</f>
        <v>166.37</v>
      </c>
    </row>
    <row r="48" spans="1:13" x14ac:dyDescent="0.25">
      <c r="A48" t="s">
        <v>44</v>
      </c>
      <c r="B48">
        <v>7515.53</v>
      </c>
      <c r="C48">
        <v>8008.78</v>
      </c>
      <c r="D48">
        <v>7842.23</v>
      </c>
      <c r="E48">
        <v>6241.82</v>
      </c>
      <c r="F48">
        <v>5187.92</v>
      </c>
      <c r="H48" t="s">
        <v>74</v>
      </c>
      <c r="I48">
        <f>VLOOKUP(H48,$A$1:F$161,I$2,0)</f>
        <v>14359.09</v>
      </c>
      <c r="J48">
        <f>VLOOKUP(H48,$A$1:F$161,J$2,0)</f>
        <v>13449.01</v>
      </c>
      <c r="K48">
        <f>VLOOKUP(H48,$A$1:F$161,K$2,0)</f>
        <v>11878.95</v>
      </c>
      <c r="L48">
        <f>VLOOKUP(H48,$A$1:F$161,L$2,0)</f>
        <v>11261.12</v>
      </c>
      <c r="M48">
        <f>VLOOKUP(H48,$A$1:F$161,M$2,0)</f>
        <v>10080.36</v>
      </c>
    </row>
    <row r="49" spans="1:13" ht="24" customHeight="1" x14ac:dyDescent="0.25">
      <c r="A49" t="s">
        <v>45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36" customHeight="1" x14ac:dyDescent="0.25">
      <c r="A50" t="s">
        <v>46</v>
      </c>
      <c r="H50" t="s">
        <v>76</v>
      </c>
      <c r="I50">
        <f>VLOOKUP(H50,$A$1:F$161,I$2,0)</f>
        <v>7473.97</v>
      </c>
      <c r="J50">
        <f>VLOOKUP(H50,$A$1:F$161,J$2,0)</f>
        <v>6502.33</v>
      </c>
      <c r="K50">
        <f>VLOOKUP(H50,$A$1:F$161,K$2,0)</f>
        <v>5684.98</v>
      </c>
      <c r="L50">
        <f>VLOOKUP(H50,$A$1:F$161,L$2,0)</f>
        <v>5513.01</v>
      </c>
      <c r="M50">
        <f>VLOOKUP(H50,$A$1:F$161,M$2,0)</f>
        <v>4906.08</v>
      </c>
    </row>
    <row r="51" spans="1:13" x14ac:dyDescent="0.25">
      <c r="A51" t="s">
        <v>47</v>
      </c>
      <c r="B51">
        <v>625.21</v>
      </c>
      <c r="C51">
        <v>584.33000000000004</v>
      </c>
      <c r="D51">
        <v>277.64999999999998</v>
      </c>
      <c r="E51">
        <v>287.83999999999997</v>
      </c>
      <c r="F51">
        <v>242.47</v>
      </c>
      <c r="H51" t="s">
        <v>77</v>
      </c>
      <c r="I51">
        <f>VLOOKUP(H51,$A$1:F$161,I$2,0)</f>
        <v>1361.59</v>
      </c>
      <c r="J51">
        <f>VLOOKUP(H51,$A$1:F$161,J$2,0)</f>
        <v>1160.8900000000001</v>
      </c>
      <c r="K51">
        <f>VLOOKUP(H51,$A$1:F$161,K$2,0)</f>
        <v>1189.92</v>
      </c>
      <c r="L51">
        <f>VLOOKUP(H51,$A$1:F$161,L$2,0)</f>
        <v>1103.6300000000001</v>
      </c>
      <c r="M51">
        <f>VLOOKUP(H51,$A$1:F$161,M$2,0)</f>
        <v>1194.72</v>
      </c>
    </row>
    <row r="52" spans="1:13" ht="15" customHeight="1" x14ac:dyDescent="0.25">
      <c r="A52" t="s">
        <v>57</v>
      </c>
      <c r="H52" t="s">
        <v>78</v>
      </c>
      <c r="I52">
        <f>VLOOKUP(H52,$A$1:F$161,I$2,0)</f>
        <v>-75.260000000000005</v>
      </c>
      <c r="J52">
        <f>VLOOKUP(H52,$A$1:F$161,J$2,0)</f>
        <v>-37.119999999999997</v>
      </c>
      <c r="K52">
        <f>VLOOKUP(H52,$A$1:F$161,K$2,0)</f>
        <v>52.57</v>
      </c>
      <c r="L52">
        <f>VLOOKUP(H52,$A$1:F$161,L$2,0)</f>
        <v>-55.18</v>
      </c>
      <c r="M52">
        <f>VLOOKUP(H52,$A$1:F$161,M$2,0)</f>
        <v>6.3</v>
      </c>
    </row>
    <row r="53" spans="1:13" x14ac:dyDescent="0.25">
      <c r="A53" t="s">
        <v>58</v>
      </c>
      <c r="B53">
        <v>21.94</v>
      </c>
      <c r="C53">
        <v>21.94</v>
      </c>
      <c r="D53">
        <v>21.94</v>
      </c>
      <c r="E53">
        <v>21.94</v>
      </c>
      <c r="F53">
        <v>21.94</v>
      </c>
      <c r="H53" t="s">
        <v>79</v>
      </c>
      <c r="I53">
        <f>VLOOKUP(H53,$A$1:F$161,I$2,0)</f>
        <v>542.26</v>
      </c>
      <c r="J53">
        <f>VLOOKUP(H53,$A$1:F$161,J$2,0)</f>
        <v>527.38</v>
      </c>
      <c r="K53">
        <f>VLOOKUP(H53,$A$1:F$161,K$2,0)</f>
        <v>486.69</v>
      </c>
      <c r="L53">
        <f>VLOOKUP(H53,$A$1:F$161,L$2,0)</f>
        <v>441.82</v>
      </c>
      <c r="M53">
        <f>VLOOKUP(H53,$A$1:F$161,M$2,0)</f>
        <v>401.6</v>
      </c>
    </row>
    <row r="54" spans="1:13" ht="24" customHeight="1" x14ac:dyDescent="0.25">
      <c r="A54" t="s">
        <v>59</v>
      </c>
      <c r="H54" t="s">
        <v>80</v>
      </c>
      <c r="I54">
        <f>VLOOKUP(H54,$A$1:F$161,I$2,0)</f>
        <v>144.29</v>
      </c>
      <c r="J54">
        <f>VLOOKUP(H54,$A$1:F$161,J$2,0)</f>
        <v>110.9</v>
      </c>
      <c r="K54">
        <f>VLOOKUP(H54,$A$1:F$161,K$2,0)</f>
        <v>76.900000000000006</v>
      </c>
      <c r="L54">
        <f>VLOOKUP(H54,$A$1:F$161,L$2,0)</f>
        <v>9.09</v>
      </c>
      <c r="M54">
        <f>VLOOKUP(H54,$A$1:F$161,M$2,0)</f>
        <v>7.59</v>
      </c>
    </row>
    <row r="55" spans="1:13" x14ac:dyDescent="0.25">
      <c r="A55" t="s">
        <v>61</v>
      </c>
      <c r="B55">
        <v>926.55</v>
      </c>
      <c r="C55">
        <v>1385.15</v>
      </c>
      <c r="D55">
        <v>1882.98</v>
      </c>
      <c r="E55">
        <v>725.36</v>
      </c>
      <c r="F55">
        <v>220.47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62</v>
      </c>
      <c r="H56" t="s">
        <v>82</v>
      </c>
      <c r="I56">
        <f>VLOOKUP(H56,$A$1:F$161,I$2,0)</f>
        <v>200.54</v>
      </c>
      <c r="J56">
        <f>VLOOKUP(H56,$A$1:F$161,J$2,0)</f>
        <v>197.85</v>
      </c>
      <c r="K56">
        <f>VLOOKUP(H56,$A$1:F$161,K$2,0)</f>
        <v>184.81</v>
      </c>
      <c r="L56">
        <f>VLOOKUP(H56,$A$1:F$161,L$2,0)</f>
        <v>161.88</v>
      </c>
      <c r="M56">
        <f>VLOOKUP(H56,$A$1:F$161,M$2,0)</f>
        <v>142.07</v>
      </c>
    </row>
    <row r="57" spans="1:13" x14ac:dyDescent="0.25">
      <c r="A57" t="s">
        <v>64</v>
      </c>
      <c r="B57">
        <v>833.73</v>
      </c>
      <c r="C57">
        <v>1393.25</v>
      </c>
      <c r="D57">
        <v>1008.77</v>
      </c>
      <c r="E57">
        <v>749.88</v>
      </c>
      <c r="F57">
        <v>856.8</v>
      </c>
      <c r="H57" t="s">
        <v>83</v>
      </c>
      <c r="I57">
        <f>VLOOKUP(H57,$A$1:F$161,I$2,0)</f>
        <v>2632.19</v>
      </c>
      <c r="J57">
        <f>VLOOKUP(H57,$A$1:F$161,J$2,0)</f>
        <v>2473.37</v>
      </c>
      <c r="K57">
        <f>VLOOKUP(H57,$A$1:F$161,K$2,0)</f>
        <v>2342.21</v>
      </c>
      <c r="L57">
        <f>VLOOKUP(H57,$A$1:F$161,L$2,0)</f>
        <v>2317.9699999999998</v>
      </c>
      <c r="M57">
        <f>VLOOKUP(H57,$A$1:F$161,M$2,0)</f>
        <v>1903.64</v>
      </c>
    </row>
    <row r="58" spans="1:13" x14ac:dyDescent="0.25">
      <c r="H58" t="s">
        <v>84</v>
      </c>
      <c r="I58">
        <f>VLOOKUP(H58,$A$1:F$161,I$2,0)</f>
        <v>12279.58</v>
      </c>
      <c r="J58">
        <f>VLOOKUP(H58,$A$1:F$161,J$2,0)</f>
        <v>10935.6</v>
      </c>
      <c r="K58">
        <f>VLOOKUP(H58,$A$1:F$161,K$2,0)</f>
        <v>10018.08</v>
      </c>
      <c r="L58">
        <f>VLOOKUP(H58,$A$1:F$161,L$2,0)</f>
        <v>9492.2199999999993</v>
      </c>
      <c r="M58">
        <f>VLOOKUP(H58,$A$1:F$161,M$2,0)</f>
        <v>8562</v>
      </c>
    </row>
    <row r="59" spans="1:13" x14ac:dyDescent="0.25">
      <c r="H59" t="s">
        <v>85</v>
      </c>
      <c r="I59">
        <f>VLOOKUP(H59,$A$1:F$161,I$2,0)</f>
        <v>2079.5100000000002</v>
      </c>
      <c r="J59">
        <f>VLOOKUP(H59,$A$1:F$161,J$2,0)</f>
        <v>2513.41</v>
      </c>
      <c r="K59">
        <f>VLOOKUP(H59,$A$1:F$161,K$2,0)</f>
        <v>1860.87</v>
      </c>
      <c r="L59">
        <f>VLOOKUP(H59,$A$1:F$161,L$2,0)</f>
        <v>1768.9</v>
      </c>
      <c r="M59">
        <f>VLOOKUP(H59,$A$1:F$161,M$2,0)</f>
        <v>1518.36</v>
      </c>
    </row>
    <row r="60" spans="1:13" x14ac:dyDescent="0.25">
      <c r="H60" t="s">
        <v>87</v>
      </c>
      <c r="I60">
        <f>VLOOKUP(H60,$A$1:F$161,I$2,0)</f>
        <v>2078.5300000000002</v>
      </c>
      <c r="J60">
        <f>VLOOKUP(H60,$A$1:F$161,J$2,0)</f>
        <v>2512.8000000000002</v>
      </c>
      <c r="K60">
        <f>VLOOKUP(H60,$A$1:F$161,K$2,0)</f>
        <v>1843.86</v>
      </c>
      <c r="L60">
        <f>VLOOKUP(H60,$A$1:F$161,L$2,0)</f>
        <v>1768.9</v>
      </c>
      <c r="M60">
        <f>VLOOKUP(H60,$A$1:F$161,M$2,0)</f>
        <v>1518.36</v>
      </c>
    </row>
    <row r="61" spans="1:13" ht="15" customHeight="1" x14ac:dyDescent="0.25">
      <c r="A61" t="s">
        <v>65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612.24</v>
      </c>
      <c r="J62">
        <f>VLOOKUP(H62,$A$1:F$161,J$2,0)</f>
        <v>657.12</v>
      </c>
      <c r="K62">
        <f>VLOOKUP(H62,$A$1:F$161,K$2,0)</f>
        <v>447.69</v>
      </c>
      <c r="L62">
        <f>VLOOKUP(H62,$A$1:F$161,L$2,0)</f>
        <v>599.78</v>
      </c>
      <c r="M62">
        <f>VLOOKUP(H62,$A$1:F$161,M$2,0)</f>
        <v>513.67999999999995</v>
      </c>
    </row>
    <row r="63" spans="1:13" x14ac:dyDescent="0.25">
      <c r="H63" t="s">
        <v>90</v>
      </c>
      <c r="I63">
        <f>VLOOKUP(H63,$A$1:F$161,I$2,0)</f>
        <v>-49.89</v>
      </c>
      <c r="J63">
        <f>VLOOKUP(H63,$A$1:F$161,J$2,0)</f>
        <v>5.9</v>
      </c>
      <c r="K63">
        <f>VLOOKUP(H63,$A$1:F$161,K$2,0)</f>
        <v>3.01</v>
      </c>
      <c r="L63">
        <f>VLOOKUP(H63,$A$1:F$161,L$2,0)</f>
        <v>12.69</v>
      </c>
      <c r="M63">
        <f>VLOOKUP(H63,$A$1:F$161,M$2,0)</f>
        <v>0.54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562.35</v>
      </c>
      <c r="J65">
        <f>VLOOKUP(H65,$A$1:F$161,J$2,0)</f>
        <v>663.02</v>
      </c>
      <c r="K65">
        <f>VLOOKUP(H65,$A$1:F$161,K$2,0)</f>
        <v>450.7</v>
      </c>
      <c r="L65">
        <f>VLOOKUP(H65,$A$1:F$161,L$2,0)</f>
        <v>612.47</v>
      </c>
      <c r="M65">
        <f>VLOOKUP(H65,$A$1:F$161,M$2,0)</f>
        <v>514.22</v>
      </c>
    </row>
    <row r="66" spans="8:13" x14ac:dyDescent="0.25">
      <c r="H66" t="s">
        <v>92</v>
      </c>
      <c r="I66">
        <f>VLOOKUP(H66,$A$1:F$161,I$2,0)</f>
        <v>1516.18</v>
      </c>
      <c r="J66">
        <f>VLOOKUP(H66,$A$1:F$161,J$2,0)</f>
        <v>1849.78</v>
      </c>
      <c r="K66">
        <f>VLOOKUP(H66,$A$1:F$161,K$2,0)</f>
        <v>1393.16</v>
      </c>
      <c r="L66">
        <f>VLOOKUP(H66,$A$1:F$161,L$2,0)</f>
        <v>1156.43</v>
      </c>
      <c r="M66">
        <f>VLOOKUP(H66,$A$1:F$161,M$2,0)</f>
        <v>1004.14</v>
      </c>
    </row>
    <row r="67" spans="8:13" x14ac:dyDescent="0.25">
      <c r="H67" t="s">
        <v>93</v>
      </c>
      <c r="I67">
        <f>VLOOKUP(H67,$A$1:F$161,I$2,0)</f>
        <v>1516.18</v>
      </c>
      <c r="J67">
        <f>VLOOKUP(H67,$A$1:F$161,J$2,0)</f>
        <v>1849.78</v>
      </c>
      <c r="K67">
        <f>VLOOKUP(H67,$A$1:F$161,K$2,0)</f>
        <v>1393.16</v>
      </c>
      <c r="L67">
        <f>VLOOKUP(H67,$A$1:F$161,L$2,0)</f>
        <v>1156.43</v>
      </c>
      <c r="M67">
        <f>VLOOKUP(H67,$A$1:F$161,M$2,0)</f>
        <v>1004.14</v>
      </c>
    </row>
    <row r="68" spans="8:13" x14ac:dyDescent="0.25">
      <c r="H68" t="s">
        <v>94</v>
      </c>
      <c r="I68">
        <f>VLOOKUP(H68,$A$1:F$161,I$2,0)</f>
        <v>1516.18</v>
      </c>
      <c r="J68">
        <f>VLOOKUP(H68,$A$1:F$161,J$2,0)</f>
        <v>1849.78</v>
      </c>
      <c r="K68">
        <f>VLOOKUP(H68,$A$1:F$161,K$2,0)</f>
        <v>1393.16</v>
      </c>
      <c r="L68">
        <f>VLOOKUP(H68,$A$1:F$161,L$2,0)</f>
        <v>1156.43</v>
      </c>
      <c r="M68">
        <f>VLOOKUP(H68,$A$1:F$161,M$2,0)</f>
        <v>1004.14</v>
      </c>
    </row>
    <row r="69" spans="8:13" x14ac:dyDescent="0.25">
      <c r="H69" t="s">
        <v>101</v>
      </c>
      <c r="I69">
        <f>VLOOKUP(H69,$A$1:F$161,I$2,0)</f>
        <v>1794.47</v>
      </c>
      <c r="J69">
        <f>VLOOKUP(H69,$A$1:F$161,J$2,0)</f>
        <v>2839.66</v>
      </c>
      <c r="K69">
        <f>VLOOKUP(H69,$A$1:F$161,K$2,0)</f>
        <v>360.48</v>
      </c>
      <c r="L69">
        <f>VLOOKUP(H69,$A$1:F$161,L$2,0)</f>
        <v>360.45</v>
      </c>
      <c r="M69">
        <f>VLOOKUP(H69,$A$1:F$161,M$2,0)</f>
        <v>317.91000000000003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74.09</v>
      </c>
      <c r="L70">
        <f>VLOOKUP(H70,$A$1:F$161,L$2,0)</f>
        <v>1.4</v>
      </c>
      <c r="M70">
        <f>VLOOKUP(H70,$A$1:F$161,M$2,0)</f>
        <v>0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149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13944.67</v>
      </c>
      <c r="C97">
        <v>12883.04</v>
      </c>
      <c r="D97">
        <v>11443.99</v>
      </c>
      <c r="E97">
        <v>10973.46</v>
      </c>
      <c r="F97">
        <v>9905.6299999999992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76.11</v>
      </c>
    </row>
    <row r="99" spans="1:6" x14ac:dyDescent="0.25">
      <c r="A99" t="s">
        <v>70</v>
      </c>
      <c r="B99">
        <v>13944.67</v>
      </c>
      <c r="C99">
        <v>12883.04</v>
      </c>
      <c r="D99">
        <v>11443.99</v>
      </c>
      <c r="E99">
        <v>10973.46</v>
      </c>
      <c r="F99">
        <v>9829.52</v>
      </c>
    </row>
    <row r="100" spans="1:6" x14ac:dyDescent="0.25">
      <c r="A100" t="s">
        <v>71</v>
      </c>
      <c r="B100">
        <v>191.59</v>
      </c>
      <c r="C100">
        <v>253.1</v>
      </c>
      <c r="D100">
        <v>155.56</v>
      </c>
      <c r="E100">
        <v>81.209999999999994</v>
      </c>
      <c r="F100">
        <v>84.47</v>
      </c>
    </row>
    <row r="101" spans="1:6" x14ac:dyDescent="0.25">
      <c r="A101" t="s">
        <v>72</v>
      </c>
      <c r="B101">
        <v>14136.26</v>
      </c>
      <c r="C101">
        <v>13136.14</v>
      </c>
      <c r="D101">
        <v>11599.55</v>
      </c>
      <c r="E101">
        <v>11054.67</v>
      </c>
      <c r="F101">
        <v>9913.99</v>
      </c>
    </row>
    <row r="102" spans="1:6" x14ac:dyDescent="0.25">
      <c r="A102" t="s">
        <v>73</v>
      </c>
      <c r="B102">
        <v>222.83</v>
      </c>
      <c r="C102">
        <v>312.87</v>
      </c>
      <c r="D102">
        <v>279.39999999999998</v>
      </c>
      <c r="E102">
        <v>206.45</v>
      </c>
      <c r="F102">
        <v>166.37</v>
      </c>
    </row>
    <row r="103" spans="1:6" x14ac:dyDescent="0.25">
      <c r="A103" t="s">
        <v>74</v>
      </c>
      <c r="B103">
        <v>14359.09</v>
      </c>
      <c r="C103">
        <v>13449.01</v>
      </c>
      <c r="D103">
        <v>11878.95</v>
      </c>
      <c r="E103">
        <v>11261.12</v>
      </c>
      <c r="F103">
        <v>10080.36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7473.97</v>
      </c>
      <c r="C105">
        <v>6502.33</v>
      </c>
      <c r="D105">
        <v>5684.98</v>
      </c>
      <c r="E105">
        <v>5513.01</v>
      </c>
      <c r="F105">
        <v>4906.08</v>
      </c>
    </row>
    <row r="106" spans="1:6" x14ac:dyDescent="0.25">
      <c r="A106" t="s">
        <v>77</v>
      </c>
      <c r="B106">
        <v>1361.59</v>
      </c>
      <c r="C106">
        <v>1160.8900000000001</v>
      </c>
      <c r="D106">
        <v>1189.92</v>
      </c>
      <c r="E106">
        <v>1103.6300000000001</v>
      </c>
      <c r="F106">
        <v>1194.72</v>
      </c>
    </row>
    <row r="107" spans="1:6" x14ac:dyDescent="0.25">
      <c r="A107" t="s">
        <v>78</v>
      </c>
      <c r="B107">
        <v>-75.260000000000005</v>
      </c>
      <c r="C107">
        <v>-37.119999999999997</v>
      </c>
      <c r="D107">
        <v>52.57</v>
      </c>
      <c r="E107">
        <v>-55.18</v>
      </c>
      <c r="F107">
        <v>6.3</v>
      </c>
    </row>
    <row r="108" spans="1:6" x14ac:dyDescent="0.25">
      <c r="A108" t="s">
        <v>79</v>
      </c>
      <c r="B108">
        <v>542.26</v>
      </c>
      <c r="C108">
        <v>527.38</v>
      </c>
      <c r="D108">
        <v>486.69</v>
      </c>
      <c r="E108">
        <v>441.82</v>
      </c>
      <c r="F108">
        <v>401.6</v>
      </c>
    </row>
    <row r="109" spans="1:6" x14ac:dyDescent="0.25">
      <c r="A109" t="s">
        <v>80</v>
      </c>
      <c r="B109">
        <v>144.29</v>
      </c>
      <c r="C109">
        <v>110.9</v>
      </c>
      <c r="D109">
        <v>76.900000000000006</v>
      </c>
      <c r="E109">
        <v>9.09</v>
      </c>
      <c r="F109">
        <v>7.59</v>
      </c>
    </row>
    <row r="110" spans="1:6" x14ac:dyDescent="0.25">
      <c r="A110" t="s">
        <v>82</v>
      </c>
      <c r="B110">
        <v>200.54</v>
      </c>
      <c r="C110">
        <v>197.85</v>
      </c>
      <c r="D110">
        <v>184.81</v>
      </c>
      <c r="E110">
        <v>161.88</v>
      </c>
      <c r="F110">
        <v>142.07</v>
      </c>
    </row>
    <row r="111" spans="1:6" x14ac:dyDescent="0.25">
      <c r="A111" t="s">
        <v>83</v>
      </c>
      <c r="B111">
        <v>2632.19</v>
      </c>
      <c r="C111">
        <v>2473.37</v>
      </c>
      <c r="D111">
        <v>2342.21</v>
      </c>
      <c r="E111">
        <v>2317.9699999999998</v>
      </c>
      <c r="F111">
        <v>1903.64</v>
      </c>
    </row>
    <row r="112" spans="1:6" x14ac:dyDescent="0.25">
      <c r="A112" t="s">
        <v>84</v>
      </c>
      <c r="B112">
        <v>12279.58</v>
      </c>
      <c r="C112">
        <v>10935.6</v>
      </c>
      <c r="D112">
        <v>10018.08</v>
      </c>
      <c r="E112">
        <v>9492.2199999999993</v>
      </c>
      <c r="F112">
        <v>8562</v>
      </c>
    </row>
    <row r="113" spans="1:6" x14ac:dyDescent="0.25">
      <c r="A113" t="s">
        <v>85</v>
      </c>
      <c r="B113">
        <v>2079.5100000000002</v>
      </c>
      <c r="C113">
        <v>2513.41</v>
      </c>
      <c r="D113">
        <v>1860.87</v>
      </c>
      <c r="E113">
        <v>1768.9</v>
      </c>
      <c r="F113">
        <v>1518.36</v>
      </c>
    </row>
    <row r="114" spans="1:6" x14ac:dyDescent="0.25">
      <c r="A114" t="s">
        <v>86</v>
      </c>
      <c r="B114">
        <v>-0.98</v>
      </c>
      <c r="C114">
        <v>-0.61</v>
      </c>
      <c r="D114">
        <v>-17.010000000000002</v>
      </c>
      <c r="E114">
        <v>0</v>
      </c>
      <c r="F114">
        <v>0</v>
      </c>
    </row>
    <row r="115" spans="1:6" x14ac:dyDescent="0.25">
      <c r="A115" t="s">
        <v>87</v>
      </c>
      <c r="B115">
        <v>2078.5300000000002</v>
      </c>
      <c r="C115">
        <v>2512.8000000000002</v>
      </c>
      <c r="D115">
        <v>1843.86</v>
      </c>
      <c r="E115">
        <v>1768.9</v>
      </c>
      <c r="F115">
        <v>1518.36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612.24</v>
      </c>
      <c r="C117">
        <v>657.12</v>
      </c>
      <c r="D117">
        <v>447.69</v>
      </c>
      <c r="E117">
        <v>599.78</v>
      </c>
      <c r="F117">
        <v>513.67999999999995</v>
      </c>
    </row>
    <row r="118" spans="1:6" x14ac:dyDescent="0.25">
      <c r="A118" t="s">
        <v>90</v>
      </c>
      <c r="B118">
        <v>-49.89</v>
      </c>
      <c r="C118">
        <v>5.9</v>
      </c>
      <c r="D118">
        <v>3.01</v>
      </c>
      <c r="E118">
        <v>12.69</v>
      </c>
      <c r="F118">
        <v>0.54</v>
      </c>
    </row>
    <row r="119" spans="1:6" x14ac:dyDescent="0.25">
      <c r="A119" t="s">
        <v>91</v>
      </c>
      <c r="B119">
        <v>562.35</v>
      </c>
      <c r="C119">
        <v>663.02</v>
      </c>
      <c r="D119">
        <v>450.7</v>
      </c>
      <c r="E119">
        <v>612.47</v>
      </c>
      <c r="F119">
        <v>514.22</v>
      </c>
    </row>
    <row r="120" spans="1:6" x14ac:dyDescent="0.25">
      <c r="A120" t="s">
        <v>92</v>
      </c>
      <c r="B120">
        <v>1516.18</v>
      </c>
      <c r="C120">
        <v>1849.78</v>
      </c>
      <c r="D120">
        <v>1393.16</v>
      </c>
      <c r="E120">
        <v>1156.43</v>
      </c>
      <c r="F120">
        <v>1004.14</v>
      </c>
    </row>
    <row r="121" spans="1:6" x14ac:dyDescent="0.25">
      <c r="A121" t="s">
        <v>93</v>
      </c>
      <c r="B121">
        <v>1516.18</v>
      </c>
      <c r="C121">
        <v>1849.78</v>
      </c>
      <c r="D121">
        <v>1393.16</v>
      </c>
      <c r="E121">
        <v>1156.43</v>
      </c>
      <c r="F121">
        <v>1004.14</v>
      </c>
    </row>
    <row r="122" spans="1:6" x14ac:dyDescent="0.25">
      <c r="A122" t="s">
        <v>94</v>
      </c>
      <c r="B122">
        <v>1516.18</v>
      </c>
      <c r="C122">
        <v>1849.78</v>
      </c>
      <c r="D122">
        <v>1393.16</v>
      </c>
      <c r="E122">
        <v>1156.43</v>
      </c>
      <c r="F122">
        <v>1004.14</v>
      </c>
    </row>
    <row r="123" spans="1:6" x14ac:dyDescent="0.25">
      <c r="A123" t="s">
        <v>116</v>
      </c>
      <c r="B123">
        <v>8.84</v>
      </c>
      <c r="C123">
        <v>13.31</v>
      </c>
      <c r="D123">
        <v>9.0299999999999994</v>
      </c>
      <c r="E123">
        <v>3.66</v>
      </c>
      <c r="F123">
        <v>0.27</v>
      </c>
    </row>
    <row r="124" spans="1:6" x14ac:dyDescent="0.25">
      <c r="A124" t="s">
        <v>130</v>
      </c>
      <c r="B124">
        <v>-0.2</v>
      </c>
      <c r="C124">
        <v>0.81</v>
      </c>
      <c r="D124">
        <v>0.44</v>
      </c>
      <c r="E124">
        <v>-0.97</v>
      </c>
      <c r="F124">
        <v>-0.18</v>
      </c>
    </row>
    <row r="125" spans="1:6" x14ac:dyDescent="0.25">
      <c r="A125" t="s">
        <v>113</v>
      </c>
      <c r="B125">
        <v>1524.82</v>
      </c>
      <c r="C125">
        <v>1863.9</v>
      </c>
      <c r="D125">
        <v>1402.63</v>
      </c>
      <c r="E125">
        <v>1159.1199999999999</v>
      </c>
      <c r="F125">
        <v>1004.23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63</v>
      </c>
      <c r="C128">
        <v>77</v>
      </c>
      <c r="D128">
        <v>58</v>
      </c>
      <c r="E128">
        <v>48</v>
      </c>
      <c r="F128">
        <v>84</v>
      </c>
    </row>
    <row r="129" spans="1:6" x14ac:dyDescent="0.25">
      <c r="A129" t="s">
        <v>97</v>
      </c>
      <c r="B129">
        <v>63</v>
      </c>
      <c r="C129">
        <v>77</v>
      </c>
      <c r="D129">
        <v>58</v>
      </c>
      <c r="E129">
        <v>48</v>
      </c>
      <c r="F129">
        <v>84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1794.47</v>
      </c>
      <c r="C131">
        <v>2839.66</v>
      </c>
      <c r="D131">
        <v>360.48</v>
      </c>
      <c r="E131">
        <v>360.45</v>
      </c>
      <c r="F131">
        <v>317.91000000000003</v>
      </c>
    </row>
    <row r="132" spans="1:6" x14ac:dyDescent="0.25">
      <c r="A132" t="s">
        <v>102</v>
      </c>
      <c r="B132">
        <v>0</v>
      </c>
      <c r="C132">
        <v>0</v>
      </c>
      <c r="D132">
        <v>74.09</v>
      </c>
      <c r="E132">
        <v>1.4</v>
      </c>
      <c r="F132">
        <v>0</v>
      </c>
    </row>
    <row r="136" spans="1:6" ht="15" customHeight="1" x14ac:dyDescent="0.25">
      <c r="A136" t="s">
        <v>65</v>
      </c>
    </row>
  </sheetData>
  <hyperlinks>
    <hyperlink ref="B1" r:id="rId1" display="javascript:void(0);" xr:uid="{6FDA9E2D-00F9-4197-993D-5FB9B15A277A}"/>
    <hyperlink ref="B90" r:id="rId2" display="javascript:void(0);" xr:uid="{675D88D4-F07A-417A-8B8D-D0C1C667B322}"/>
  </hyperlinks>
  <pageMargins left="0.7" right="0.7" top="0.75" bottom="0.75" header="0.3" footer="0.3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F0E9-48EB-4A3F-A55A-1B079B07FF20}">
  <sheetPr codeName="Sheet22"/>
  <dimension ref="A1:M136"/>
  <sheetViews>
    <sheetView workbookViewId="0">
      <selection activeCell="A16" sqref="A16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150</v>
      </c>
      <c r="B1" t="s">
        <v>1</v>
      </c>
      <c r="H1" t="str">
        <f>A1</f>
        <v>Jubilant Foodworks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131.97</v>
      </c>
      <c r="J4">
        <f>VLOOKUP(H4,$A$1:F$161,J$2,0)</f>
        <v>131.97</v>
      </c>
      <c r="K4">
        <f>VLOOKUP(H4,$A$1:F$161,K$2,0)</f>
        <v>131.97</v>
      </c>
      <c r="L4">
        <f>VLOOKUP(H4,$A$1:F$161,L$2,0)</f>
        <v>131.97</v>
      </c>
      <c r="M4">
        <f>VLOOKUP(H4,$A$1:F$161,M$2,0)</f>
        <v>65.98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131.97</v>
      </c>
      <c r="J5">
        <f>VLOOKUP(H5,$A$1:F$161,J$2,0)</f>
        <v>131.97</v>
      </c>
      <c r="K5">
        <f>VLOOKUP(H5,$A$1:F$161,K$2,0)</f>
        <v>131.97</v>
      </c>
      <c r="L5">
        <f>VLOOKUP(H5,$A$1:F$161,L$2,0)</f>
        <v>131.97</v>
      </c>
      <c r="M5">
        <f>VLOOKUP(H5,$A$1:F$161,M$2,0)</f>
        <v>65.98</v>
      </c>
    </row>
    <row r="6" spans="1:13" x14ac:dyDescent="0.25">
      <c r="H6" t="s">
        <v>10</v>
      </c>
      <c r="I6">
        <f>VLOOKUP(H6,$A$1:F$161,I$2,0)</f>
        <v>1971.53</v>
      </c>
      <c r="J6">
        <f>VLOOKUP(H6,$A$1:F$161,J$2,0)</f>
        <v>1365.16</v>
      </c>
      <c r="K6">
        <f>VLOOKUP(H6,$A$1:F$161,K$2,0)</f>
        <v>1050.97</v>
      </c>
      <c r="L6">
        <f>VLOOKUP(H6,$A$1:F$161,L$2,0)</f>
        <v>1191.75</v>
      </c>
      <c r="M6">
        <f>VLOOKUP(H6,$A$1:F$161,M$2,0)</f>
        <v>977.92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1971.53</v>
      </c>
      <c r="J7">
        <f>VLOOKUP(H7,$A$1:F$161,J$2,0)</f>
        <v>1365.16</v>
      </c>
      <c r="K7">
        <f>VLOOKUP(H7,$A$1:F$161,K$2,0)</f>
        <v>1050.97</v>
      </c>
      <c r="L7">
        <f>VLOOKUP(H7,$A$1:F$161,L$2,0)</f>
        <v>1191.75</v>
      </c>
      <c r="M7">
        <f>VLOOKUP(H7,$A$1:F$161,M$2,0)</f>
        <v>977.92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2103.5</v>
      </c>
      <c r="J8">
        <f>VLOOKUP(H8,$A$1:F$161,J$2,0)</f>
        <v>1497.13</v>
      </c>
      <c r="K8">
        <f>VLOOKUP(H8,$A$1:F$161,K$2,0)</f>
        <v>1182.94</v>
      </c>
      <c r="L8">
        <f>VLOOKUP(H8,$A$1:F$161,L$2,0)</f>
        <v>1323.72</v>
      </c>
      <c r="M8">
        <f>VLOOKUP(H8,$A$1:F$161,M$2,0)</f>
        <v>1043.9100000000001</v>
      </c>
    </row>
    <row r="9" spans="1:13" x14ac:dyDescent="0.25">
      <c r="A9" t="s">
        <v>8</v>
      </c>
      <c r="B9">
        <v>131.97</v>
      </c>
      <c r="C9">
        <v>131.97</v>
      </c>
      <c r="D9">
        <v>131.97</v>
      </c>
      <c r="E9">
        <v>131.97</v>
      </c>
      <c r="F9">
        <v>65.98</v>
      </c>
      <c r="H9" t="s">
        <v>14</v>
      </c>
      <c r="I9">
        <f>VLOOKUP(H9,$A$1:F$161,I$2,0)</f>
        <v>1765.84</v>
      </c>
      <c r="J9">
        <f>VLOOKUP(H9,$A$1:F$161,J$2,0)</f>
        <v>1450.5</v>
      </c>
      <c r="K9">
        <f>VLOOKUP(H9,$A$1:F$161,K$2,0)</f>
        <v>1508.14</v>
      </c>
      <c r="L9">
        <f>VLOOKUP(H9,$A$1:F$161,L$2,0)</f>
        <v>0.5</v>
      </c>
      <c r="M9">
        <f>VLOOKUP(H9,$A$1:F$161,M$2,0)</f>
        <v>0.5</v>
      </c>
    </row>
    <row r="10" spans="1:13" x14ac:dyDescent="0.25">
      <c r="A10" t="s">
        <v>9</v>
      </c>
      <c r="B10">
        <v>131.97</v>
      </c>
      <c r="C10">
        <v>131.97</v>
      </c>
      <c r="D10">
        <v>131.97</v>
      </c>
      <c r="E10">
        <v>131.97</v>
      </c>
      <c r="F10">
        <v>65.98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1971.53</v>
      </c>
      <c r="C11">
        <v>1365.16</v>
      </c>
      <c r="D11">
        <v>1050.97</v>
      </c>
      <c r="E11">
        <v>1191.75</v>
      </c>
      <c r="F11">
        <v>977.92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1971.53</v>
      </c>
      <c r="C12">
        <v>1365.16</v>
      </c>
      <c r="D12">
        <v>1050.97</v>
      </c>
      <c r="E12">
        <v>1191.75</v>
      </c>
      <c r="F12">
        <v>977.92</v>
      </c>
      <c r="H12" t="s">
        <v>18</v>
      </c>
      <c r="I12">
        <f>VLOOKUP(H12,$A$1:F$161,I$2,0)</f>
        <v>1765.84</v>
      </c>
      <c r="J12">
        <f>VLOOKUP(H12,$A$1:F$161,J$2,0)</f>
        <v>1450.5</v>
      </c>
      <c r="K12">
        <f>VLOOKUP(H12,$A$1:F$161,K$2,0)</f>
        <v>1508.14</v>
      </c>
      <c r="L12">
        <f>VLOOKUP(H12,$A$1:F$161,L$2,0)</f>
        <v>49.75</v>
      </c>
      <c r="M12">
        <f>VLOOKUP(H12,$A$1:F$161,M$2,0)</f>
        <v>55.48</v>
      </c>
    </row>
    <row r="13" spans="1:13" x14ac:dyDescent="0.25">
      <c r="A13" t="s">
        <v>12</v>
      </c>
      <c r="B13">
        <v>2103.5</v>
      </c>
      <c r="C13">
        <v>1497.13</v>
      </c>
      <c r="D13">
        <v>1182.94</v>
      </c>
      <c r="E13">
        <v>1323.72</v>
      </c>
      <c r="F13">
        <v>1043.9100000000001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535.29999999999995</v>
      </c>
      <c r="J14">
        <f>VLOOKUP(H14,$A$1:F$161,J$2,0)</f>
        <v>533.26</v>
      </c>
      <c r="K14">
        <f>VLOOKUP(H14,$A$1:F$161,K$2,0)</f>
        <v>448.46</v>
      </c>
      <c r="L14">
        <f>VLOOKUP(H14,$A$1:F$161,L$2,0)</f>
        <v>420.54</v>
      </c>
      <c r="M14">
        <f>VLOOKUP(H14,$A$1:F$161,M$2,0)</f>
        <v>386.83</v>
      </c>
    </row>
    <row r="15" spans="1:13" x14ac:dyDescent="0.25">
      <c r="A15" t="s">
        <v>15</v>
      </c>
      <c r="B15">
        <v>0</v>
      </c>
      <c r="C15">
        <v>0</v>
      </c>
      <c r="D15">
        <v>0</v>
      </c>
      <c r="E15">
        <v>49.25</v>
      </c>
      <c r="F15">
        <v>54.98</v>
      </c>
      <c r="H15" t="s">
        <v>22</v>
      </c>
      <c r="I15">
        <f>VLOOKUP(H15,$A$1:F$161,I$2,0)</f>
        <v>330.05</v>
      </c>
      <c r="J15">
        <f>VLOOKUP(H15,$A$1:F$161,J$2,0)</f>
        <v>278.70999999999998</v>
      </c>
      <c r="K15">
        <f>VLOOKUP(H15,$A$1:F$161,K$2,0)</f>
        <v>231.62</v>
      </c>
      <c r="L15">
        <f>VLOOKUP(H15,$A$1:F$161,L$2,0)</f>
        <v>95.34</v>
      </c>
      <c r="M15">
        <f>VLOOKUP(H15,$A$1:F$161,M$2,0)</f>
        <v>65.47</v>
      </c>
    </row>
    <row r="16" spans="1:13" x14ac:dyDescent="0.25">
      <c r="A16" t="s">
        <v>14</v>
      </c>
      <c r="B16">
        <v>1765.84</v>
      </c>
      <c r="C16">
        <v>1450.5</v>
      </c>
      <c r="D16">
        <v>1508.14</v>
      </c>
      <c r="E16">
        <v>0.5</v>
      </c>
      <c r="F16">
        <v>0.5</v>
      </c>
      <c r="H16" t="s">
        <v>23</v>
      </c>
      <c r="I16">
        <f>VLOOKUP(H16,$A$1:F$161,I$2,0)</f>
        <v>40.69</v>
      </c>
      <c r="J16">
        <f>VLOOKUP(H16,$A$1:F$161,J$2,0)</f>
        <v>41.93</v>
      </c>
      <c r="K16">
        <f>VLOOKUP(H16,$A$1:F$161,K$2,0)</f>
        <v>27.77</v>
      </c>
      <c r="L16">
        <f>VLOOKUP(H16,$A$1:F$161,L$2,0)</f>
        <v>24.47</v>
      </c>
      <c r="M16">
        <f>VLOOKUP(H16,$A$1:F$161,M$2,0)</f>
        <v>16.25</v>
      </c>
    </row>
    <row r="17" spans="1:13" x14ac:dyDescent="0.25">
      <c r="A17" t="s">
        <v>18</v>
      </c>
      <c r="B17">
        <v>1765.84</v>
      </c>
      <c r="C17">
        <v>1450.5</v>
      </c>
      <c r="D17">
        <v>1508.14</v>
      </c>
      <c r="E17">
        <v>49.75</v>
      </c>
      <c r="F17">
        <v>55.48</v>
      </c>
      <c r="H17" t="s">
        <v>24</v>
      </c>
      <c r="I17">
        <f>VLOOKUP(H17,$A$1:F$161,I$2,0)</f>
        <v>906.04</v>
      </c>
      <c r="J17">
        <f>VLOOKUP(H17,$A$1:F$161,J$2,0)</f>
        <v>853.9</v>
      </c>
      <c r="K17">
        <f>VLOOKUP(H17,$A$1:F$161,K$2,0)</f>
        <v>707.86</v>
      </c>
      <c r="L17">
        <f>VLOOKUP(H17,$A$1:F$161,L$2,0)</f>
        <v>540.36</v>
      </c>
      <c r="M17">
        <f>VLOOKUP(H17,$A$1:F$161,M$2,0)</f>
        <v>468.55</v>
      </c>
    </row>
    <row r="18" spans="1:13" ht="15" customHeight="1" x14ac:dyDescent="0.25">
      <c r="A18" t="s">
        <v>19</v>
      </c>
      <c r="H18" t="s">
        <v>25</v>
      </c>
      <c r="I18">
        <f>VLOOKUP(H18,$A$1:F$161,I$2,0)</f>
        <v>4775.38</v>
      </c>
      <c r="J18">
        <f>VLOOKUP(H18,$A$1:F$161,J$2,0)</f>
        <v>3801.53</v>
      </c>
      <c r="K18">
        <f>VLOOKUP(H18,$A$1:F$161,K$2,0)</f>
        <v>3398.93</v>
      </c>
      <c r="L18">
        <f>VLOOKUP(H18,$A$1:F$161,L$2,0)</f>
        <v>1913.82</v>
      </c>
      <c r="M18">
        <f>VLOOKUP(H18,$A$1:F$161,M$2,0)</f>
        <v>1567.94</v>
      </c>
    </row>
    <row r="19" spans="1:13" x14ac:dyDescent="0.25">
      <c r="A19" t="s">
        <v>21</v>
      </c>
      <c r="B19">
        <v>535.29999999999995</v>
      </c>
      <c r="C19">
        <v>533.26</v>
      </c>
      <c r="D19">
        <v>448.46</v>
      </c>
      <c r="E19">
        <v>420.54</v>
      </c>
      <c r="F19">
        <v>386.83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22</v>
      </c>
      <c r="B20">
        <v>330.05</v>
      </c>
      <c r="C20">
        <v>278.70999999999998</v>
      </c>
      <c r="D20">
        <v>231.62</v>
      </c>
      <c r="E20">
        <v>95.34</v>
      </c>
      <c r="F20">
        <v>65.47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23</v>
      </c>
      <c r="B21">
        <v>40.69</v>
      </c>
      <c r="C21">
        <v>41.93</v>
      </c>
      <c r="D21">
        <v>27.77</v>
      </c>
      <c r="E21">
        <v>24.47</v>
      </c>
      <c r="F21">
        <v>16.25</v>
      </c>
      <c r="H21" t="s">
        <v>28</v>
      </c>
      <c r="I21">
        <f>VLOOKUP(H21,$A$1:F$161,I$2,0)</f>
        <v>2630</v>
      </c>
      <c r="J21">
        <f>VLOOKUP(H21,$A$1:F$161,J$2,0)</f>
        <v>2067.96</v>
      </c>
      <c r="K21">
        <f>VLOOKUP(H21,$A$1:F$161,K$2,0)</f>
        <v>2112.04</v>
      </c>
      <c r="L21">
        <f>VLOOKUP(H21,$A$1:F$161,L$2,0)</f>
        <v>748.91</v>
      </c>
      <c r="M21">
        <f>VLOOKUP(H21,$A$1:F$161,M$2,0)</f>
        <v>732.04</v>
      </c>
    </row>
    <row r="22" spans="1:13" x14ac:dyDescent="0.25">
      <c r="A22" t="s">
        <v>24</v>
      </c>
      <c r="B22">
        <v>906.04</v>
      </c>
      <c r="C22">
        <v>853.9</v>
      </c>
      <c r="D22">
        <v>707.86</v>
      </c>
      <c r="E22">
        <v>540.36</v>
      </c>
      <c r="F22">
        <v>468.55</v>
      </c>
      <c r="H22" t="s">
        <v>29</v>
      </c>
      <c r="I22">
        <f>VLOOKUP(H22,$A$1:F$161,I$2,0)</f>
        <v>38.840000000000003</v>
      </c>
      <c r="J22">
        <f>VLOOKUP(H22,$A$1:F$161,J$2,0)</f>
        <v>24.45</v>
      </c>
      <c r="K22">
        <f>VLOOKUP(H22,$A$1:F$161,K$2,0)</f>
        <v>38.94</v>
      </c>
      <c r="L22">
        <f>VLOOKUP(H22,$A$1:F$161,L$2,0)</f>
        <v>14.44</v>
      </c>
      <c r="M22">
        <f>VLOOKUP(H22,$A$1:F$161,M$2,0)</f>
        <v>10.93</v>
      </c>
    </row>
    <row r="23" spans="1:13" x14ac:dyDescent="0.25">
      <c r="A23" t="s">
        <v>25</v>
      </c>
      <c r="B23">
        <v>4775.38</v>
      </c>
      <c r="C23">
        <v>3801.53</v>
      </c>
      <c r="D23">
        <v>3398.93</v>
      </c>
      <c r="E23">
        <v>1913.82</v>
      </c>
      <c r="F23">
        <v>1567.94</v>
      </c>
      <c r="H23" t="s">
        <v>30</v>
      </c>
      <c r="I23">
        <f>VLOOKUP(H23,$A$1:F$161,I$2,0)</f>
        <v>2728.55</v>
      </c>
      <c r="J23">
        <f>VLOOKUP(H23,$A$1:F$161,J$2,0)</f>
        <v>2130.15</v>
      </c>
      <c r="K23">
        <f>VLOOKUP(H23,$A$1:F$161,K$2,0)</f>
        <v>2188.19</v>
      </c>
      <c r="L23">
        <f>VLOOKUP(H23,$A$1:F$161,L$2,0)</f>
        <v>800.36</v>
      </c>
      <c r="M23">
        <f>VLOOKUP(H23,$A$1:F$161,M$2,0)</f>
        <v>780.68</v>
      </c>
    </row>
    <row r="24" spans="1:13" x14ac:dyDescent="0.25">
      <c r="A24" t="s">
        <v>26</v>
      </c>
      <c r="H24" t="s">
        <v>32</v>
      </c>
      <c r="I24">
        <f>VLOOKUP(H24,$A$1:F$161,I$2,0)</f>
        <v>57.08</v>
      </c>
      <c r="J24">
        <f>VLOOKUP(H24,$A$1:F$161,J$2,0)</f>
        <v>88.37</v>
      </c>
      <c r="K24">
        <f>VLOOKUP(H24,$A$1:F$161,K$2,0)</f>
        <v>80.989999999999995</v>
      </c>
      <c r="L24">
        <f>VLOOKUP(H24,$A$1:F$161,L$2,0)</f>
        <v>0</v>
      </c>
      <c r="M24">
        <f>VLOOKUP(H24,$A$1:F$161,M$2,0)</f>
        <v>0</v>
      </c>
    </row>
    <row r="25" spans="1:13" ht="24" customHeight="1" x14ac:dyDescent="0.25">
      <c r="A25" t="s">
        <v>27</v>
      </c>
      <c r="H25" t="s">
        <v>33</v>
      </c>
      <c r="I25">
        <f>VLOOKUP(H25,$A$1:F$161,I$2,0)</f>
        <v>0</v>
      </c>
      <c r="J25">
        <f>VLOOKUP(H25,$A$1:F$161,J$2,0)</f>
        <v>0</v>
      </c>
      <c r="K25">
        <f>VLOOKUP(H25,$A$1:F$161,K$2,0)</f>
        <v>0</v>
      </c>
      <c r="L25">
        <f>VLOOKUP(H25,$A$1:F$161,L$2,0)</f>
        <v>0</v>
      </c>
      <c r="M25">
        <f>VLOOKUP(H25,$A$1:F$161,M$2,0)</f>
        <v>16.93</v>
      </c>
    </row>
    <row r="26" spans="1:13" x14ac:dyDescent="0.25">
      <c r="A26" t="s">
        <v>28</v>
      </c>
      <c r="B26">
        <v>2630</v>
      </c>
      <c r="C26">
        <v>2067.96</v>
      </c>
      <c r="D26">
        <v>2112.04</v>
      </c>
      <c r="E26">
        <v>748.91</v>
      </c>
      <c r="F26">
        <v>732.04</v>
      </c>
      <c r="H26" t="s">
        <v>34</v>
      </c>
      <c r="I26">
        <f>VLOOKUP(H26,$A$1:F$161,I$2,0)</f>
        <v>196.43</v>
      </c>
      <c r="J26">
        <f>VLOOKUP(H26,$A$1:F$161,J$2,0)</f>
        <v>235.52</v>
      </c>
      <c r="K26">
        <f>VLOOKUP(H26,$A$1:F$161,K$2,0)</f>
        <v>205.61</v>
      </c>
      <c r="L26">
        <f>VLOOKUP(H26,$A$1:F$161,L$2,0)</f>
        <v>218.33</v>
      </c>
      <c r="M26">
        <f>VLOOKUP(H26,$A$1:F$161,M$2,0)</f>
        <v>186.85</v>
      </c>
    </row>
    <row r="27" spans="1:13" x14ac:dyDescent="0.25">
      <c r="A27" t="s">
        <v>106</v>
      </c>
      <c r="B27">
        <v>52.81</v>
      </c>
      <c r="C27">
        <v>35.4</v>
      </c>
      <c r="D27">
        <v>36.68</v>
      </c>
      <c r="E27">
        <v>36.47</v>
      </c>
      <c r="F27">
        <v>35.86</v>
      </c>
      <c r="H27" t="s">
        <v>35</v>
      </c>
      <c r="I27">
        <f>VLOOKUP(H27,$A$1:F$161,I$2,0)</f>
        <v>3836.79</v>
      </c>
      <c r="J27">
        <f>VLOOKUP(H27,$A$1:F$161,J$2,0)</f>
        <v>2986.47</v>
      </c>
      <c r="K27">
        <f>VLOOKUP(H27,$A$1:F$161,K$2,0)</f>
        <v>2558.1799999999998</v>
      </c>
      <c r="L27">
        <f>VLOOKUP(H27,$A$1:F$161,L$2,0)</f>
        <v>1107.4100000000001</v>
      </c>
      <c r="M27">
        <f>VLOOKUP(H27,$A$1:F$161,M$2,0)</f>
        <v>1066.6300000000001</v>
      </c>
    </row>
    <row r="28" spans="1:13" x14ac:dyDescent="0.25">
      <c r="A28" t="s">
        <v>29</v>
      </c>
      <c r="B28">
        <v>38.840000000000003</v>
      </c>
      <c r="C28">
        <v>24.45</v>
      </c>
      <c r="D28">
        <v>38.94</v>
      </c>
      <c r="E28">
        <v>14.44</v>
      </c>
      <c r="F28">
        <v>10.93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120</v>
      </c>
      <c r="B29">
        <v>6.86</v>
      </c>
      <c r="C29">
        <v>2.2999999999999998</v>
      </c>
      <c r="D29">
        <v>0.5</v>
      </c>
      <c r="E29">
        <v>0.5</v>
      </c>
      <c r="F29">
        <v>1.81</v>
      </c>
      <c r="H29" t="s">
        <v>38</v>
      </c>
      <c r="I29">
        <f>VLOOKUP(H29,$A$1:F$161,I$2,0)</f>
        <v>157.05000000000001</v>
      </c>
      <c r="J29">
        <f>VLOOKUP(H29,$A$1:F$161,J$2,0)</f>
        <v>130.47</v>
      </c>
      <c r="K29">
        <f>VLOOKUP(H29,$A$1:F$161,K$2,0)</f>
        <v>92.19</v>
      </c>
      <c r="L29">
        <f>VLOOKUP(H29,$A$1:F$161,L$2,0)</f>
        <v>73.150000000000006</v>
      </c>
      <c r="M29">
        <f>VLOOKUP(H29,$A$1:F$161,M$2,0)</f>
        <v>62.59</v>
      </c>
    </row>
    <row r="30" spans="1:13" x14ac:dyDescent="0.25">
      <c r="A30" t="s">
        <v>121</v>
      </c>
      <c r="B30">
        <v>0.03</v>
      </c>
      <c r="C30">
        <v>0.03</v>
      </c>
      <c r="D30">
        <v>0.03</v>
      </c>
      <c r="E30">
        <v>0.03</v>
      </c>
      <c r="F30">
        <v>0.03</v>
      </c>
      <c r="H30" t="s">
        <v>39</v>
      </c>
      <c r="I30">
        <f>VLOOKUP(H30,$A$1:F$161,I$2,0)</f>
        <v>26.75</v>
      </c>
      <c r="J30">
        <f>VLOOKUP(H30,$A$1:F$161,J$2,0)</f>
        <v>17.920000000000002</v>
      </c>
      <c r="K30">
        <f>VLOOKUP(H30,$A$1:F$161,K$2,0)</f>
        <v>19.29</v>
      </c>
      <c r="L30">
        <f>VLOOKUP(H30,$A$1:F$161,L$2,0)</f>
        <v>32.68</v>
      </c>
      <c r="M30">
        <f>VLOOKUP(H30,$A$1:F$161,M$2,0)</f>
        <v>15.08</v>
      </c>
    </row>
    <row r="31" spans="1:13" x14ac:dyDescent="0.25">
      <c r="A31" t="s">
        <v>30</v>
      </c>
      <c r="B31">
        <v>2728.55</v>
      </c>
      <c r="C31">
        <v>2130.15</v>
      </c>
      <c r="D31">
        <v>2188.19</v>
      </c>
      <c r="E31">
        <v>800.36</v>
      </c>
      <c r="F31">
        <v>780.68</v>
      </c>
      <c r="H31" t="s">
        <v>40</v>
      </c>
      <c r="I31">
        <f>VLOOKUP(H31,$A$1:F$161,I$2,0)</f>
        <v>539.99</v>
      </c>
      <c r="J31">
        <f>VLOOKUP(H31,$A$1:F$161,J$2,0)</f>
        <v>517.46</v>
      </c>
      <c r="K31">
        <f>VLOOKUP(H31,$A$1:F$161,K$2,0)</f>
        <v>639.22</v>
      </c>
      <c r="L31">
        <f>VLOOKUP(H31,$A$1:F$161,L$2,0)</f>
        <v>489.06</v>
      </c>
      <c r="M31">
        <f>VLOOKUP(H31,$A$1:F$161,M$2,0)</f>
        <v>128.53</v>
      </c>
    </row>
    <row r="32" spans="1:13" x14ac:dyDescent="0.25">
      <c r="A32" t="s">
        <v>31</v>
      </c>
      <c r="B32">
        <v>854.74</v>
      </c>
      <c r="C32">
        <v>532.42999999999995</v>
      </c>
      <c r="D32">
        <v>83.39</v>
      </c>
      <c r="E32">
        <v>88.73</v>
      </c>
      <c r="F32">
        <v>82.17</v>
      </c>
      <c r="H32" t="s">
        <v>41</v>
      </c>
      <c r="I32">
        <f>VLOOKUP(H32,$A$1:F$161,I$2,0)</f>
        <v>41.33</v>
      </c>
      <c r="J32">
        <f>VLOOKUP(H32,$A$1:F$161,J$2,0)</f>
        <v>1.4</v>
      </c>
      <c r="K32">
        <f>VLOOKUP(H32,$A$1:F$161,K$2,0)</f>
        <v>0</v>
      </c>
      <c r="L32">
        <f>VLOOKUP(H32,$A$1:F$161,L$2,0)</f>
        <v>0</v>
      </c>
      <c r="M32">
        <f>VLOOKUP(H32,$A$1:F$161,M$2,0)</f>
        <v>0</v>
      </c>
    </row>
    <row r="33" spans="1:13" x14ac:dyDescent="0.25">
      <c r="A33" t="s">
        <v>32</v>
      </c>
      <c r="B33">
        <v>57.08</v>
      </c>
      <c r="C33">
        <v>88.37</v>
      </c>
      <c r="D33">
        <v>80.989999999999995</v>
      </c>
      <c r="E33">
        <v>0</v>
      </c>
      <c r="F33">
        <v>0</v>
      </c>
      <c r="H33" t="s">
        <v>42</v>
      </c>
      <c r="I33">
        <f>VLOOKUP(H33,$A$1:F$161,I$2,0)</f>
        <v>73.790000000000006</v>
      </c>
      <c r="J33">
        <f>VLOOKUP(H33,$A$1:F$161,J$2,0)</f>
        <v>66.349999999999994</v>
      </c>
      <c r="K33">
        <f>VLOOKUP(H33,$A$1:F$161,K$2,0)</f>
        <v>38.869999999999997</v>
      </c>
      <c r="L33">
        <f>VLOOKUP(H33,$A$1:F$161,L$2,0)</f>
        <v>30.72</v>
      </c>
      <c r="M33">
        <f>VLOOKUP(H33,$A$1:F$161,M$2,0)</f>
        <v>32.01</v>
      </c>
    </row>
    <row r="34" spans="1:13" x14ac:dyDescent="0.25">
      <c r="A34" t="s">
        <v>33</v>
      </c>
      <c r="B34">
        <v>0</v>
      </c>
      <c r="C34">
        <v>0</v>
      </c>
      <c r="D34">
        <v>0</v>
      </c>
      <c r="E34">
        <v>0</v>
      </c>
      <c r="F34">
        <v>16.93</v>
      </c>
      <c r="H34" t="s">
        <v>43</v>
      </c>
      <c r="I34">
        <f>VLOOKUP(H34,$A$1:F$161,I$2,0)</f>
        <v>938.59</v>
      </c>
      <c r="J34">
        <f>VLOOKUP(H34,$A$1:F$161,J$2,0)</f>
        <v>815.06</v>
      </c>
      <c r="K34">
        <f>VLOOKUP(H34,$A$1:F$161,K$2,0)</f>
        <v>840.75</v>
      </c>
      <c r="L34">
        <f>VLOOKUP(H34,$A$1:F$161,L$2,0)</f>
        <v>806.41</v>
      </c>
      <c r="M34">
        <f>VLOOKUP(H34,$A$1:F$161,M$2,0)</f>
        <v>501.31</v>
      </c>
    </row>
    <row r="35" spans="1:13" x14ac:dyDescent="0.25">
      <c r="A35" t="s">
        <v>34</v>
      </c>
      <c r="B35">
        <v>196.43</v>
      </c>
      <c r="C35">
        <v>235.52</v>
      </c>
      <c r="D35">
        <v>205.61</v>
      </c>
      <c r="E35">
        <v>218.33</v>
      </c>
      <c r="F35">
        <v>186.85</v>
      </c>
      <c r="H35" t="s">
        <v>44</v>
      </c>
      <c r="I35">
        <f>VLOOKUP(H35,$A$1:F$161,I$2,0)</f>
        <v>4775.38</v>
      </c>
      <c r="J35">
        <f>VLOOKUP(H35,$A$1:F$161,J$2,0)</f>
        <v>3801.53</v>
      </c>
      <c r="K35">
        <f>VLOOKUP(H35,$A$1:F$161,K$2,0)</f>
        <v>3398.93</v>
      </c>
      <c r="L35">
        <f>VLOOKUP(H35,$A$1:F$161,L$2,0)</f>
        <v>1913.82</v>
      </c>
      <c r="M35">
        <f>VLOOKUP(H35,$A$1:F$161,M$2,0)</f>
        <v>1567.94</v>
      </c>
    </row>
    <row r="36" spans="1:13" x14ac:dyDescent="0.25">
      <c r="A36" t="s">
        <v>35</v>
      </c>
      <c r="B36">
        <v>3836.79</v>
      </c>
      <c r="C36">
        <v>2986.47</v>
      </c>
      <c r="D36">
        <v>2558.1799999999998</v>
      </c>
      <c r="E36">
        <v>1107.4100000000001</v>
      </c>
      <c r="F36">
        <v>1066.6300000000001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37</v>
      </c>
      <c r="B38">
        <v>99.68</v>
      </c>
      <c r="C38">
        <v>81.45</v>
      </c>
      <c r="D38">
        <v>51.18</v>
      </c>
      <c r="E38">
        <v>180.8</v>
      </c>
      <c r="F38">
        <v>263.10000000000002</v>
      </c>
      <c r="H38" t="s">
        <v>47</v>
      </c>
      <c r="I38">
        <f>VLOOKUP(H38,$A$1:F$161,I$2,0)</f>
        <v>258.7</v>
      </c>
      <c r="J38">
        <f>VLOOKUP(H38,$A$1:F$161,J$2,0)</f>
        <v>188.89</v>
      </c>
      <c r="K38">
        <f>VLOOKUP(H38,$A$1:F$161,K$2,0)</f>
        <v>100.88</v>
      </c>
      <c r="L38">
        <f>VLOOKUP(H38,$A$1:F$161,L$2,0)</f>
        <v>85.75</v>
      </c>
      <c r="M38">
        <f>VLOOKUP(H38,$A$1:F$161,M$2,0)</f>
        <v>36.92</v>
      </c>
    </row>
    <row r="39" spans="1:13" x14ac:dyDescent="0.25">
      <c r="A39" t="s">
        <v>38</v>
      </c>
      <c r="B39">
        <v>157.05000000000001</v>
      </c>
      <c r="C39">
        <v>130.47</v>
      </c>
      <c r="D39">
        <v>92.19</v>
      </c>
      <c r="E39">
        <v>73.150000000000006</v>
      </c>
      <c r="F39">
        <v>62.59</v>
      </c>
      <c r="H39" t="s">
        <v>62</v>
      </c>
      <c r="I39">
        <f>VLOOKUP(H39,$A$1:F$161,I$2,0)</f>
        <v>99.68</v>
      </c>
      <c r="J39">
        <f>VLOOKUP(H39,$A$1:F$161,J$2,0)</f>
        <v>81.45</v>
      </c>
      <c r="K39">
        <f>VLOOKUP(H39,$A$1:F$161,K$2,0)</f>
        <v>51.18</v>
      </c>
      <c r="L39">
        <f>VLOOKUP(H39,$A$1:F$161,L$2,0)</f>
        <v>180.8</v>
      </c>
      <c r="M39">
        <f>VLOOKUP(H39,$A$1:F$161,M$2,0)</f>
        <v>263.10000000000002</v>
      </c>
    </row>
    <row r="40" spans="1:13" x14ac:dyDescent="0.25">
      <c r="A40" t="s">
        <v>39</v>
      </c>
      <c r="B40">
        <v>26.75</v>
      </c>
      <c r="C40">
        <v>17.920000000000002</v>
      </c>
      <c r="D40">
        <v>19.29</v>
      </c>
      <c r="E40">
        <v>32.68</v>
      </c>
      <c r="F40">
        <v>15.08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40</v>
      </c>
      <c r="B41">
        <v>539.99</v>
      </c>
      <c r="C41">
        <v>517.46</v>
      </c>
      <c r="D41">
        <v>639.22</v>
      </c>
      <c r="E41">
        <v>489.06</v>
      </c>
      <c r="F41">
        <v>128.53</v>
      </c>
      <c r="H41" t="s">
        <v>64</v>
      </c>
      <c r="I41">
        <f>VLOOKUP(H41,$A$1:F$161,I$2,0)</f>
        <v>99.68</v>
      </c>
      <c r="J41">
        <f>VLOOKUP(H41,$A$1:F$161,J$2,0)</f>
        <v>81.45</v>
      </c>
      <c r="K41">
        <f>VLOOKUP(H41,$A$1:F$161,K$2,0)</f>
        <v>51.18</v>
      </c>
      <c r="L41">
        <f>VLOOKUP(H41,$A$1:F$161,L$2,0)</f>
        <v>180.8</v>
      </c>
      <c r="M41">
        <f>VLOOKUP(H41,$A$1:F$161,M$2,0)</f>
        <v>263.10000000000002</v>
      </c>
    </row>
    <row r="42" spans="1:13" x14ac:dyDescent="0.25">
      <c r="A42" t="s">
        <v>41</v>
      </c>
      <c r="B42">
        <v>41.33</v>
      </c>
      <c r="C42">
        <v>1.4</v>
      </c>
      <c r="D42">
        <v>0</v>
      </c>
      <c r="E42">
        <v>0</v>
      </c>
      <c r="F42">
        <v>0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42</v>
      </c>
      <c r="B43">
        <v>73.790000000000006</v>
      </c>
      <c r="C43">
        <v>66.349999999999994</v>
      </c>
      <c r="D43">
        <v>38.869999999999997</v>
      </c>
      <c r="E43">
        <v>30.72</v>
      </c>
      <c r="F43">
        <v>32.01</v>
      </c>
      <c r="H43" t="s">
        <v>68</v>
      </c>
      <c r="I43">
        <f>VLOOKUP(H43,$A$1:F$161,I$2,0)</f>
        <v>4378.7299999999996</v>
      </c>
      <c r="J43">
        <f>VLOOKUP(H43,$A$1:F$161,J$2,0)</f>
        <v>3295.89</v>
      </c>
      <c r="K43">
        <f>VLOOKUP(H43,$A$1:F$161,K$2,0)</f>
        <v>3912.12</v>
      </c>
      <c r="L43">
        <f>VLOOKUP(H43,$A$1:F$161,L$2,0)</f>
        <v>3557.08</v>
      </c>
      <c r="M43">
        <f>VLOOKUP(H43,$A$1:F$161,M$2,0)</f>
        <v>3017.74</v>
      </c>
    </row>
    <row r="44" spans="1:13" x14ac:dyDescent="0.25">
      <c r="A44" t="s">
        <v>43</v>
      </c>
      <c r="B44">
        <v>938.59</v>
      </c>
      <c r="C44">
        <v>815.06</v>
      </c>
      <c r="D44">
        <v>840.75</v>
      </c>
      <c r="E44">
        <v>806.41</v>
      </c>
      <c r="F44">
        <v>501.31</v>
      </c>
      <c r="H44" t="s">
        <v>70</v>
      </c>
      <c r="I44">
        <f>VLOOKUP(H44,$A$1:F$161,I$2,0)</f>
        <v>4378.7299999999996</v>
      </c>
      <c r="J44">
        <f>VLOOKUP(H44,$A$1:F$161,J$2,0)</f>
        <v>3295.89</v>
      </c>
      <c r="K44">
        <f>VLOOKUP(H44,$A$1:F$161,K$2,0)</f>
        <v>3912.12</v>
      </c>
      <c r="L44">
        <f>VLOOKUP(H44,$A$1:F$161,L$2,0)</f>
        <v>3557.08</v>
      </c>
      <c r="M44">
        <f>VLOOKUP(H44,$A$1:F$161,M$2,0)</f>
        <v>3017.74</v>
      </c>
    </row>
    <row r="45" spans="1:13" x14ac:dyDescent="0.25">
      <c r="A45" t="s">
        <v>44</v>
      </c>
      <c r="B45">
        <v>4775.38</v>
      </c>
      <c r="C45">
        <v>3801.53</v>
      </c>
      <c r="D45">
        <v>3398.93</v>
      </c>
      <c r="E45">
        <v>1913.82</v>
      </c>
      <c r="F45">
        <v>1567.94</v>
      </c>
      <c r="H45" t="s">
        <v>71</v>
      </c>
      <c r="I45">
        <f>VLOOKUP(H45,$A$1:F$161,I$2,0)</f>
        <v>17.399999999999999</v>
      </c>
      <c r="J45">
        <f>VLOOKUP(H45,$A$1:F$161,J$2,0)</f>
        <v>15.98</v>
      </c>
      <c r="K45">
        <f>VLOOKUP(H45,$A$1:F$161,K$2,0)</f>
        <v>15.15</v>
      </c>
      <c r="L45">
        <f>VLOOKUP(H45,$A$1:F$161,L$2,0)</f>
        <v>6.06</v>
      </c>
      <c r="M45">
        <f>VLOOKUP(H45,$A$1:F$161,M$2,0)</f>
        <v>0.66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4396.12</v>
      </c>
      <c r="J46">
        <f>VLOOKUP(H46,$A$1:F$161,J$2,0)</f>
        <v>3311.87</v>
      </c>
      <c r="K46">
        <f>VLOOKUP(H46,$A$1:F$161,K$2,0)</f>
        <v>3927.27</v>
      </c>
      <c r="L46">
        <f>VLOOKUP(H46,$A$1:F$161,L$2,0)</f>
        <v>3563.14</v>
      </c>
      <c r="M46">
        <f>VLOOKUP(H46,$A$1:F$161,M$2,0)</f>
        <v>3018.4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41.35</v>
      </c>
      <c r="J47">
        <f>VLOOKUP(H47,$A$1:F$161,J$2,0)</f>
        <v>73.08</v>
      </c>
      <c r="K47">
        <f>VLOOKUP(H47,$A$1:F$161,K$2,0)</f>
        <v>69.62</v>
      </c>
      <c r="L47">
        <f>VLOOKUP(H47,$A$1:F$161,L$2,0)</f>
        <v>47.36</v>
      </c>
      <c r="M47">
        <f>VLOOKUP(H47,$A$1:F$161,M$2,0)</f>
        <v>23.08</v>
      </c>
    </row>
    <row r="48" spans="1:13" x14ac:dyDescent="0.25">
      <c r="A48" t="s">
        <v>47</v>
      </c>
      <c r="B48">
        <v>258.7</v>
      </c>
      <c r="C48">
        <v>188.89</v>
      </c>
      <c r="D48">
        <v>100.88</v>
      </c>
      <c r="E48">
        <v>85.75</v>
      </c>
      <c r="F48">
        <v>36.92</v>
      </c>
      <c r="H48" t="s">
        <v>74</v>
      </c>
      <c r="I48">
        <f>VLOOKUP(H48,$A$1:F$161,I$2,0)</f>
        <v>4437.4799999999996</v>
      </c>
      <c r="J48">
        <f>VLOOKUP(H48,$A$1:F$161,J$2,0)</f>
        <v>3384.95</v>
      </c>
      <c r="K48">
        <f>VLOOKUP(H48,$A$1:F$161,K$2,0)</f>
        <v>3996.89</v>
      </c>
      <c r="L48">
        <f>VLOOKUP(H48,$A$1:F$161,L$2,0)</f>
        <v>3610.51</v>
      </c>
      <c r="M48">
        <f>VLOOKUP(H48,$A$1:F$161,M$2,0)</f>
        <v>3041.48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151</v>
      </c>
      <c r="B50">
        <v>0</v>
      </c>
      <c r="C50">
        <v>0</v>
      </c>
      <c r="D50">
        <v>0</v>
      </c>
      <c r="E50">
        <v>0</v>
      </c>
      <c r="F50">
        <v>2.25</v>
      </c>
      <c r="H50" t="s">
        <v>76</v>
      </c>
      <c r="I50">
        <f>VLOOKUP(H50,$A$1:F$161,I$2,0)</f>
        <v>934.6</v>
      </c>
      <c r="J50">
        <f>VLOOKUP(H50,$A$1:F$161,J$2,0)</f>
        <v>680.72</v>
      </c>
      <c r="K50">
        <f>VLOOKUP(H50,$A$1:F$161,K$2,0)</f>
        <v>914.08</v>
      </c>
      <c r="L50">
        <f>VLOOKUP(H50,$A$1:F$161,L$2,0)</f>
        <v>794.38</v>
      </c>
      <c r="M50">
        <f>VLOOKUP(H50,$A$1:F$161,M$2,0)</f>
        <v>673.61</v>
      </c>
    </row>
    <row r="51" spans="1:13" x14ac:dyDescent="0.25">
      <c r="A51" t="s">
        <v>152</v>
      </c>
      <c r="B51">
        <v>0</v>
      </c>
      <c r="C51">
        <v>0</v>
      </c>
      <c r="D51">
        <v>0</v>
      </c>
      <c r="E51">
        <v>0</v>
      </c>
      <c r="F51">
        <v>3.85</v>
      </c>
      <c r="H51" t="s">
        <v>77</v>
      </c>
      <c r="I51">
        <f>VLOOKUP(H51,$A$1:F$161,I$2,0)</f>
        <v>59.05</v>
      </c>
      <c r="J51">
        <f>VLOOKUP(H51,$A$1:F$161,J$2,0)</f>
        <v>46.86</v>
      </c>
      <c r="K51">
        <f>VLOOKUP(H51,$A$1:F$161,K$2,0)</f>
        <v>70.42</v>
      </c>
      <c r="L51">
        <f>VLOOKUP(H51,$A$1:F$161,L$2,0)</f>
        <v>90.93</v>
      </c>
      <c r="M51">
        <f>VLOOKUP(H51,$A$1:F$161,M$2,0)</f>
        <v>93.82</v>
      </c>
    </row>
    <row r="52" spans="1:13" ht="24" customHeight="1" x14ac:dyDescent="0.25">
      <c r="A52" t="s">
        <v>49</v>
      </c>
      <c r="H52" t="s">
        <v>78</v>
      </c>
      <c r="I52">
        <f>VLOOKUP(H52,$A$1:F$161,I$2,0)</f>
        <v>-3.75</v>
      </c>
      <c r="J52">
        <f>VLOOKUP(H52,$A$1:F$161,J$2,0)</f>
        <v>-1.34</v>
      </c>
      <c r="K52">
        <f>VLOOKUP(H52,$A$1:F$161,K$2,0)</f>
        <v>-1.03</v>
      </c>
      <c r="L52">
        <f>VLOOKUP(H52,$A$1:F$161,L$2,0)</f>
        <v>0.8</v>
      </c>
      <c r="M52">
        <f>VLOOKUP(H52,$A$1:F$161,M$2,0)</f>
        <v>-1.47</v>
      </c>
    </row>
    <row r="53" spans="1:13" x14ac:dyDescent="0.25">
      <c r="A53" t="s">
        <v>50</v>
      </c>
      <c r="B53">
        <v>167.9</v>
      </c>
      <c r="C53">
        <v>81.22</v>
      </c>
      <c r="D53">
        <v>127.84</v>
      </c>
      <c r="E53">
        <v>106.94</v>
      </c>
      <c r="F53">
        <v>78.599999999999994</v>
      </c>
      <c r="H53" t="s">
        <v>79</v>
      </c>
      <c r="I53">
        <f>VLOOKUP(H53,$A$1:F$161,I$2,0)</f>
        <v>768.38</v>
      </c>
      <c r="J53">
        <f>VLOOKUP(H53,$A$1:F$161,J$2,0)</f>
        <v>746.88</v>
      </c>
      <c r="K53">
        <f>VLOOKUP(H53,$A$1:F$161,K$2,0)</f>
        <v>796.44</v>
      </c>
      <c r="L53">
        <f>VLOOKUP(H53,$A$1:F$161,L$2,0)</f>
        <v>681.82</v>
      </c>
      <c r="M53">
        <f>VLOOKUP(H53,$A$1:F$161,M$2,0)</f>
        <v>613.97</v>
      </c>
    </row>
    <row r="54" spans="1:13" ht="48" customHeight="1" x14ac:dyDescent="0.25">
      <c r="A54" t="s">
        <v>51</v>
      </c>
      <c r="H54" t="s">
        <v>80</v>
      </c>
      <c r="I54">
        <f>VLOOKUP(H54,$A$1:F$161,I$2,0)</f>
        <v>176.09</v>
      </c>
      <c r="J54">
        <f>VLOOKUP(H54,$A$1:F$161,J$2,0)</f>
        <v>162.69999999999999</v>
      </c>
      <c r="K54">
        <f>VLOOKUP(H54,$A$1:F$161,K$2,0)</f>
        <v>165.24</v>
      </c>
      <c r="L54">
        <f>VLOOKUP(H54,$A$1:F$161,L$2,0)</f>
        <v>0</v>
      </c>
      <c r="M54">
        <f>VLOOKUP(H54,$A$1:F$161,M$2,0)</f>
        <v>0</v>
      </c>
    </row>
    <row r="55" spans="1:13" x14ac:dyDescent="0.25">
      <c r="A55" t="s">
        <v>52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54</v>
      </c>
      <c r="H56" t="s">
        <v>82</v>
      </c>
      <c r="I56">
        <f>VLOOKUP(H56,$A$1:F$161,I$2,0)</f>
        <v>393.05</v>
      </c>
      <c r="J56">
        <f>VLOOKUP(H56,$A$1:F$161,J$2,0)</f>
        <v>375.4</v>
      </c>
      <c r="K56">
        <f>VLOOKUP(H56,$A$1:F$161,K$2,0)</f>
        <v>352.28</v>
      </c>
      <c r="L56">
        <f>VLOOKUP(H56,$A$1:F$161,L$2,0)</f>
        <v>157.44999999999999</v>
      </c>
      <c r="M56">
        <f>VLOOKUP(H56,$A$1:F$161,M$2,0)</f>
        <v>160.11000000000001</v>
      </c>
    </row>
    <row r="57" spans="1:13" x14ac:dyDescent="0.25">
      <c r="A57" t="s">
        <v>55</v>
      </c>
      <c r="B57">
        <v>5.52</v>
      </c>
      <c r="C57">
        <v>3.47</v>
      </c>
      <c r="D57">
        <v>8.33</v>
      </c>
      <c r="E57">
        <v>0.72</v>
      </c>
      <c r="F57" t="s">
        <v>53</v>
      </c>
      <c r="H57" t="s">
        <v>83</v>
      </c>
      <c r="I57">
        <f>VLOOKUP(H57,$A$1:F$161,I$2,0)</f>
        <v>1529.07</v>
      </c>
      <c r="J57">
        <f>VLOOKUP(H57,$A$1:F$161,J$2,0)</f>
        <v>1067.56</v>
      </c>
      <c r="K57">
        <f>VLOOKUP(H57,$A$1:F$161,K$2,0)</f>
        <v>1271.77</v>
      </c>
      <c r="L57">
        <f>VLOOKUP(H57,$A$1:F$161,L$2,0)</f>
        <v>1395.46</v>
      </c>
      <c r="M57">
        <f>VLOOKUP(H57,$A$1:F$161,M$2,0)</f>
        <v>1198.3699999999999</v>
      </c>
    </row>
    <row r="58" spans="1:13" x14ac:dyDescent="0.25">
      <c r="A58" t="s">
        <v>56</v>
      </c>
      <c r="B58" t="s">
        <v>53</v>
      </c>
      <c r="C58" t="s">
        <v>53</v>
      </c>
      <c r="D58" t="s">
        <v>53</v>
      </c>
      <c r="E58" t="s">
        <v>53</v>
      </c>
      <c r="F58" t="s">
        <v>53</v>
      </c>
      <c r="H58" t="s">
        <v>84</v>
      </c>
      <c r="I58">
        <f>VLOOKUP(H58,$A$1:F$161,I$2,0)</f>
        <v>3856.49</v>
      </c>
      <c r="J58">
        <f>VLOOKUP(H58,$A$1:F$161,J$2,0)</f>
        <v>3078.77</v>
      </c>
      <c r="K58">
        <f>VLOOKUP(H58,$A$1:F$161,K$2,0)</f>
        <v>3569.19</v>
      </c>
      <c r="L58">
        <f>VLOOKUP(H58,$A$1:F$161,L$2,0)</f>
        <v>3120.83</v>
      </c>
      <c r="M58">
        <f>VLOOKUP(H58,$A$1:F$161,M$2,0)</f>
        <v>2738.42</v>
      </c>
    </row>
    <row r="59" spans="1:13" ht="15" customHeight="1" x14ac:dyDescent="0.25">
      <c r="A59" t="s">
        <v>57</v>
      </c>
      <c r="H59" t="s">
        <v>85</v>
      </c>
      <c r="I59">
        <f>VLOOKUP(H59,$A$1:F$161,I$2,0)</f>
        <v>580.99</v>
      </c>
      <c r="J59">
        <f>VLOOKUP(H59,$A$1:F$161,J$2,0)</f>
        <v>306.17</v>
      </c>
      <c r="K59">
        <f>VLOOKUP(H59,$A$1:F$161,K$2,0)</f>
        <v>427.7</v>
      </c>
      <c r="L59">
        <f>VLOOKUP(H59,$A$1:F$161,L$2,0)</f>
        <v>489.67</v>
      </c>
      <c r="M59">
        <f>VLOOKUP(H59,$A$1:F$161,M$2,0)</f>
        <v>303.06</v>
      </c>
    </row>
    <row r="60" spans="1:13" x14ac:dyDescent="0.25">
      <c r="A60" t="s">
        <v>58</v>
      </c>
      <c r="B60">
        <v>65.98</v>
      </c>
      <c r="C60">
        <v>65.98</v>
      </c>
      <c r="D60">
        <v>65.98</v>
      </c>
      <c r="E60">
        <v>65.98</v>
      </c>
      <c r="F60" t="s">
        <v>53</v>
      </c>
      <c r="H60" t="s">
        <v>87</v>
      </c>
      <c r="I60">
        <f>VLOOKUP(H60,$A$1:F$161,I$2,0)</f>
        <v>573.66</v>
      </c>
      <c r="J60">
        <f>VLOOKUP(H60,$A$1:F$161,J$2,0)</f>
        <v>306.17</v>
      </c>
      <c r="K60">
        <f>VLOOKUP(H60,$A$1:F$161,K$2,0)</f>
        <v>402.79</v>
      </c>
      <c r="L60">
        <f>VLOOKUP(H60,$A$1:F$161,L$2,0)</f>
        <v>489.67</v>
      </c>
      <c r="M60">
        <f>VLOOKUP(H60,$A$1:F$161,M$2,0)</f>
        <v>303.06</v>
      </c>
    </row>
    <row r="61" spans="1:13" ht="24" customHeight="1" x14ac:dyDescent="0.25">
      <c r="A61" t="s">
        <v>59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60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144.91999999999999</v>
      </c>
      <c r="J62">
        <f>VLOOKUP(H62,$A$1:F$161,J$2,0)</f>
        <v>93.13</v>
      </c>
      <c r="K62">
        <f>VLOOKUP(H62,$A$1:F$161,K$2,0)</f>
        <v>119.64</v>
      </c>
      <c r="L62">
        <f>VLOOKUP(H62,$A$1:F$161,L$2,0)</f>
        <v>174.75</v>
      </c>
      <c r="M62">
        <f>VLOOKUP(H62,$A$1:F$161,M$2,0)</f>
        <v>122.14</v>
      </c>
    </row>
    <row r="63" spans="1:13" x14ac:dyDescent="0.25">
      <c r="A63" t="s">
        <v>61</v>
      </c>
      <c r="B63" t="s">
        <v>53</v>
      </c>
      <c r="C63" t="s">
        <v>53</v>
      </c>
      <c r="D63">
        <v>83.39</v>
      </c>
      <c r="E63">
        <v>88.73</v>
      </c>
      <c r="F63">
        <v>82.17</v>
      </c>
      <c r="H63" t="s">
        <v>90</v>
      </c>
      <c r="I63">
        <f>VLOOKUP(H63,$A$1:F$161,I$2,0)</f>
        <v>0</v>
      </c>
      <c r="J63">
        <f>VLOOKUP(H63,$A$1:F$161,J$2,0)</f>
        <v>-17.48</v>
      </c>
      <c r="K63">
        <f>VLOOKUP(H63,$A$1:F$161,K$2,0)</f>
        <v>4.3499999999999996</v>
      </c>
      <c r="L63">
        <f>VLOOKUP(H63,$A$1:F$161,L$2,0)</f>
        <v>-3.05</v>
      </c>
      <c r="M63">
        <f>VLOOKUP(H63,$A$1:F$161,M$2,0)</f>
        <v>-15.31</v>
      </c>
    </row>
    <row r="64" spans="1:13" ht="24" customHeight="1" x14ac:dyDescent="0.25">
      <c r="A64" t="s">
        <v>62</v>
      </c>
      <c r="H64" t="s">
        <v>112</v>
      </c>
      <c r="I64">
        <f>VLOOKUP(H64,$A$1:F$161,I$2,0)</f>
        <v>0.25</v>
      </c>
      <c r="J64">
        <f>VLOOKUP(H64,$A$1:F$161,J$2,0)</f>
        <v>0</v>
      </c>
      <c r="K64">
        <f>VLOOKUP(H64,$A$1:F$161,K$2,0)</f>
        <v>0</v>
      </c>
      <c r="L64">
        <f>VLOOKUP(H64,$A$1:F$161,L$2,0)</f>
        <v>0</v>
      </c>
      <c r="M64">
        <f>VLOOKUP(H64,$A$1:F$161,M$2,0)</f>
        <v>0</v>
      </c>
    </row>
    <row r="65" spans="1:13" x14ac:dyDescent="0.25">
      <c r="A65" t="s">
        <v>63</v>
      </c>
      <c r="B65" t="s">
        <v>53</v>
      </c>
      <c r="C65" t="s">
        <v>53</v>
      </c>
      <c r="D65" t="s">
        <v>53</v>
      </c>
      <c r="E65" t="s">
        <v>53</v>
      </c>
      <c r="F65" t="s">
        <v>53</v>
      </c>
      <c r="H65" t="s">
        <v>91</v>
      </c>
      <c r="I65">
        <f>VLOOKUP(H65,$A$1:F$161,I$2,0)</f>
        <v>145.16999999999999</v>
      </c>
      <c r="J65">
        <f>VLOOKUP(H65,$A$1:F$161,J$2,0)</f>
        <v>75.650000000000006</v>
      </c>
      <c r="K65">
        <f>VLOOKUP(H65,$A$1:F$161,K$2,0)</f>
        <v>123.99</v>
      </c>
      <c r="L65">
        <f>VLOOKUP(H65,$A$1:F$161,L$2,0)</f>
        <v>171.69</v>
      </c>
      <c r="M65">
        <f>VLOOKUP(H65,$A$1:F$161,M$2,0)</f>
        <v>106.83</v>
      </c>
    </row>
    <row r="66" spans="1:13" x14ac:dyDescent="0.25">
      <c r="A66" t="s">
        <v>64</v>
      </c>
      <c r="B66">
        <v>99.68</v>
      </c>
      <c r="C66">
        <v>81.45</v>
      </c>
      <c r="D66">
        <v>51.18</v>
      </c>
      <c r="E66">
        <v>180.8</v>
      </c>
      <c r="F66">
        <v>263.10000000000002</v>
      </c>
      <c r="H66" t="s">
        <v>92</v>
      </c>
      <c r="I66">
        <f>VLOOKUP(H66,$A$1:F$161,I$2,0)</f>
        <v>428.49</v>
      </c>
      <c r="J66">
        <f>VLOOKUP(H66,$A$1:F$161,J$2,0)</f>
        <v>230.52</v>
      </c>
      <c r="K66">
        <f>VLOOKUP(H66,$A$1:F$161,K$2,0)</f>
        <v>278.8</v>
      </c>
      <c r="L66">
        <f>VLOOKUP(H66,$A$1:F$161,L$2,0)</f>
        <v>317.98</v>
      </c>
      <c r="M66">
        <f>VLOOKUP(H66,$A$1:F$161,M$2,0)</f>
        <v>196.23</v>
      </c>
    </row>
    <row r="67" spans="1:13" x14ac:dyDescent="0.25">
      <c r="H67" t="s">
        <v>93</v>
      </c>
      <c r="I67">
        <f>VLOOKUP(H67,$A$1:F$161,I$2,0)</f>
        <v>428.49</v>
      </c>
      <c r="J67">
        <f>VLOOKUP(H67,$A$1:F$161,J$2,0)</f>
        <v>230.52</v>
      </c>
      <c r="K67">
        <f>VLOOKUP(H67,$A$1:F$161,K$2,0)</f>
        <v>278.8</v>
      </c>
      <c r="L67">
        <f>VLOOKUP(H67,$A$1:F$161,L$2,0)</f>
        <v>317.98</v>
      </c>
      <c r="M67">
        <f>VLOOKUP(H67,$A$1:F$161,M$2,0)</f>
        <v>196.23</v>
      </c>
    </row>
    <row r="68" spans="1:13" x14ac:dyDescent="0.25">
      <c r="H68" t="s">
        <v>94</v>
      </c>
      <c r="I68">
        <f>VLOOKUP(H68,$A$1:F$161,I$2,0)</f>
        <v>428.49</v>
      </c>
      <c r="J68">
        <f>VLOOKUP(H68,$A$1:F$161,J$2,0)</f>
        <v>230.52</v>
      </c>
      <c r="K68">
        <f>VLOOKUP(H68,$A$1:F$161,K$2,0)</f>
        <v>278.8</v>
      </c>
      <c r="L68">
        <f>VLOOKUP(H68,$A$1:F$161,L$2,0)</f>
        <v>317.98</v>
      </c>
      <c r="M68">
        <f>VLOOKUP(H68,$A$1:F$161,M$2,0)</f>
        <v>196.23</v>
      </c>
    </row>
    <row r="69" spans="1:13" x14ac:dyDescent="0.25">
      <c r="H69" t="s">
        <v>101</v>
      </c>
      <c r="I69">
        <f>VLOOKUP(H69,$A$1:F$161,I$2,0)</f>
        <v>79.180000000000007</v>
      </c>
      <c r="J69">
        <f>VLOOKUP(H69,$A$1:F$161,J$2,0)</f>
        <v>0</v>
      </c>
      <c r="K69">
        <f>VLOOKUP(H69,$A$1:F$161,K$2,0)</f>
        <v>145.16999999999999</v>
      </c>
      <c r="L69">
        <f>VLOOKUP(H69,$A$1:F$161,L$2,0)</f>
        <v>32.99</v>
      </c>
      <c r="M69">
        <f>VLOOKUP(H69,$A$1:F$161,M$2,0)</f>
        <v>16.5</v>
      </c>
    </row>
    <row r="70" spans="1:13" ht="15" customHeight="1" x14ac:dyDescent="0.25">
      <c r="A70" t="s">
        <v>65</v>
      </c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29.84</v>
      </c>
      <c r="L70">
        <f>VLOOKUP(H70,$A$1:F$161,L$2,0)</f>
        <v>6.78</v>
      </c>
      <c r="M70">
        <f>VLOOKUP(H70,$A$1:F$161,M$2,0)</f>
        <v>3.36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150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4378.7299999999996</v>
      </c>
      <c r="C97">
        <v>3295.89</v>
      </c>
      <c r="D97">
        <v>3912.12</v>
      </c>
      <c r="E97">
        <v>3557.08</v>
      </c>
      <c r="F97">
        <v>3017.74</v>
      </c>
    </row>
    <row r="98" spans="1:6" x14ac:dyDescent="0.25">
      <c r="A98" t="s">
        <v>70</v>
      </c>
      <c r="B98">
        <v>4378.7299999999996</v>
      </c>
      <c r="C98">
        <v>3295.89</v>
      </c>
      <c r="D98">
        <v>3912.12</v>
      </c>
      <c r="E98">
        <v>3557.08</v>
      </c>
      <c r="F98">
        <v>3017.74</v>
      </c>
    </row>
    <row r="99" spans="1:6" x14ac:dyDescent="0.25">
      <c r="A99" t="s">
        <v>71</v>
      </c>
      <c r="B99">
        <v>17.399999999999999</v>
      </c>
      <c r="C99">
        <v>15.98</v>
      </c>
      <c r="D99">
        <v>15.15</v>
      </c>
      <c r="E99">
        <v>6.06</v>
      </c>
      <c r="F99">
        <v>0.66</v>
      </c>
    </row>
    <row r="100" spans="1:6" x14ac:dyDescent="0.25">
      <c r="A100" t="s">
        <v>72</v>
      </c>
      <c r="B100">
        <v>4396.12</v>
      </c>
      <c r="C100">
        <v>3311.87</v>
      </c>
      <c r="D100">
        <v>3927.27</v>
      </c>
      <c r="E100">
        <v>3563.14</v>
      </c>
      <c r="F100">
        <v>3018.4</v>
      </c>
    </row>
    <row r="101" spans="1:6" x14ac:dyDescent="0.25">
      <c r="A101" t="s">
        <v>73</v>
      </c>
      <c r="B101">
        <v>41.35</v>
      </c>
      <c r="C101">
        <v>73.08</v>
      </c>
      <c r="D101">
        <v>69.62</v>
      </c>
      <c r="E101">
        <v>47.36</v>
      </c>
      <c r="F101">
        <v>23.08</v>
      </c>
    </row>
    <row r="102" spans="1:6" x14ac:dyDescent="0.25">
      <c r="A102" t="s">
        <v>74</v>
      </c>
      <c r="B102">
        <v>4437.4799999999996</v>
      </c>
      <c r="C102">
        <v>3384.95</v>
      </c>
      <c r="D102">
        <v>3996.89</v>
      </c>
      <c r="E102">
        <v>3610.51</v>
      </c>
      <c r="F102">
        <v>3041.48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934.6</v>
      </c>
      <c r="C104">
        <v>680.72</v>
      </c>
      <c r="D104">
        <v>914.08</v>
      </c>
      <c r="E104">
        <v>794.38</v>
      </c>
      <c r="F104">
        <v>673.61</v>
      </c>
    </row>
    <row r="105" spans="1:6" x14ac:dyDescent="0.25">
      <c r="A105" t="s">
        <v>77</v>
      </c>
      <c r="B105">
        <v>59.05</v>
      </c>
      <c r="C105">
        <v>46.86</v>
      </c>
      <c r="D105">
        <v>70.42</v>
      </c>
      <c r="E105">
        <v>90.93</v>
      </c>
      <c r="F105">
        <v>93.82</v>
      </c>
    </row>
    <row r="106" spans="1:6" x14ac:dyDescent="0.25">
      <c r="A106" t="s">
        <v>78</v>
      </c>
      <c r="B106">
        <v>-3.75</v>
      </c>
      <c r="C106">
        <v>-1.34</v>
      </c>
      <c r="D106">
        <v>-1.03</v>
      </c>
      <c r="E106">
        <v>0.8</v>
      </c>
      <c r="F106">
        <v>-1.47</v>
      </c>
    </row>
    <row r="107" spans="1:6" x14ac:dyDescent="0.25">
      <c r="A107" t="s">
        <v>79</v>
      </c>
      <c r="B107">
        <v>768.38</v>
      </c>
      <c r="C107">
        <v>746.88</v>
      </c>
      <c r="D107">
        <v>796.44</v>
      </c>
      <c r="E107">
        <v>681.82</v>
      </c>
      <c r="F107">
        <v>613.97</v>
      </c>
    </row>
    <row r="108" spans="1:6" x14ac:dyDescent="0.25">
      <c r="A108" t="s">
        <v>80</v>
      </c>
      <c r="B108">
        <v>176.09</v>
      </c>
      <c r="C108">
        <v>162.69999999999999</v>
      </c>
      <c r="D108">
        <v>165.24</v>
      </c>
      <c r="E108">
        <v>0</v>
      </c>
      <c r="F108">
        <v>0</v>
      </c>
    </row>
    <row r="109" spans="1:6" x14ac:dyDescent="0.25">
      <c r="A109" t="s">
        <v>82</v>
      </c>
      <c r="B109">
        <v>393.05</v>
      </c>
      <c r="C109">
        <v>375.4</v>
      </c>
      <c r="D109">
        <v>352.28</v>
      </c>
      <c r="E109">
        <v>157.44999999999999</v>
      </c>
      <c r="F109">
        <v>160.11000000000001</v>
      </c>
    </row>
    <row r="110" spans="1:6" x14ac:dyDescent="0.25">
      <c r="A110" t="s">
        <v>83</v>
      </c>
      <c r="B110">
        <v>1529.07</v>
      </c>
      <c r="C110">
        <v>1067.56</v>
      </c>
      <c r="D110">
        <v>1271.77</v>
      </c>
      <c r="E110">
        <v>1395.46</v>
      </c>
      <c r="F110">
        <v>1198.3699999999999</v>
      </c>
    </row>
    <row r="111" spans="1:6" x14ac:dyDescent="0.25">
      <c r="A111" t="s">
        <v>84</v>
      </c>
      <c r="B111">
        <v>3856.49</v>
      </c>
      <c r="C111">
        <v>3078.77</v>
      </c>
      <c r="D111">
        <v>3569.19</v>
      </c>
      <c r="E111">
        <v>3120.83</v>
      </c>
      <c r="F111">
        <v>2738.42</v>
      </c>
    </row>
    <row r="112" spans="1:6" x14ac:dyDescent="0.25">
      <c r="A112" t="s">
        <v>85</v>
      </c>
      <c r="B112">
        <v>580.99</v>
      </c>
      <c r="C112">
        <v>306.17</v>
      </c>
      <c r="D112">
        <v>427.7</v>
      </c>
      <c r="E112">
        <v>489.67</v>
      </c>
      <c r="F112">
        <v>303.06</v>
      </c>
    </row>
    <row r="113" spans="1:6" x14ac:dyDescent="0.25">
      <c r="A113" t="s">
        <v>86</v>
      </c>
      <c r="B113">
        <v>-7.33</v>
      </c>
      <c r="C113">
        <v>0</v>
      </c>
      <c r="D113">
        <v>-24.91</v>
      </c>
      <c r="E113">
        <v>0</v>
      </c>
      <c r="F113">
        <v>0</v>
      </c>
    </row>
    <row r="114" spans="1:6" x14ac:dyDescent="0.25">
      <c r="A114" t="s">
        <v>87</v>
      </c>
      <c r="B114">
        <v>573.66</v>
      </c>
      <c r="C114">
        <v>306.17</v>
      </c>
      <c r="D114">
        <v>402.79</v>
      </c>
      <c r="E114">
        <v>489.67</v>
      </c>
      <c r="F114">
        <v>303.06</v>
      </c>
    </row>
    <row r="115" spans="1:6" ht="24" customHeight="1" x14ac:dyDescent="0.25">
      <c r="A115" t="s">
        <v>88</v>
      </c>
    </row>
    <row r="116" spans="1:6" x14ac:dyDescent="0.25">
      <c r="A116" t="s">
        <v>89</v>
      </c>
      <c r="B116">
        <v>144.91999999999999</v>
      </c>
      <c r="C116">
        <v>93.13</v>
      </c>
      <c r="D116">
        <v>119.64</v>
      </c>
      <c r="E116">
        <v>174.75</v>
      </c>
      <c r="F116">
        <v>122.14</v>
      </c>
    </row>
    <row r="117" spans="1:6" x14ac:dyDescent="0.25">
      <c r="A117" t="s">
        <v>90</v>
      </c>
      <c r="B117">
        <v>0</v>
      </c>
      <c r="C117">
        <v>-17.48</v>
      </c>
      <c r="D117">
        <v>4.3499999999999996</v>
      </c>
      <c r="E117">
        <v>-3.05</v>
      </c>
      <c r="F117">
        <v>-15.31</v>
      </c>
    </row>
    <row r="118" spans="1:6" x14ac:dyDescent="0.25">
      <c r="A118" t="s">
        <v>112</v>
      </c>
      <c r="B118">
        <v>0.25</v>
      </c>
      <c r="C118">
        <v>0</v>
      </c>
      <c r="D118">
        <v>0</v>
      </c>
      <c r="E118">
        <v>0</v>
      </c>
      <c r="F118">
        <v>0</v>
      </c>
    </row>
    <row r="119" spans="1:6" x14ac:dyDescent="0.25">
      <c r="A119" t="s">
        <v>91</v>
      </c>
      <c r="B119">
        <v>145.16999999999999</v>
      </c>
      <c r="C119">
        <v>75.650000000000006</v>
      </c>
      <c r="D119">
        <v>123.99</v>
      </c>
      <c r="E119">
        <v>171.69</v>
      </c>
      <c r="F119">
        <v>106.83</v>
      </c>
    </row>
    <row r="120" spans="1:6" x14ac:dyDescent="0.25">
      <c r="A120" t="s">
        <v>92</v>
      </c>
      <c r="B120">
        <v>428.49</v>
      </c>
      <c r="C120">
        <v>230.52</v>
      </c>
      <c r="D120">
        <v>278.8</v>
      </c>
      <c r="E120">
        <v>317.98</v>
      </c>
      <c r="F120">
        <v>196.23</v>
      </c>
    </row>
    <row r="121" spans="1:6" x14ac:dyDescent="0.25">
      <c r="A121" t="s">
        <v>93</v>
      </c>
      <c r="B121">
        <v>428.49</v>
      </c>
      <c r="C121">
        <v>230.52</v>
      </c>
      <c r="D121">
        <v>278.8</v>
      </c>
      <c r="E121">
        <v>317.98</v>
      </c>
      <c r="F121">
        <v>196.23</v>
      </c>
    </row>
    <row r="122" spans="1:6" x14ac:dyDescent="0.25">
      <c r="A122" t="s">
        <v>94</v>
      </c>
      <c r="B122">
        <v>428.49</v>
      </c>
      <c r="C122">
        <v>230.52</v>
      </c>
      <c r="D122">
        <v>278.8</v>
      </c>
      <c r="E122">
        <v>317.98</v>
      </c>
      <c r="F122">
        <v>196.23</v>
      </c>
    </row>
    <row r="123" spans="1:6" x14ac:dyDescent="0.25">
      <c r="A123" t="s">
        <v>116</v>
      </c>
      <c r="B123">
        <v>2.2999999999999998</v>
      </c>
      <c r="C123">
        <v>1.1399999999999999</v>
      </c>
      <c r="D123">
        <v>1.18</v>
      </c>
      <c r="E123">
        <v>1.81</v>
      </c>
      <c r="F123">
        <v>0</v>
      </c>
    </row>
    <row r="124" spans="1:6" x14ac:dyDescent="0.25">
      <c r="A124" t="s">
        <v>130</v>
      </c>
      <c r="B124">
        <v>-10.4</v>
      </c>
      <c r="C124">
        <v>0</v>
      </c>
      <c r="D124">
        <v>0</v>
      </c>
      <c r="E124">
        <v>0</v>
      </c>
      <c r="F124">
        <v>0</v>
      </c>
    </row>
    <row r="125" spans="1:6" x14ac:dyDescent="0.25">
      <c r="A125" t="s">
        <v>113</v>
      </c>
      <c r="B125">
        <v>420.39</v>
      </c>
      <c r="C125">
        <v>231.67</v>
      </c>
      <c r="D125">
        <v>279.98</v>
      </c>
      <c r="E125">
        <v>319.79000000000002</v>
      </c>
      <c r="F125">
        <v>196.23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32</v>
      </c>
      <c r="C128">
        <v>18</v>
      </c>
      <c r="D128">
        <v>21</v>
      </c>
      <c r="E128">
        <v>24</v>
      </c>
      <c r="F128">
        <v>30</v>
      </c>
    </row>
    <row r="129" spans="1:6" x14ac:dyDescent="0.25">
      <c r="A129" t="s">
        <v>97</v>
      </c>
      <c r="B129">
        <v>32</v>
      </c>
      <c r="C129">
        <v>18</v>
      </c>
      <c r="D129">
        <v>21</v>
      </c>
      <c r="E129">
        <v>24</v>
      </c>
      <c r="F129">
        <v>30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79.180000000000007</v>
      </c>
      <c r="C131">
        <v>0</v>
      </c>
      <c r="D131">
        <v>145.16999999999999</v>
      </c>
      <c r="E131">
        <v>32.99</v>
      </c>
      <c r="F131">
        <v>16.5</v>
      </c>
    </row>
    <row r="132" spans="1:6" x14ac:dyDescent="0.25">
      <c r="A132" t="s">
        <v>102</v>
      </c>
      <c r="B132">
        <v>0</v>
      </c>
      <c r="C132">
        <v>0</v>
      </c>
      <c r="D132">
        <v>29.84</v>
      </c>
      <c r="E132">
        <v>6.78</v>
      </c>
      <c r="F132">
        <v>3.36</v>
      </c>
    </row>
    <row r="136" spans="1:6" ht="15" customHeight="1" x14ac:dyDescent="0.25">
      <c r="A136" t="s">
        <v>65</v>
      </c>
    </row>
  </sheetData>
  <hyperlinks>
    <hyperlink ref="B1" r:id="rId1" display="javascript:void(0);" xr:uid="{4ADA7484-140F-4D79-A1AB-627DE315DCE6}"/>
    <hyperlink ref="B90" r:id="rId2" display="javascript:void(0);" xr:uid="{1428F11C-2CD9-4A67-93F0-E95CE19C9E7B}"/>
  </hyperlinks>
  <pageMargins left="0.7" right="0.7" top="0.75" bottom="0.75" header="0.3" footer="0.3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4F23A-8472-4A44-8A7D-61B6DA7293D3}">
  <sheetPr codeName="Sheet23"/>
  <dimension ref="A1:M147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153</v>
      </c>
      <c r="B1" t="s">
        <v>1</v>
      </c>
      <c r="H1" t="str">
        <f>A1</f>
        <v>Hatsun Agro Products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21.56</v>
      </c>
      <c r="J4">
        <f>VLOOKUP(H4,$A$1:F$161,J$2,0)</f>
        <v>21.56</v>
      </c>
      <c r="K4">
        <f>VLOOKUP(H4,$A$1:F$161,K$2,0)</f>
        <v>16.170000000000002</v>
      </c>
      <c r="L4">
        <f>VLOOKUP(H4,$A$1:F$161,L$2,0)</f>
        <v>15.98</v>
      </c>
      <c r="M4">
        <f>VLOOKUP(H4,$A$1:F$161,M$2,0)</f>
        <v>15.22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21.56</v>
      </c>
      <c r="J5">
        <f>VLOOKUP(H5,$A$1:F$161,J$2,0)</f>
        <v>21.56</v>
      </c>
      <c r="K5">
        <f>VLOOKUP(H5,$A$1:F$161,K$2,0)</f>
        <v>16.170000000000002</v>
      </c>
      <c r="L5">
        <f>VLOOKUP(H5,$A$1:F$161,L$2,0)</f>
        <v>15.98</v>
      </c>
      <c r="M5">
        <f>VLOOKUP(H5,$A$1:F$161,M$2,0)</f>
        <v>15.22</v>
      </c>
    </row>
    <row r="6" spans="1:13" x14ac:dyDescent="0.25">
      <c r="H6" t="s">
        <v>10</v>
      </c>
      <c r="I6">
        <f>VLOOKUP(H6,$A$1:F$161,I$2,0)</f>
        <v>1087.2</v>
      </c>
      <c r="J6">
        <f>VLOOKUP(H6,$A$1:F$161,J$2,0)</f>
        <v>999.95</v>
      </c>
      <c r="K6">
        <f>VLOOKUP(H6,$A$1:F$161,K$2,0)</f>
        <v>888.31</v>
      </c>
      <c r="L6">
        <f>VLOOKUP(H6,$A$1:F$161,L$2,0)</f>
        <v>788.7</v>
      </c>
      <c r="M6">
        <f>VLOOKUP(H6,$A$1:F$161,M$2,0)</f>
        <v>350.31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1087.2</v>
      </c>
      <c r="J7">
        <f>VLOOKUP(H7,$A$1:F$161,J$2,0)</f>
        <v>999.95</v>
      </c>
      <c r="K7">
        <f>VLOOKUP(H7,$A$1:F$161,K$2,0)</f>
        <v>888.31</v>
      </c>
      <c r="L7">
        <f>VLOOKUP(H7,$A$1:F$161,L$2,0)</f>
        <v>788.7</v>
      </c>
      <c r="M7">
        <f>VLOOKUP(H7,$A$1:F$161,M$2,0)</f>
        <v>350.31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1108.77</v>
      </c>
      <c r="J8">
        <f>VLOOKUP(H8,$A$1:F$161,J$2,0)</f>
        <v>1021.51</v>
      </c>
      <c r="K8">
        <f>VLOOKUP(H8,$A$1:F$161,K$2,0)</f>
        <v>904.48</v>
      </c>
      <c r="L8">
        <f>VLOOKUP(H8,$A$1:F$161,L$2,0)</f>
        <v>804.68</v>
      </c>
      <c r="M8">
        <f>VLOOKUP(H8,$A$1:F$161,M$2,0)</f>
        <v>365.53</v>
      </c>
    </row>
    <row r="9" spans="1:13" x14ac:dyDescent="0.25">
      <c r="A9" t="s">
        <v>8</v>
      </c>
      <c r="B9">
        <v>21.56</v>
      </c>
      <c r="C9">
        <v>21.56</v>
      </c>
      <c r="D9">
        <v>16.170000000000002</v>
      </c>
      <c r="E9">
        <v>15.98</v>
      </c>
      <c r="F9">
        <v>15.22</v>
      </c>
      <c r="H9" t="s">
        <v>14</v>
      </c>
      <c r="I9">
        <f>VLOOKUP(H9,$A$1:F$161,I$2,0)</f>
        <v>784.46</v>
      </c>
      <c r="J9">
        <f>VLOOKUP(H9,$A$1:F$161,J$2,0)</f>
        <v>535.76</v>
      </c>
      <c r="K9">
        <f>VLOOKUP(H9,$A$1:F$161,K$2,0)</f>
        <v>614.07000000000005</v>
      </c>
      <c r="L9">
        <f>VLOOKUP(H9,$A$1:F$161,L$2,0)</f>
        <v>502.4</v>
      </c>
      <c r="M9">
        <f>VLOOKUP(H9,$A$1:F$161,M$2,0)</f>
        <v>542.07000000000005</v>
      </c>
    </row>
    <row r="10" spans="1:13" x14ac:dyDescent="0.25">
      <c r="A10" t="s">
        <v>9</v>
      </c>
      <c r="B10">
        <v>21.56</v>
      </c>
      <c r="C10">
        <v>21.56</v>
      </c>
      <c r="D10">
        <v>16.170000000000002</v>
      </c>
      <c r="E10">
        <v>15.98</v>
      </c>
      <c r="F10">
        <v>15.22</v>
      </c>
      <c r="H10" t="s">
        <v>16</v>
      </c>
      <c r="I10">
        <f>VLOOKUP(H10,$A$1:F$161,I$2,0)</f>
        <v>181.31</v>
      </c>
      <c r="J10">
        <f>VLOOKUP(H10,$A$1:F$161,J$2,0)</f>
        <v>150.06</v>
      </c>
      <c r="K10">
        <f>VLOOKUP(H10,$A$1:F$161,K$2,0)</f>
        <v>183.2</v>
      </c>
      <c r="L10">
        <f>VLOOKUP(H10,$A$1:F$161,L$2,0)</f>
        <v>0.61</v>
      </c>
      <c r="M10">
        <f>VLOOKUP(H10,$A$1:F$161,M$2,0)</f>
        <v>0.77</v>
      </c>
    </row>
    <row r="11" spans="1:13" x14ac:dyDescent="0.25">
      <c r="A11" t="s">
        <v>10</v>
      </c>
      <c r="B11">
        <v>1087.2</v>
      </c>
      <c r="C11">
        <v>999.95</v>
      </c>
      <c r="D11">
        <v>888.31</v>
      </c>
      <c r="E11">
        <v>788.7</v>
      </c>
      <c r="F11">
        <v>350.31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1087.2</v>
      </c>
      <c r="C12">
        <v>999.95</v>
      </c>
      <c r="D12">
        <v>888.31</v>
      </c>
      <c r="E12">
        <v>788.7</v>
      </c>
      <c r="F12">
        <v>350.31</v>
      </c>
      <c r="H12" t="s">
        <v>18</v>
      </c>
      <c r="I12">
        <f>VLOOKUP(H12,$A$1:F$161,I$2,0)</f>
        <v>1012.81</v>
      </c>
      <c r="J12">
        <f>VLOOKUP(H12,$A$1:F$161,J$2,0)</f>
        <v>758.1</v>
      </c>
      <c r="K12">
        <f>VLOOKUP(H12,$A$1:F$161,K$2,0)</f>
        <v>852.47</v>
      </c>
      <c r="L12">
        <f>VLOOKUP(H12,$A$1:F$161,L$2,0)</f>
        <v>542.70000000000005</v>
      </c>
      <c r="M12">
        <f>VLOOKUP(H12,$A$1:F$161,M$2,0)</f>
        <v>570.91</v>
      </c>
    </row>
    <row r="13" spans="1:13" x14ac:dyDescent="0.25">
      <c r="A13" t="s">
        <v>12</v>
      </c>
      <c r="B13">
        <v>1108.77</v>
      </c>
      <c r="C13">
        <v>1021.51</v>
      </c>
      <c r="D13">
        <v>904.48</v>
      </c>
      <c r="E13">
        <v>804.68</v>
      </c>
      <c r="F13">
        <v>365.53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146.59</v>
      </c>
      <c r="J14">
        <f>VLOOKUP(H14,$A$1:F$161,J$2,0)</f>
        <v>132.12</v>
      </c>
      <c r="K14">
        <f>VLOOKUP(H14,$A$1:F$161,K$2,0)</f>
        <v>142.06</v>
      </c>
      <c r="L14">
        <f>VLOOKUP(H14,$A$1:F$161,L$2,0)</f>
        <v>177.63</v>
      </c>
      <c r="M14">
        <f>VLOOKUP(H14,$A$1:F$161,M$2,0)</f>
        <v>171.43</v>
      </c>
    </row>
    <row r="15" spans="1:13" x14ac:dyDescent="0.25">
      <c r="A15" t="s">
        <v>14</v>
      </c>
      <c r="B15">
        <v>784.46</v>
      </c>
      <c r="C15">
        <v>535.76</v>
      </c>
      <c r="D15">
        <v>614.07000000000005</v>
      </c>
      <c r="E15">
        <v>502.4</v>
      </c>
      <c r="F15">
        <v>542.07000000000005</v>
      </c>
      <c r="H15" t="s">
        <v>22</v>
      </c>
      <c r="I15">
        <f>VLOOKUP(H15,$A$1:F$161,I$2,0)</f>
        <v>332.36</v>
      </c>
      <c r="J15">
        <f>VLOOKUP(H15,$A$1:F$161,J$2,0)</f>
        <v>626.9</v>
      </c>
      <c r="K15">
        <f>VLOOKUP(H15,$A$1:F$161,K$2,0)</f>
        <v>512.91999999999996</v>
      </c>
      <c r="L15">
        <f>VLOOKUP(H15,$A$1:F$161,L$2,0)</f>
        <v>482.43</v>
      </c>
      <c r="M15">
        <f>VLOOKUP(H15,$A$1:F$161,M$2,0)</f>
        <v>454.65</v>
      </c>
    </row>
    <row r="16" spans="1:13" x14ac:dyDescent="0.25">
      <c r="A16" t="s">
        <v>15</v>
      </c>
      <c r="B16">
        <v>47.04</v>
      </c>
      <c r="C16">
        <v>72.28</v>
      </c>
      <c r="D16">
        <v>55.2</v>
      </c>
      <c r="E16">
        <v>39.69</v>
      </c>
      <c r="F16">
        <v>28.07</v>
      </c>
      <c r="H16" t="s">
        <v>23</v>
      </c>
      <c r="I16">
        <f>VLOOKUP(H16,$A$1:F$161,I$2,0)</f>
        <v>17.34</v>
      </c>
      <c r="J16">
        <f>VLOOKUP(H16,$A$1:F$161,J$2,0)</f>
        <v>12.28</v>
      </c>
      <c r="K16">
        <f>VLOOKUP(H16,$A$1:F$161,K$2,0)</f>
        <v>5.64</v>
      </c>
      <c r="L16">
        <f>VLOOKUP(H16,$A$1:F$161,L$2,0)</f>
        <v>4.17</v>
      </c>
      <c r="M16">
        <f>VLOOKUP(H16,$A$1:F$161,M$2,0)</f>
        <v>2.11</v>
      </c>
    </row>
    <row r="17" spans="1:13" x14ac:dyDescent="0.25">
      <c r="A17" t="s">
        <v>16</v>
      </c>
      <c r="B17">
        <v>181.31</v>
      </c>
      <c r="C17">
        <v>150.06</v>
      </c>
      <c r="D17">
        <v>183.2</v>
      </c>
      <c r="E17">
        <v>0.61</v>
      </c>
      <c r="F17">
        <v>0.77</v>
      </c>
      <c r="H17" t="s">
        <v>24</v>
      </c>
      <c r="I17">
        <f>VLOOKUP(H17,$A$1:F$161,I$2,0)</f>
        <v>1420.1</v>
      </c>
      <c r="J17">
        <f>VLOOKUP(H17,$A$1:F$161,J$2,0)</f>
        <v>1337.42</v>
      </c>
      <c r="K17">
        <f>VLOOKUP(H17,$A$1:F$161,K$2,0)</f>
        <v>957.31</v>
      </c>
      <c r="L17">
        <f>VLOOKUP(H17,$A$1:F$161,L$2,0)</f>
        <v>898.46</v>
      </c>
      <c r="M17">
        <f>VLOOKUP(H17,$A$1:F$161,M$2,0)</f>
        <v>1095.18</v>
      </c>
    </row>
    <row r="18" spans="1:13" x14ac:dyDescent="0.25">
      <c r="A18" t="s">
        <v>18</v>
      </c>
      <c r="B18">
        <v>1012.81</v>
      </c>
      <c r="C18">
        <v>758.1</v>
      </c>
      <c r="D18">
        <v>852.47</v>
      </c>
      <c r="E18">
        <v>542.70000000000005</v>
      </c>
      <c r="F18">
        <v>570.91</v>
      </c>
      <c r="H18" t="s">
        <v>25</v>
      </c>
      <c r="I18">
        <f>VLOOKUP(H18,$A$1:F$161,I$2,0)</f>
        <v>3541.67</v>
      </c>
      <c r="J18">
        <f>VLOOKUP(H18,$A$1:F$161,J$2,0)</f>
        <v>3117.03</v>
      </c>
      <c r="K18">
        <f>VLOOKUP(H18,$A$1:F$161,K$2,0)</f>
        <v>2714.26</v>
      </c>
      <c r="L18">
        <f>VLOOKUP(H18,$A$1:F$161,L$2,0)</f>
        <v>2245.83</v>
      </c>
      <c r="M18">
        <f>VLOOKUP(H18,$A$1:F$161,M$2,0)</f>
        <v>2031.62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923.81</v>
      </c>
      <c r="C20">
        <v>566.13</v>
      </c>
      <c r="D20">
        <v>296.69</v>
      </c>
      <c r="E20">
        <v>234.22</v>
      </c>
      <c r="F20">
        <v>466.99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146.59</v>
      </c>
      <c r="C21">
        <v>132.12</v>
      </c>
      <c r="D21">
        <v>142.06</v>
      </c>
      <c r="E21">
        <v>177.63</v>
      </c>
      <c r="F21">
        <v>171.43</v>
      </c>
      <c r="H21" t="s">
        <v>28</v>
      </c>
      <c r="I21">
        <f>VLOOKUP(H21,$A$1:F$161,I$2,0)</f>
        <v>2393.58</v>
      </c>
      <c r="J21">
        <f>VLOOKUP(H21,$A$1:F$161,J$2,0)</f>
        <v>1913.86</v>
      </c>
      <c r="K21">
        <f>VLOOKUP(H21,$A$1:F$161,K$2,0)</f>
        <v>1743.35</v>
      </c>
      <c r="L21">
        <f>VLOOKUP(H21,$A$1:F$161,L$2,0)</f>
        <v>1395.28</v>
      </c>
      <c r="M21">
        <f>VLOOKUP(H21,$A$1:F$161,M$2,0)</f>
        <v>1205.1199999999999</v>
      </c>
    </row>
    <row r="22" spans="1:13" x14ac:dyDescent="0.25">
      <c r="A22" t="s">
        <v>22</v>
      </c>
      <c r="B22">
        <v>332.36</v>
      </c>
      <c r="C22">
        <v>626.9</v>
      </c>
      <c r="D22">
        <v>512.91999999999996</v>
      </c>
      <c r="E22">
        <v>482.43</v>
      </c>
      <c r="F22">
        <v>454.65</v>
      </c>
      <c r="H22" t="s">
        <v>29</v>
      </c>
      <c r="I22">
        <f>VLOOKUP(H22,$A$1:F$161,I$2,0)</f>
        <v>237.08</v>
      </c>
      <c r="J22">
        <f>VLOOKUP(H22,$A$1:F$161,J$2,0)</f>
        <v>384.44</v>
      </c>
      <c r="K22">
        <f>VLOOKUP(H22,$A$1:F$161,K$2,0)</f>
        <v>354.57</v>
      </c>
      <c r="L22">
        <f>VLOOKUP(H22,$A$1:F$161,L$2,0)</f>
        <v>233.15</v>
      </c>
      <c r="M22">
        <f>VLOOKUP(H22,$A$1:F$161,M$2,0)</f>
        <v>259.33999999999997</v>
      </c>
    </row>
    <row r="23" spans="1:13" x14ac:dyDescent="0.25">
      <c r="A23" t="s">
        <v>23</v>
      </c>
      <c r="B23">
        <v>17.34</v>
      </c>
      <c r="C23">
        <v>12.28</v>
      </c>
      <c r="D23">
        <v>5.64</v>
      </c>
      <c r="E23">
        <v>4.17</v>
      </c>
      <c r="F23">
        <v>2.11</v>
      </c>
      <c r="H23" t="s">
        <v>30</v>
      </c>
      <c r="I23">
        <f>VLOOKUP(H23,$A$1:F$161,I$2,0)</f>
        <v>2646.7</v>
      </c>
      <c r="J23">
        <f>VLOOKUP(H23,$A$1:F$161,J$2,0)</f>
        <v>2313.54</v>
      </c>
      <c r="K23">
        <f>VLOOKUP(H23,$A$1:F$161,K$2,0)</f>
        <v>2110.35</v>
      </c>
      <c r="L23">
        <f>VLOOKUP(H23,$A$1:F$161,L$2,0)</f>
        <v>1640.96</v>
      </c>
      <c r="M23">
        <f>VLOOKUP(H23,$A$1:F$161,M$2,0)</f>
        <v>1475.94</v>
      </c>
    </row>
    <row r="24" spans="1:13" x14ac:dyDescent="0.25">
      <c r="A24" t="s">
        <v>24</v>
      </c>
      <c r="B24">
        <v>1420.1</v>
      </c>
      <c r="C24">
        <v>1337.42</v>
      </c>
      <c r="D24">
        <v>957.31</v>
      </c>
      <c r="E24">
        <v>898.46</v>
      </c>
      <c r="F24">
        <v>1095.18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25</v>
      </c>
      <c r="B25">
        <v>3541.67</v>
      </c>
      <c r="C25">
        <v>3117.03</v>
      </c>
      <c r="D25">
        <v>2714.26</v>
      </c>
      <c r="E25">
        <v>2245.83</v>
      </c>
      <c r="F25">
        <v>2031.62</v>
      </c>
      <c r="H25" t="s">
        <v>33</v>
      </c>
      <c r="I25" t="e">
        <f>VLOOKUP(H25,$A$1:F$161,I$2,0)</f>
        <v>#N/A</v>
      </c>
      <c r="J25" t="e">
        <f>VLOOKUP(H25,$A$1:F$161,J$2,0)</f>
        <v>#N/A</v>
      </c>
      <c r="K25" t="e">
        <f>VLOOKUP(H25,$A$1:F$161,K$2,0)</f>
        <v>#N/A</v>
      </c>
      <c r="L25" t="e">
        <f>VLOOKUP(H25,$A$1:F$161,L$2,0)</f>
        <v>#N/A</v>
      </c>
      <c r="M25" t="e">
        <f>VLOOKUP(H25,$A$1:F$161,M$2,0)</f>
        <v>#N/A</v>
      </c>
    </row>
    <row r="26" spans="1:13" x14ac:dyDescent="0.25">
      <c r="A26" t="s">
        <v>26</v>
      </c>
      <c r="H26" t="s">
        <v>34</v>
      </c>
      <c r="I26">
        <f>VLOOKUP(H26,$A$1:F$161,I$2,0)</f>
        <v>81.91</v>
      </c>
      <c r="J26">
        <f>VLOOKUP(H26,$A$1:F$161,J$2,0)</f>
        <v>77.22</v>
      </c>
      <c r="K26">
        <f>VLOOKUP(H26,$A$1:F$161,K$2,0)</f>
        <v>105.51</v>
      </c>
      <c r="L26">
        <f>VLOOKUP(H26,$A$1:F$161,L$2,0)</f>
        <v>64.02</v>
      </c>
      <c r="M26">
        <f>VLOOKUP(H26,$A$1:F$161,M$2,0)</f>
        <v>70.58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2742.12</v>
      </c>
      <c r="J27">
        <f>VLOOKUP(H27,$A$1:F$161,J$2,0)</f>
        <v>2399.06</v>
      </c>
      <c r="K27">
        <f>VLOOKUP(H27,$A$1:F$161,K$2,0)</f>
        <v>2215.98</v>
      </c>
      <c r="L27">
        <f>VLOOKUP(H27,$A$1:F$161,L$2,0)</f>
        <v>1705.1</v>
      </c>
      <c r="M27">
        <f>VLOOKUP(H27,$A$1:F$161,M$2,0)</f>
        <v>1546.64</v>
      </c>
    </row>
    <row r="28" spans="1:13" x14ac:dyDescent="0.25">
      <c r="A28" t="s">
        <v>28</v>
      </c>
      <c r="B28">
        <v>2393.58</v>
      </c>
      <c r="C28">
        <v>1913.86</v>
      </c>
      <c r="D28">
        <v>1743.35</v>
      </c>
      <c r="E28">
        <v>1395.28</v>
      </c>
      <c r="F28">
        <v>1205.1199999999999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106</v>
      </c>
      <c r="B29">
        <v>16.04</v>
      </c>
      <c r="C29">
        <v>15.24</v>
      </c>
      <c r="D29">
        <v>12.43</v>
      </c>
      <c r="E29">
        <v>12.53</v>
      </c>
      <c r="F29">
        <v>11.48</v>
      </c>
      <c r="H29" t="s">
        <v>38</v>
      </c>
      <c r="I29">
        <f>VLOOKUP(H29,$A$1:F$161,I$2,0)</f>
        <v>609.16999999999996</v>
      </c>
      <c r="J29">
        <f>VLOOKUP(H29,$A$1:F$161,J$2,0)</f>
        <v>569.77</v>
      </c>
      <c r="K29">
        <f>VLOOKUP(H29,$A$1:F$161,K$2,0)</f>
        <v>373.96</v>
      </c>
      <c r="L29">
        <f>VLOOKUP(H29,$A$1:F$161,L$2,0)</f>
        <v>403.41</v>
      </c>
      <c r="M29">
        <f>VLOOKUP(H29,$A$1:F$161,M$2,0)</f>
        <v>383.73</v>
      </c>
    </row>
    <row r="30" spans="1:13" x14ac:dyDescent="0.25">
      <c r="A30" t="s">
        <v>29</v>
      </c>
      <c r="B30">
        <v>237.08</v>
      </c>
      <c r="C30">
        <v>384.44</v>
      </c>
      <c r="D30">
        <v>354.57</v>
      </c>
      <c r="E30">
        <v>233.15</v>
      </c>
      <c r="F30">
        <v>259.33999999999997</v>
      </c>
      <c r="H30" t="s">
        <v>39</v>
      </c>
      <c r="I30">
        <f>VLOOKUP(H30,$A$1:F$161,I$2,0)</f>
        <v>7.78</v>
      </c>
      <c r="J30">
        <f>VLOOKUP(H30,$A$1:F$161,J$2,0)</f>
        <v>9.07</v>
      </c>
      <c r="K30">
        <f>VLOOKUP(H30,$A$1:F$161,K$2,0)</f>
        <v>14.55</v>
      </c>
      <c r="L30">
        <f>VLOOKUP(H30,$A$1:F$161,L$2,0)</f>
        <v>8.25</v>
      </c>
      <c r="M30">
        <f>VLOOKUP(H30,$A$1:F$161,M$2,0)</f>
        <v>7.05</v>
      </c>
    </row>
    <row r="31" spans="1:13" x14ac:dyDescent="0.25">
      <c r="A31" t="s">
        <v>30</v>
      </c>
      <c r="B31">
        <v>2646.7</v>
      </c>
      <c r="C31">
        <v>2313.54</v>
      </c>
      <c r="D31">
        <v>2110.35</v>
      </c>
      <c r="E31">
        <v>1640.96</v>
      </c>
      <c r="F31">
        <v>1475.94</v>
      </c>
      <c r="H31" t="s">
        <v>40</v>
      </c>
      <c r="I31">
        <f>VLOOKUP(H31,$A$1:F$161,I$2,0)</f>
        <v>39.67</v>
      </c>
      <c r="J31">
        <f>VLOOKUP(H31,$A$1:F$161,J$2,0)</f>
        <v>39.25</v>
      </c>
      <c r="K31">
        <f>VLOOKUP(H31,$A$1:F$161,K$2,0)</f>
        <v>44.7</v>
      </c>
      <c r="L31">
        <f>VLOOKUP(H31,$A$1:F$161,L$2,0)</f>
        <v>36.409999999999997</v>
      </c>
      <c r="M31">
        <f>VLOOKUP(H31,$A$1:F$161,M$2,0)</f>
        <v>32.840000000000003</v>
      </c>
    </row>
    <row r="32" spans="1:13" x14ac:dyDescent="0.25">
      <c r="A32" t="s">
        <v>31</v>
      </c>
      <c r="B32">
        <v>13.51</v>
      </c>
      <c r="C32">
        <v>8.3000000000000007</v>
      </c>
      <c r="D32">
        <v>0.12</v>
      </c>
      <c r="E32">
        <v>0.12</v>
      </c>
      <c r="F32">
        <v>0.13</v>
      </c>
      <c r="H32" t="s">
        <v>41</v>
      </c>
      <c r="I32" t="e">
        <f>VLOOKUP(H32,$A$1:F$161,I$2,0)</f>
        <v>#N/A</v>
      </c>
      <c r="J32" t="e">
        <f>VLOOKUP(H32,$A$1:F$161,J$2,0)</f>
        <v>#N/A</v>
      </c>
      <c r="K32" t="e">
        <f>VLOOKUP(H32,$A$1:F$161,K$2,0)</f>
        <v>#N/A</v>
      </c>
      <c r="L32" t="e">
        <f>VLOOKUP(H32,$A$1:F$161,L$2,0)</f>
        <v>#N/A</v>
      </c>
      <c r="M32" t="e">
        <f>VLOOKUP(H32,$A$1:F$161,M$2,0)</f>
        <v>#N/A</v>
      </c>
    </row>
    <row r="33" spans="1:13" x14ac:dyDescent="0.25">
      <c r="A33" t="s">
        <v>34</v>
      </c>
      <c r="B33">
        <v>81.91</v>
      </c>
      <c r="C33">
        <v>77.22</v>
      </c>
      <c r="D33">
        <v>105.51</v>
      </c>
      <c r="E33">
        <v>64.02</v>
      </c>
      <c r="F33">
        <v>70.58</v>
      </c>
      <c r="H33" t="s">
        <v>42</v>
      </c>
      <c r="I33">
        <f>VLOOKUP(H33,$A$1:F$161,I$2,0)</f>
        <v>142.93</v>
      </c>
      <c r="J33">
        <f>VLOOKUP(H33,$A$1:F$161,J$2,0)</f>
        <v>99.88</v>
      </c>
      <c r="K33">
        <f>VLOOKUP(H33,$A$1:F$161,K$2,0)</f>
        <v>65.08</v>
      </c>
      <c r="L33">
        <f>VLOOKUP(H33,$A$1:F$161,L$2,0)</f>
        <v>92.66</v>
      </c>
      <c r="M33">
        <f>VLOOKUP(H33,$A$1:F$161,M$2,0)</f>
        <v>61.35</v>
      </c>
    </row>
    <row r="34" spans="1:13" x14ac:dyDescent="0.25">
      <c r="A34" t="s">
        <v>35</v>
      </c>
      <c r="B34">
        <v>2742.12</v>
      </c>
      <c r="C34">
        <v>2399.06</v>
      </c>
      <c r="D34">
        <v>2215.98</v>
      </c>
      <c r="E34">
        <v>1705.1</v>
      </c>
      <c r="F34">
        <v>1546.64</v>
      </c>
      <c r="H34" t="s">
        <v>43</v>
      </c>
      <c r="I34">
        <f>VLOOKUP(H34,$A$1:F$161,I$2,0)</f>
        <v>799.55</v>
      </c>
      <c r="J34">
        <f>VLOOKUP(H34,$A$1:F$161,J$2,0)</f>
        <v>717.97</v>
      </c>
      <c r="K34">
        <f>VLOOKUP(H34,$A$1:F$161,K$2,0)</f>
        <v>498.28</v>
      </c>
      <c r="L34">
        <f>VLOOKUP(H34,$A$1:F$161,L$2,0)</f>
        <v>540.73</v>
      </c>
      <c r="M34">
        <f>VLOOKUP(H34,$A$1:F$161,M$2,0)</f>
        <v>484.97</v>
      </c>
    </row>
    <row r="35" spans="1:13" ht="15" customHeight="1" x14ac:dyDescent="0.25">
      <c r="A35" t="s">
        <v>36</v>
      </c>
      <c r="H35" t="s">
        <v>44</v>
      </c>
      <c r="I35">
        <f>VLOOKUP(H35,$A$1:F$161,I$2,0)</f>
        <v>3541.67</v>
      </c>
      <c r="J35">
        <f>VLOOKUP(H35,$A$1:F$161,J$2,0)</f>
        <v>3117.03</v>
      </c>
      <c r="K35">
        <f>VLOOKUP(H35,$A$1:F$161,K$2,0)</f>
        <v>2714.26</v>
      </c>
      <c r="L35">
        <f>VLOOKUP(H35,$A$1:F$161,L$2,0)</f>
        <v>2245.83</v>
      </c>
      <c r="M35">
        <f>VLOOKUP(H35,$A$1:F$161,M$2,0)</f>
        <v>2031.62</v>
      </c>
    </row>
    <row r="36" spans="1:13" x14ac:dyDescent="0.25">
      <c r="A36" t="s">
        <v>38</v>
      </c>
      <c r="B36">
        <v>609.16999999999996</v>
      </c>
      <c r="C36">
        <v>569.77</v>
      </c>
      <c r="D36">
        <v>373.96</v>
      </c>
      <c r="E36">
        <v>403.41</v>
      </c>
      <c r="F36">
        <v>383.73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39</v>
      </c>
      <c r="B37">
        <v>7.78</v>
      </c>
      <c r="C37">
        <v>9.07</v>
      </c>
      <c r="D37">
        <v>14.55</v>
      </c>
      <c r="E37">
        <v>8.25</v>
      </c>
      <c r="F37">
        <v>7.05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40</v>
      </c>
      <c r="B38">
        <v>39.67</v>
      </c>
      <c r="C38">
        <v>39.25</v>
      </c>
      <c r="D38">
        <v>44.7</v>
      </c>
      <c r="E38">
        <v>36.409999999999997</v>
      </c>
      <c r="F38">
        <v>32.840000000000003</v>
      </c>
      <c r="H38" t="s">
        <v>47</v>
      </c>
      <c r="I38">
        <f>VLOOKUP(H38,$A$1:F$161,I$2,0)</f>
        <v>274.35000000000002</v>
      </c>
      <c r="J38">
        <f>VLOOKUP(H38,$A$1:F$161,J$2,0)</f>
        <v>302.68</v>
      </c>
      <c r="K38">
        <f>VLOOKUP(H38,$A$1:F$161,K$2,0)</f>
        <v>296.24</v>
      </c>
      <c r="L38">
        <f>VLOOKUP(H38,$A$1:F$161,L$2,0)</f>
        <v>116.42</v>
      </c>
      <c r="M38">
        <f>VLOOKUP(H38,$A$1:F$161,M$2,0)</f>
        <v>0</v>
      </c>
    </row>
    <row r="39" spans="1:13" x14ac:dyDescent="0.25">
      <c r="A39" t="s">
        <v>42</v>
      </c>
      <c r="B39">
        <v>142.93</v>
      </c>
      <c r="C39">
        <v>99.88</v>
      </c>
      <c r="D39">
        <v>65.08</v>
      </c>
      <c r="E39">
        <v>92.66</v>
      </c>
      <c r="F39">
        <v>61.35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43</v>
      </c>
      <c r="B40">
        <v>799.55</v>
      </c>
      <c r="C40">
        <v>717.97</v>
      </c>
      <c r="D40">
        <v>498.28</v>
      </c>
      <c r="E40">
        <v>540.73</v>
      </c>
      <c r="F40">
        <v>484.97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44</v>
      </c>
      <c r="B41">
        <v>3541.67</v>
      </c>
      <c r="C41">
        <v>3117.03</v>
      </c>
      <c r="D41">
        <v>2714.26</v>
      </c>
      <c r="E41">
        <v>2245.83</v>
      </c>
      <c r="F41">
        <v>2031.62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ht="24" customHeight="1" x14ac:dyDescent="0.25">
      <c r="A42" t="s">
        <v>45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ht="36" customHeight="1" x14ac:dyDescent="0.25">
      <c r="A43" t="s">
        <v>46</v>
      </c>
      <c r="H43" t="s">
        <v>68</v>
      </c>
      <c r="I43">
        <f>VLOOKUP(H43,$A$1:F$161,I$2,0)</f>
        <v>6353.51</v>
      </c>
      <c r="J43">
        <f>VLOOKUP(H43,$A$1:F$161,J$2,0)</f>
        <v>5562.27</v>
      </c>
      <c r="K43">
        <f>VLOOKUP(H43,$A$1:F$161,K$2,0)</f>
        <v>5300.25</v>
      </c>
      <c r="L43">
        <f>VLOOKUP(H43,$A$1:F$161,L$2,0)</f>
        <v>4751.76</v>
      </c>
      <c r="M43">
        <f>VLOOKUP(H43,$A$1:F$161,M$2,0)</f>
        <v>4281.12</v>
      </c>
    </row>
    <row r="44" spans="1:13" x14ac:dyDescent="0.25">
      <c r="A44" t="s">
        <v>47</v>
      </c>
      <c r="B44">
        <v>274.35000000000002</v>
      </c>
      <c r="C44">
        <v>302.68</v>
      </c>
      <c r="D44">
        <v>296.24</v>
      </c>
      <c r="E44">
        <v>116.42</v>
      </c>
      <c r="F44">
        <v>0</v>
      </c>
      <c r="H44" t="s">
        <v>70</v>
      </c>
      <c r="I44">
        <f>VLOOKUP(H44,$A$1:F$161,I$2,0)</f>
        <v>6353.51</v>
      </c>
      <c r="J44">
        <f>VLOOKUP(H44,$A$1:F$161,J$2,0)</f>
        <v>5562.27</v>
      </c>
      <c r="K44">
        <f>VLOOKUP(H44,$A$1:F$161,K$2,0)</f>
        <v>5300.25</v>
      </c>
      <c r="L44">
        <f>VLOOKUP(H44,$A$1:F$161,L$2,0)</f>
        <v>4751.76</v>
      </c>
      <c r="M44">
        <f>VLOOKUP(H44,$A$1:F$161,M$2,0)</f>
        <v>4278.6899999999996</v>
      </c>
    </row>
    <row r="45" spans="1:13" ht="24" customHeight="1" x14ac:dyDescent="0.25">
      <c r="A45" t="s">
        <v>48</v>
      </c>
      <c r="H45" t="s">
        <v>71</v>
      </c>
      <c r="I45">
        <f>VLOOKUP(H45,$A$1:F$161,I$2,0)</f>
        <v>16.850000000000001</v>
      </c>
      <c r="J45">
        <f>VLOOKUP(H45,$A$1:F$161,J$2,0)</f>
        <v>7.47</v>
      </c>
      <c r="K45">
        <f>VLOOKUP(H45,$A$1:F$161,K$2,0)</f>
        <v>8.08</v>
      </c>
      <c r="L45">
        <f>VLOOKUP(H45,$A$1:F$161,L$2,0)</f>
        <v>8.5399999999999991</v>
      </c>
      <c r="M45">
        <f>VLOOKUP(H45,$A$1:F$161,M$2,0)</f>
        <v>8.68</v>
      </c>
    </row>
    <row r="46" spans="1:13" x14ac:dyDescent="0.25">
      <c r="A46" t="s">
        <v>151</v>
      </c>
      <c r="B46">
        <v>33.21</v>
      </c>
      <c r="C46">
        <v>50.73</v>
      </c>
      <c r="D46">
        <v>75.3</v>
      </c>
      <c r="E46">
        <v>80.19</v>
      </c>
      <c r="F46">
        <v>41.09</v>
      </c>
      <c r="H46" t="s">
        <v>72</v>
      </c>
      <c r="I46">
        <f>VLOOKUP(H46,$A$1:F$161,I$2,0)</f>
        <v>6370.36</v>
      </c>
      <c r="J46">
        <f>VLOOKUP(H46,$A$1:F$161,J$2,0)</f>
        <v>5569.74</v>
      </c>
      <c r="K46">
        <f>VLOOKUP(H46,$A$1:F$161,K$2,0)</f>
        <v>5308.33</v>
      </c>
      <c r="L46">
        <f>VLOOKUP(H46,$A$1:F$161,L$2,0)</f>
        <v>4760.3</v>
      </c>
      <c r="M46">
        <f>VLOOKUP(H46,$A$1:F$161,M$2,0)</f>
        <v>4287.37</v>
      </c>
    </row>
    <row r="47" spans="1:13" ht="24" customHeight="1" x14ac:dyDescent="0.25">
      <c r="A47" t="s">
        <v>49</v>
      </c>
      <c r="H47" t="s">
        <v>73</v>
      </c>
      <c r="I47">
        <f>VLOOKUP(H47,$A$1:F$161,I$2,0)</f>
        <v>9.81</v>
      </c>
      <c r="J47">
        <f>VLOOKUP(H47,$A$1:F$161,J$2,0)</f>
        <v>5.76</v>
      </c>
      <c r="K47">
        <f>VLOOKUP(H47,$A$1:F$161,K$2,0)</f>
        <v>8.65</v>
      </c>
      <c r="L47">
        <f>VLOOKUP(H47,$A$1:F$161,L$2,0)</f>
        <v>6.05</v>
      </c>
      <c r="M47">
        <f>VLOOKUP(H47,$A$1:F$161,M$2,0)</f>
        <v>8.32</v>
      </c>
    </row>
    <row r="48" spans="1:13" x14ac:dyDescent="0.25">
      <c r="A48" t="s">
        <v>50</v>
      </c>
      <c r="B48">
        <v>0.17</v>
      </c>
      <c r="C48">
        <v>0.32</v>
      </c>
      <c r="D48">
        <v>0.47</v>
      </c>
      <c r="E48">
        <v>3.56</v>
      </c>
      <c r="F48">
        <v>1.54</v>
      </c>
      <c r="H48" t="s">
        <v>74</v>
      </c>
      <c r="I48">
        <f>VLOOKUP(H48,$A$1:F$161,I$2,0)</f>
        <v>6380.18</v>
      </c>
      <c r="J48">
        <f>VLOOKUP(H48,$A$1:F$161,J$2,0)</f>
        <v>5575.51</v>
      </c>
      <c r="K48">
        <f>VLOOKUP(H48,$A$1:F$161,K$2,0)</f>
        <v>5316.99</v>
      </c>
      <c r="L48">
        <f>VLOOKUP(H48,$A$1:F$161,L$2,0)</f>
        <v>4766.3500000000004</v>
      </c>
      <c r="M48">
        <f>VLOOKUP(H48,$A$1:F$161,M$2,0)</f>
        <v>4295.68</v>
      </c>
    </row>
    <row r="49" spans="1:13" ht="48" customHeight="1" x14ac:dyDescent="0.25">
      <c r="A49" t="s">
        <v>51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52</v>
      </c>
      <c r="B50" t="s">
        <v>53</v>
      </c>
      <c r="C50" t="s">
        <v>53</v>
      </c>
      <c r="D50" t="s">
        <v>53</v>
      </c>
      <c r="E50" t="s">
        <v>53</v>
      </c>
      <c r="F50" t="s">
        <v>53</v>
      </c>
      <c r="H50" t="s">
        <v>76</v>
      </c>
      <c r="I50">
        <f>VLOOKUP(H50,$A$1:F$161,I$2,0)</f>
        <v>4351.8500000000004</v>
      </c>
      <c r="J50">
        <f>VLOOKUP(H50,$A$1:F$161,J$2,0)</f>
        <v>3951.96</v>
      </c>
      <c r="K50">
        <f>VLOOKUP(H50,$A$1:F$161,K$2,0)</f>
        <v>3684.97</v>
      </c>
      <c r="L50">
        <f>VLOOKUP(H50,$A$1:F$161,L$2,0)</f>
        <v>3289.59</v>
      </c>
      <c r="M50">
        <f>VLOOKUP(H50,$A$1:F$161,M$2,0)</f>
        <v>3183.48</v>
      </c>
    </row>
    <row r="51" spans="1:13" ht="24" customHeight="1" x14ac:dyDescent="0.25">
      <c r="A51" t="s">
        <v>54</v>
      </c>
      <c r="H51" t="s">
        <v>77</v>
      </c>
      <c r="I51">
        <f>VLOOKUP(H51,$A$1:F$161,I$2,0)</f>
        <v>5.36</v>
      </c>
      <c r="J51">
        <f>VLOOKUP(H51,$A$1:F$161,J$2,0)</f>
        <v>3.6</v>
      </c>
      <c r="K51">
        <f>VLOOKUP(H51,$A$1:F$161,K$2,0)</f>
        <v>2.69</v>
      </c>
      <c r="L51">
        <f>VLOOKUP(H51,$A$1:F$161,L$2,0)</f>
        <v>0.61</v>
      </c>
      <c r="M51">
        <f>VLOOKUP(H51,$A$1:F$161,M$2,0)</f>
        <v>1.46</v>
      </c>
    </row>
    <row r="52" spans="1:13" x14ac:dyDescent="0.25">
      <c r="A52" t="s">
        <v>55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51.09</v>
      </c>
      <c r="J52">
        <f>VLOOKUP(H52,$A$1:F$161,J$2,0)</f>
        <v>-150.62</v>
      </c>
      <c r="K52">
        <f>VLOOKUP(H52,$A$1:F$161,K$2,0)</f>
        <v>73.33</v>
      </c>
      <c r="L52">
        <f>VLOOKUP(H52,$A$1:F$161,L$2,0)</f>
        <v>52.37</v>
      </c>
      <c r="M52">
        <f>VLOOKUP(H52,$A$1:F$161,M$2,0)</f>
        <v>-101.19</v>
      </c>
    </row>
    <row r="53" spans="1:13" x14ac:dyDescent="0.25">
      <c r="A53" t="s">
        <v>56</v>
      </c>
      <c r="B53">
        <v>8.4499999999999993</v>
      </c>
      <c r="C53">
        <v>4.42</v>
      </c>
      <c r="D53">
        <v>5.0599999999999996</v>
      </c>
      <c r="E53">
        <v>27.06</v>
      </c>
      <c r="F53">
        <v>11.56</v>
      </c>
      <c r="H53" t="s">
        <v>79</v>
      </c>
      <c r="I53">
        <f>VLOOKUP(H53,$A$1:F$161,I$2,0)</f>
        <v>210.02</v>
      </c>
      <c r="J53">
        <f>VLOOKUP(H53,$A$1:F$161,J$2,0)</f>
        <v>188.37</v>
      </c>
      <c r="K53">
        <f>VLOOKUP(H53,$A$1:F$161,K$2,0)</f>
        <v>167.71</v>
      </c>
      <c r="L53">
        <f>VLOOKUP(H53,$A$1:F$161,L$2,0)</f>
        <v>155.91999999999999</v>
      </c>
      <c r="M53">
        <f>VLOOKUP(H53,$A$1:F$161,M$2,0)</f>
        <v>140.84</v>
      </c>
    </row>
    <row r="54" spans="1:13" ht="15" customHeight="1" x14ac:dyDescent="0.25">
      <c r="A54" t="s">
        <v>57</v>
      </c>
      <c r="H54" t="s">
        <v>80</v>
      </c>
      <c r="I54">
        <f>VLOOKUP(H54,$A$1:F$161,I$2,0)</f>
        <v>106.63</v>
      </c>
      <c r="J54">
        <f>VLOOKUP(H54,$A$1:F$161,J$2,0)</f>
        <v>110.43</v>
      </c>
      <c r="K54">
        <f>VLOOKUP(H54,$A$1:F$161,K$2,0)</f>
        <v>105.85</v>
      </c>
      <c r="L54">
        <f>VLOOKUP(H54,$A$1:F$161,L$2,0)</f>
        <v>85.72</v>
      </c>
      <c r="M54">
        <f>VLOOKUP(H54,$A$1:F$161,M$2,0)</f>
        <v>87.64</v>
      </c>
    </row>
    <row r="55" spans="1:13" x14ac:dyDescent="0.25">
      <c r="A55" t="s">
        <v>58</v>
      </c>
      <c r="B55">
        <v>14.38</v>
      </c>
      <c r="C55">
        <v>14.38</v>
      </c>
      <c r="D55">
        <v>9</v>
      </c>
      <c r="E55">
        <v>9</v>
      </c>
      <c r="F55">
        <v>9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59</v>
      </c>
      <c r="H56" t="s">
        <v>82</v>
      </c>
      <c r="I56">
        <f>VLOOKUP(H56,$A$1:F$161,I$2,0)</f>
        <v>310.77</v>
      </c>
      <c r="J56">
        <f>VLOOKUP(H56,$A$1:F$161,J$2,0)</f>
        <v>309.89999999999998</v>
      </c>
      <c r="K56">
        <f>VLOOKUP(H56,$A$1:F$161,K$2,0)</f>
        <v>296.48</v>
      </c>
      <c r="L56">
        <f>VLOOKUP(H56,$A$1:F$161,L$2,0)</f>
        <v>200.59</v>
      </c>
      <c r="M56">
        <f>VLOOKUP(H56,$A$1:F$161,M$2,0)</f>
        <v>173.64</v>
      </c>
    </row>
    <row r="57" spans="1:13" x14ac:dyDescent="0.25">
      <c r="A57" t="s">
        <v>60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1030.72</v>
      </c>
      <c r="J57">
        <f>VLOOKUP(H57,$A$1:F$161,J$2,0)</f>
        <v>797.72</v>
      </c>
      <c r="K57">
        <f>VLOOKUP(H57,$A$1:F$161,K$2,0)</f>
        <v>829.56</v>
      </c>
      <c r="L57">
        <f>VLOOKUP(H57,$A$1:F$161,L$2,0)</f>
        <v>820.35</v>
      </c>
      <c r="M57">
        <f>VLOOKUP(H57,$A$1:F$161,M$2,0)</f>
        <v>691.13</v>
      </c>
    </row>
    <row r="58" spans="1:13" x14ac:dyDescent="0.25">
      <c r="A58" t="s">
        <v>61</v>
      </c>
      <c r="B58">
        <v>13.51</v>
      </c>
      <c r="C58">
        <v>8.3000000000000007</v>
      </c>
      <c r="D58">
        <v>0.12</v>
      </c>
      <c r="E58">
        <v>0.12</v>
      </c>
      <c r="F58">
        <v>0.13</v>
      </c>
      <c r="H58" t="s">
        <v>84</v>
      </c>
      <c r="I58">
        <f>VLOOKUP(H58,$A$1:F$161,I$2,0)</f>
        <v>6066.45</v>
      </c>
      <c r="J58">
        <f>VLOOKUP(H58,$A$1:F$161,J$2,0)</f>
        <v>5211.3500000000004</v>
      </c>
      <c r="K58">
        <f>VLOOKUP(H58,$A$1:F$161,K$2,0)</f>
        <v>5160.59</v>
      </c>
      <c r="L58">
        <f>VLOOKUP(H58,$A$1:F$161,L$2,0)</f>
        <v>4605.16</v>
      </c>
      <c r="M58">
        <f>VLOOKUP(H58,$A$1:F$161,M$2,0)</f>
        <v>4177</v>
      </c>
    </row>
    <row r="59" spans="1:13" ht="24" customHeight="1" x14ac:dyDescent="0.25">
      <c r="A59" t="s">
        <v>62</v>
      </c>
      <c r="H59" t="s">
        <v>85</v>
      </c>
      <c r="I59">
        <f>VLOOKUP(H59,$A$1:F$161,I$2,0)</f>
        <v>313.72000000000003</v>
      </c>
      <c r="J59">
        <f>VLOOKUP(H59,$A$1:F$161,J$2,0)</f>
        <v>364.15</v>
      </c>
      <c r="K59">
        <f>VLOOKUP(H59,$A$1:F$161,K$2,0)</f>
        <v>156.38999999999999</v>
      </c>
      <c r="L59">
        <f>VLOOKUP(H59,$A$1:F$161,L$2,0)</f>
        <v>161.18</v>
      </c>
      <c r="M59">
        <f>VLOOKUP(H59,$A$1:F$161,M$2,0)</f>
        <v>118.68</v>
      </c>
    </row>
    <row r="60" spans="1:13" x14ac:dyDescent="0.25">
      <c r="A60" t="s">
        <v>63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313.72000000000003</v>
      </c>
      <c r="J60">
        <f>VLOOKUP(H60,$A$1:F$161,J$2,0)</f>
        <v>364.15</v>
      </c>
      <c r="K60">
        <f>VLOOKUP(H60,$A$1:F$161,K$2,0)</f>
        <v>156.38999999999999</v>
      </c>
      <c r="L60">
        <f>VLOOKUP(H60,$A$1:F$161,L$2,0)</f>
        <v>161.18</v>
      </c>
      <c r="M60">
        <f>VLOOKUP(H60,$A$1:F$161,M$2,0)</f>
        <v>118.68</v>
      </c>
    </row>
    <row r="61" spans="1:13" x14ac:dyDescent="0.25">
      <c r="A61" t="s">
        <v>64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89.55</v>
      </c>
      <c r="J62">
        <f>VLOOKUP(H62,$A$1:F$161,J$2,0)</f>
        <v>127.87</v>
      </c>
      <c r="K62">
        <f>VLOOKUP(H62,$A$1:F$161,K$2,0)</f>
        <v>52.8</v>
      </c>
      <c r="L62">
        <f>VLOOKUP(H62,$A$1:F$161,L$2,0)</f>
        <v>46.28</v>
      </c>
      <c r="M62">
        <f>VLOOKUP(H62,$A$1:F$161,M$2,0)</f>
        <v>24.88</v>
      </c>
    </row>
    <row r="63" spans="1:13" x14ac:dyDescent="0.25">
      <c r="H63" t="s">
        <v>90</v>
      </c>
      <c r="I63">
        <f>VLOOKUP(H63,$A$1:F$161,I$2,0)</f>
        <v>-24.86</v>
      </c>
      <c r="J63">
        <f>VLOOKUP(H63,$A$1:F$161,J$2,0)</f>
        <v>-7.42</v>
      </c>
      <c r="K63">
        <f>VLOOKUP(H63,$A$1:F$161,K$2,0)</f>
        <v>-0.46</v>
      </c>
      <c r="L63">
        <f>VLOOKUP(H63,$A$1:F$161,L$2,0)</f>
        <v>0.06</v>
      </c>
      <c r="M63">
        <f>VLOOKUP(H63,$A$1:F$161,M$2,0)</f>
        <v>0.91</v>
      </c>
    </row>
    <row r="64" spans="1:13" x14ac:dyDescent="0.25">
      <c r="H64" t="s">
        <v>112</v>
      </c>
      <c r="I64">
        <f>VLOOKUP(H64,$A$1:F$161,I$2,0)</f>
        <v>0.78</v>
      </c>
      <c r="J64">
        <f>VLOOKUP(H64,$A$1:F$161,J$2,0)</f>
        <v>-2.65</v>
      </c>
      <c r="K64">
        <f>VLOOKUP(H64,$A$1:F$161,K$2,0)</f>
        <v>-8.2100000000000009</v>
      </c>
      <c r="L64">
        <f>VLOOKUP(H64,$A$1:F$161,L$2,0)</f>
        <v>0</v>
      </c>
      <c r="M64">
        <f>VLOOKUP(H64,$A$1:F$161,M$2,0)</f>
        <v>2.0499999999999998</v>
      </c>
    </row>
    <row r="65" spans="1:13" ht="15" customHeight="1" x14ac:dyDescent="0.25">
      <c r="A65" t="s">
        <v>65</v>
      </c>
      <c r="H65" t="s">
        <v>91</v>
      </c>
      <c r="I65">
        <f>VLOOKUP(H65,$A$1:F$161,I$2,0)</f>
        <v>65.47</v>
      </c>
      <c r="J65">
        <f>VLOOKUP(H65,$A$1:F$161,J$2,0)</f>
        <v>117.8</v>
      </c>
      <c r="K65">
        <f>VLOOKUP(H65,$A$1:F$161,K$2,0)</f>
        <v>44.12</v>
      </c>
      <c r="L65">
        <f>VLOOKUP(H65,$A$1:F$161,L$2,0)</f>
        <v>46.34</v>
      </c>
      <c r="M65">
        <f>VLOOKUP(H65,$A$1:F$161,M$2,0)</f>
        <v>27.84</v>
      </c>
    </row>
    <row r="66" spans="1:13" x14ac:dyDescent="0.25">
      <c r="H66" t="s">
        <v>92</v>
      </c>
      <c r="I66">
        <f>VLOOKUP(H66,$A$1:F$161,I$2,0)</f>
        <v>248.25</v>
      </c>
      <c r="J66">
        <f>VLOOKUP(H66,$A$1:F$161,J$2,0)</f>
        <v>246.35</v>
      </c>
      <c r="K66">
        <f>VLOOKUP(H66,$A$1:F$161,K$2,0)</f>
        <v>112.27</v>
      </c>
      <c r="L66">
        <f>VLOOKUP(H66,$A$1:F$161,L$2,0)</f>
        <v>114.85</v>
      </c>
      <c r="M66">
        <f>VLOOKUP(H66,$A$1:F$161,M$2,0)</f>
        <v>90.84</v>
      </c>
    </row>
    <row r="67" spans="1:13" x14ac:dyDescent="0.25">
      <c r="H67" t="s">
        <v>93</v>
      </c>
      <c r="I67">
        <f>VLOOKUP(H67,$A$1:F$161,I$2,0)</f>
        <v>248.25</v>
      </c>
      <c r="J67">
        <f>VLOOKUP(H67,$A$1:F$161,J$2,0)</f>
        <v>246.35</v>
      </c>
      <c r="K67">
        <f>VLOOKUP(H67,$A$1:F$161,K$2,0)</f>
        <v>112.27</v>
      </c>
      <c r="L67">
        <f>VLOOKUP(H67,$A$1:F$161,L$2,0)</f>
        <v>114.85</v>
      </c>
      <c r="M67">
        <f>VLOOKUP(H67,$A$1:F$161,M$2,0)</f>
        <v>90.84</v>
      </c>
    </row>
    <row r="68" spans="1:13" x14ac:dyDescent="0.25">
      <c r="H68" t="s">
        <v>94</v>
      </c>
      <c r="I68">
        <f>VLOOKUP(H68,$A$1:F$161,I$2,0)</f>
        <v>217.91</v>
      </c>
      <c r="J68">
        <f>VLOOKUP(H68,$A$1:F$161,J$2,0)</f>
        <v>246.35</v>
      </c>
      <c r="K68">
        <f>VLOOKUP(H68,$A$1:F$161,K$2,0)</f>
        <v>112.27</v>
      </c>
      <c r="L68">
        <f>VLOOKUP(H68,$A$1:F$161,L$2,0)</f>
        <v>114.85</v>
      </c>
      <c r="M68">
        <f>VLOOKUP(H68,$A$1:F$161,M$2,0)</f>
        <v>90.84</v>
      </c>
    </row>
    <row r="69" spans="1:13" x14ac:dyDescent="0.25">
      <c r="H69" t="s">
        <v>101</v>
      </c>
      <c r="I69">
        <f>VLOOKUP(H69,$A$1:F$161,I$2,0)</f>
        <v>129.34</v>
      </c>
      <c r="J69">
        <f>VLOOKUP(H69,$A$1:F$161,J$2,0)</f>
        <v>129.34</v>
      </c>
      <c r="K69">
        <f>VLOOKUP(H69,$A$1:F$161,K$2,0)</f>
        <v>96.25</v>
      </c>
      <c r="L69">
        <f>VLOOKUP(H69,$A$1:F$161,L$2,0)</f>
        <v>77.61</v>
      </c>
      <c r="M69">
        <f>VLOOKUP(H69,$A$1:F$161,M$2,0)</f>
        <v>60.58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19.78</v>
      </c>
      <c r="L70">
        <f>VLOOKUP(H70,$A$1:F$161,L$2,0)</f>
        <v>15.95</v>
      </c>
      <c r="M70">
        <f>VLOOKUP(H70,$A$1:F$161,M$2,0)</f>
        <v>12.67</v>
      </c>
    </row>
    <row r="71" spans="1:13" x14ac:dyDescent="0.25">
      <c r="H71" t="s">
        <v>103</v>
      </c>
      <c r="I71">
        <f>VLOOKUP(H71,$A$1:F$161,I$2,0)</f>
        <v>600</v>
      </c>
      <c r="J71">
        <f>VLOOKUP(H71,$A$1:F$161,J$2,0)</f>
        <v>800</v>
      </c>
      <c r="K71">
        <f>VLOOKUP(H71,$A$1:F$161,K$2,0)</f>
        <v>400</v>
      </c>
      <c r="L71">
        <f>VLOOKUP(H71,$A$1:F$161,L$2,0)</f>
        <v>400</v>
      </c>
      <c r="M71">
        <f>VLOOKUP(H71,$A$1:F$161,M$2,0)</f>
        <v>400</v>
      </c>
    </row>
    <row r="90" spans="1:6" x14ac:dyDescent="0.25">
      <c r="A90" t="s">
        <v>153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6353.51</v>
      </c>
      <c r="C97">
        <v>5562.27</v>
      </c>
      <c r="D97">
        <v>5300.25</v>
      </c>
      <c r="E97">
        <v>4751.76</v>
      </c>
      <c r="F97">
        <v>4281.12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2.4300000000000002</v>
      </c>
    </row>
    <row r="99" spans="1:6" x14ac:dyDescent="0.25">
      <c r="A99" t="s">
        <v>70</v>
      </c>
      <c r="B99">
        <v>6353.51</v>
      </c>
      <c r="C99">
        <v>5562.27</v>
      </c>
      <c r="D99">
        <v>5300.25</v>
      </c>
      <c r="E99">
        <v>4751.76</v>
      </c>
      <c r="F99">
        <v>4278.6899999999996</v>
      </c>
    </row>
    <row r="100" spans="1:6" x14ac:dyDescent="0.25">
      <c r="A100" t="s">
        <v>71</v>
      </c>
      <c r="B100">
        <v>16.850000000000001</v>
      </c>
      <c r="C100">
        <v>7.47</v>
      </c>
      <c r="D100">
        <v>8.08</v>
      </c>
      <c r="E100">
        <v>8.5399999999999991</v>
      </c>
      <c r="F100">
        <v>8.68</v>
      </c>
    </row>
    <row r="101" spans="1:6" x14ac:dyDescent="0.25">
      <c r="A101" t="s">
        <v>72</v>
      </c>
      <c r="B101">
        <v>6370.36</v>
      </c>
      <c r="C101">
        <v>5569.74</v>
      </c>
      <c r="D101">
        <v>5308.33</v>
      </c>
      <c r="E101">
        <v>4760.3</v>
      </c>
      <c r="F101">
        <v>4287.37</v>
      </c>
    </row>
    <row r="102" spans="1:6" x14ac:dyDescent="0.25">
      <c r="A102" t="s">
        <v>73</v>
      </c>
      <c r="B102">
        <v>9.81</v>
      </c>
      <c r="C102">
        <v>5.76</v>
      </c>
      <c r="D102">
        <v>8.65</v>
      </c>
      <c r="E102">
        <v>6.05</v>
      </c>
      <c r="F102">
        <v>8.32</v>
      </c>
    </row>
    <row r="103" spans="1:6" x14ac:dyDescent="0.25">
      <c r="A103" t="s">
        <v>74</v>
      </c>
      <c r="B103">
        <v>6380.18</v>
      </c>
      <c r="C103">
        <v>5575.51</v>
      </c>
      <c r="D103">
        <v>5316.99</v>
      </c>
      <c r="E103">
        <v>4766.3500000000004</v>
      </c>
      <c r="F103">
        <v>4295.68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4351.8500000000004</v>
      </c>
      <c r="C105">
        <v>3951.96</v>
      </c>
      <c r="D105">
        <v>3684.97</v>
      </c>
      <c r="E105">
        <v>3289.59</v>
      </c>
      <c r="F105">
        <v>3183.48</v>
      </c>
    </row>
    <row r="106" spans="1:6" x14ac:dyDescent="0.25">
      <c r="A106" t="s">
        <v>77</v>
      </c>
      <c r="B106">
        <v>5.36</v>
      </c>
      <c r="C106">
        <v>3.6</v>
      </c>
      <c r="D106">
        <v>2.69</v>
      </c>
      <c r="E106">
        <v>0.61</v>
      </c>
      <c r="F106">
        <v>1.46</v>
      </c>
    </row>
    <row r="107" spans="1:6" x14ac:dyDescent="0.25">
      <c r="A107" t="s">
        <v>78</v>
      </c>
      <c r="B107">
        <v>51.09</v>
      </c>
      <c r="C107">
        <v>-150.62</v>
      </c>
      <c r="D107">
        <v>73.33</v>
      </c>
      <c r="E107">
        <v>52.37</v>
      </c>
      <c r="F107">
        <v>-101.19</v>
      </c>
    </row>
    <row r="108" spans="1:6" x14ac:dyDescent="0.25">
      <c r="A108" t="s">
        <v>79</v>
      </c>
      <c r="B108">
        <v>210.02</v>
      </c>
      <c r="C108">
        <v>188.37</v>
      </c>
      <c r="D108">
        <v>167.71</v>
      </c>
      <c r="E108">
        <v>155.91999999999999</v>
      </c>
      <c r="F108">
        <v>140.84</v>
      </c>
    </row>
    <row r="109" spans="1:6" x14ac:dyDescent="0.25">
      <c r="A109" t="s">
        <v>80</v>
      </c>
      <c r="B109">
        <v>106.63</v>
      </c>
      <c r="C109">
        <v>110.43</v>
      </c>
      <c r="D109">
        <v>105.85</v>
      </c>
      <c r="E109">
        <v>85.72</v>
      </c>
      <c r="F109">
        <v>87.64</v>
      </c>
    </row>
    <row r="110" spans="1:6" x14ac:dyDescent="0.25">
      <c r="A110" t="s">
        <v>82</v>
      </c>
      <c r="B110">
        <v>310.77</v>
      </c>
      <c r="C110">
        <v>309.89999999999998</v>
      </c>
      <c r="D110">
        <v>296.48</v>
      </c>
      <c r="E110">
        <v>200.59</v>
      </c>
      <c r="F110">
        <v>173.64</v>
      </c>
    </row>
    <row r="111" spans="1:6" x14ac:dyDescent="0.25">
      <c r="A111" t="s">
        <v>83</v>
      </c>
      <c r="B111">
        <v>1030.72</v>
      </c>
      <c r="C111">
        <v>797.72</v>
      </c>
      <c r="D111">
        <v>829.56</v>
      </c>
      <c r="E111">
        <v>820.35</v>
      </c>
      <c r="F111">
        <v>691.13</v>
      </c>
    </row>
    <row r="112" spans="1:6" x14ac:dyDescent="0.25">
      <c r="A112" t="s">
        <v>84</v>
      </c>
      <c r="B112">
        <v>6066.45</v>
      </c>
      <c r="C112">
        <v>5211.3500000000004</v>
      </c>
      <c r="D112">
        <v>5160.59</v>
      </c>
      <c r="E112">
        <v>4605.16</v>
      </c>
      <c r="F112">
        <v>4177</v>
      </c>
    </row>
    <row r="113" spans="1:6" x14ac:dyDescent="0.25">
      <c r="B113">
        <v>44621</v>
      </c>
      <c r="C113">
        <v>44256</v>
      </c>
      <c r="D113">
        <v>43891</v>
      </c>
      <c r="E113">
        <v>43525</v>
      </c>
      <c r="F113">
        <v>43160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313.72000000000003</v>
      </c>
      <c r="C117">
        <v>364.15</v>
      </c>
      <c r="D117">
        <v>156.38999999999999</v>
      </c>
      <c r="E117">
        <v>161.18</v>
      </c>
      <c r="F117">
        <v>118.68</v>
      </c>
    </row>
    <row r="118" spans="1:6" x14ac:dyDescent="0.25">
      <c r="A118" t="s">
        <v>87</v>
      </c>
      <c r="B118">
        <v>313.72000000000003</v>
      </c>
      <c r="C118">
        <v>364.15</v>
      </c>
      <c r="D118">
        <v>156.38999999999999</v>
      </c>
      <c r="E118">
        <v>161.18</v>
      </c>
      <c r="F118">
        <v>118.68</v>
      </c>
    </row>
    <row r="119" spans="1:6" ht="24" customHeight="1" x14ac:dyDescent="0.25">
      <c r="A119" t="s">
        <v>88</v>
      </c>
    </row>
    <row r="120" spans="1:6" x14ac:dyDescent="0.25">
      <c r="A120" t="s">
        <v>89</v>
      </c>
      <c r="B120">
        <v>89.55</v>
      </c>
      <c r="C120">
        <v>127.87</v>
      </c>
      <c r="D120">
        <v>52.8</v>
      </c>
      <c r="E120">
        <v>46.28</v>
      </c>
      <c r="F120">
        <v>24.88</v>
      </c>
    </row>
    <row r="121" spans="1:6" x14ac:dyDescent="0.25">
      <c r="A121" t="s">
        <v>90</v>
      </c>
      <c r="B121">
        <v>-24.86</v>
      </c>
      <c r="C121">
        <v>-7.42</v>
      </c>
      <c r="D121">
        <v>-0.46</v>
      </c>
      <c r="E121">
        <v>0.06</v>
      </c>
      <c r="F121">
        <v>0.91</v>
      </c>
    </row>
    <row r="122" spans="1:6" x14ac:dyDescent="0.25">
      <c r="A122" t="s">
        <v>112</v>
      </c>
      <c r="B122">
        <v>0.78</v>
      </c>
      <c r="C122">
        <v>-2.65</v>
      </c>
      <c r="D122">
        <v>-8.2100000000000009</v>
      </c>
      <c r="E122">
        <v>0</v>
      </c>
      <c r="F122">
        <v>2.0499999999999998</v>
      </c>
    </row>
    <row r="123" spans="1:6" x14ac:dyDescent="0.25">
      <c r="A123" t="s">
        <v>91</v>
      </c>
      <c r="B123">
        <v>65.47</v>
      </c>
      <c r="C123">
        <v>117.8</v>
      </c>
      <c r="D123">
        <v>44.12</v>
      </c>
      <c r="E123">
        <v>46.34</v>
      </c>
      <c r="F123">
        <v>27.84</v>
      </c>
    </row>
    <row r="124" spans="1:6" x14ac:dyDescent="0.25">
      <c r="A124" t="s">
        <v>92</v>
      </c>
      <c r="B124">
        <v>248.25</v>
      </c>
      <c r="C124">
        <v>246.35</v>
      </c>
      <c r="D124">
        <v>112.27</v>
      </c>
      <c r="E124">
        <v>114.85</v>
      </c>
      <c r="F124">
        <v>90.84</v>
      </c>
    </row>
    <row r="125" spans="1:6" x14ac:dyDescent="0.25">
      <c r="A125" t="s">
        <v>93</v>
      </c>
      <c r="B125">
        <v>248.25</v>
      </c>
      <c r="C125">
        <v>246.35</v>
      </c>
      <c r="D125">
        <v>112.27</v>
      </c>
      <c r="E125">
        <v>114.85</v>
      </c>
      <c r="F125">
        <v>90.84</v>
      </c>
    </row>
    <row r="126" spans="1:6" x14ac:dyDescent="0.25">
      <c r="A126" t="s">
        <v>126</v>
      </c>
      <c r="B126">
        <v>-38.340000000000003</v>
      </c>
      <c r="C126">
        <v>0</v>
      </c>
      <c r="D126">
        <v>0</v>
      </c>
      <c r="E126">
        <v>0</v>
      </c>
      <c r="F126">
        <v>0</v>
      </c>
    </row>
    <row r="127" spans="1:6" x14ac:dyDescent="0.25">
      <c r="A127" t="s">
        <v>127</v>
      </c>
      <c r="B127">
        <v>-8</v>
      </c>
      <c r="C127">
        <v>0</v>
      </c>
      <c r="D127">
        <v>0</v>
      </c>
      <c r="E127">
        <v>0</v>
      </c>
      <c r="F127">
        <v>0</v>
      </c>
    </row>
    <row r="128" spans="1:6" x14ac:dyDescent="0.25">
      <c r="A128" t="s">
        <v>128</v>
      </c>
      <c r="B128">
        <v>-30.34</v>
      </c>
      <c r="C128">
        <v>0</v>
      </c>
      <c r="D128">
        <v>0</v>
      </c>
      <c r="E128">
        <v>0</v>
      </c>
      <c r="F128">
        <v>0</v>
      </c>
    </row>
    <row r="129" spans="1:6" x14ac:dyDescent="0.25">
      <c r="A129" t="s">
        <v>94</v>
      </c>
      <c r="B129">
        <v>217.91</v>
      </c>
      <c r="C129">
        <v>246.35</v>
      </c>
      <c r="D129">
        <v>112.27</v>
      </c>
      <c r="E129">
        <v>114.85</v>
      </c>
      <c r="F129">
        <v>90.84</v>
      </c>
    </row>
    <row r="130" spans="1:6" x14ac:dyDescent="0.25">
      <c r="B130">
        <v>44621</v>
      </c>
      <c r="C130">
        <v>44256</v>
      </c>
      <c r="D130">
        <v>43891</v>
      </c>
      <c r="E130">
        <v>43525</v>
      </c>
      <c r="F130">
        <v>43160</v>
      </c>
    </row>
    <row r="132" spans="1:6" x14ac:dyDescent="0.25">
      <c r="B132" t="s">
        <v>5</v>
      </c>
      <c r="C132" t="s">
        <v>5</v>
      </c>
      <c r="D132" t="s">
        <v>5</v>
      </c>
      <c r="E132" t="s">
        <v>5</v>
      </c>
      <c r="F132" t="s">
        <v>5</v>
      </c>
    </row>
    <row r="134" spans="1:6" ht="24" customHeight="1" x14ac:dyDescent="0.25">
      <c r="A134" t="s">
        <v>45</v>
      </c>
    </row>
    <row r="135" spans="1:6" ht="24" customHeight="1" x14ac:dyDescent="0.25">
      <c r="A135" t="s">
        <v>95</v>
      </c>
    </row>
    <row r="136" spans="1:6" x14ac:dyDescent="0.25">
      <c r="A136" t="s">
        <v>96</v>
      </c>
      <c r="B136">
        <v>10.050000000000001</v>
      </c>
      <c r="C136">
        <v>11.43</v>
      </c>
      <c r="D136">
        <v>6.99</v>
      </c>
      <c r="E136">
        <v>7.19</v>
      </c>
      <c r="F136">
        <v>5.88</v>
      </c>
    </row>
    <row r="137" spans="1:6" x14ac:dyDescent="0.25">
      <c r="A137" t="s">
        <v>97</v>
      </c>
      <c r="B137">
        <v>10.050000000000001</v>
      </c>
      <c r="C137">
        <v>11.43</v>
      </c>
      <c r="D137">
        <v>6.94</v>
      </c>
      <c r="E137">
        <v>7.19</v>
      </c>
      <c r="F137">
        <v>5.88</v>
      </c>
    </row>
    <row r="138" spans="1:6" ht="36" customHeight="1" x14ac:dyDescent="0.25">
      <c r="A138" t="s">
        <v>98</v>
      </c>
    </row>
    <row r="139" spans="1:6" ht="24" customHeight="1" x14ac:dyDescent="0.25">
      <c r="A139" t="s">
        <v>99</v>
      </c>
    </row>
    <row r="140" spans="1:6" ht="36" customHeight="1" x14ac:dyDescent="0.25">
      <c r="A140" t="s">
        <v>100</v>
      </c>
    </row>
    <row r="141" spans="1:6" x14ac:dyDescent="0.25">
      <c r="A141" t="s">
        <v>101</v>
      </c>
      <c r="B141">
        <v>129.34</v>
      </c>
      <c r="C141">
        <v>129.34</v>
      </c>
      <c r="D141">
        <v>96.25</v>
      </c>
      <c r="E141">
        <v>77.61</v>
      </c>
      <c r="F141">
        <v>60.58</v>
      </c>
    </row>
    <row r="142" spans="1:6" x14ac:dyDescent="0.25">
      <c r="A142" t="s">
        <v>102</v>
      </c>
      <c r="B142">
        <v>0</v>
      </c>
      <c r="C142">
        <v>0</v>
      </c>
      <c r="D142">
        <v>19.78</v>
      </c>
      <c r="E142">
        <v>15.95</v>
      </c>
      <c r="F142">
        <v>12.67</v>
      </c>
    </row>
    <row r="143" spans="1:6" x14ac:dyDescent="0.25">
      <c r="A143" t="s">
        <v>103</v>
      </c>
      <c r="B143">
        <v>600</v>
      </c>
      <c r="C143">
        <v>800</v>
      </c>
      <c r="D143">
        <v>400</v>
      </c>
      <c r="E143">
        <v>400</v>
      </c>
      <c r="F143">
        <v>400</v>
      </c>
    </row>
    <row r="147" spans="1:1" ht="15" customHeight="1" x14ac:dyDescent="0.25">
      <c r="A147" t="s">
        <v>65</v>
      </c>
    </row>
  </sheetData>
  <hyperlinks>
    <hyperlink ref="B1" r:id="rId1" display="javascript:void(0);" xr:uid="{82E213D1-A4F2-452E-9563-8A9E803F7B46}"/>
    <hyperlink ref="B90" r:id="rId2" display="javascript:void(0);" xr:uid="{3653B68E-115F-45C7-8E4C-058EF544D7C2}"/>
  </hyperlinks>
  <pageMargins left="0.7" right="0.7" top="0.75" bottom="0.75" header="0.3" footer="0.3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6DB69-F3EF-45FA-8770-AE442263D735}">
  <sheetPr codeName="Sheet24"/>
  <dimension ref="A1:M143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154</v>
      </c>
      <c r="B1" t="s">
        <v>1</v>
      </c>
      <c r="H1" t="str">
        <f>A1</f>
        <v>LT Foods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31.98</v>
      </c>
      <c r="J4">
        <f>VLOOKUP(H4,$A$1:F$161,J$2,0)</f>
        <v>31.98</v>
      </c>
      <c r="K4">
        <f>VLOOKUP(H4,$A$1:F$161,K$2,0)</f>
        <v>31.98</v>
      </c>
      <c r="L4">
        <f>VLOOKUP(H4,$A$1:F$161,L$2,0)</f>
        <v>31.98</v>
      </c>
      <c r="M4">
        <f>VLOOKUP(H4,$A$1:F$161,M$2,0)</f>
        <v>31.98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31.98</v>
      </c>
      <c r="J5">
        <f>VLOOKUP(H5,$A$1:F$161,J$2,0)</f>
        <v>31.98</v>
      </c>
      <c r="K5">
        <f>VLOOKUP(H5,$A$1:F$161,K$2,0)</f>
        <v>31.98</v>
      </c>
      <c r="L5">
        <f>VLOOKUP(H5,$A$1:F$161,L$2,0)</f>
        <v>31.98</v>
      </c>
      <c r="M5">
        <f>VLOOKUP(H5,$A$1:F$161,M$2,0)</f>
        <v>31.98</v>
      </c>
    </row>
    <row r="6" spans="1:13" x14ac:dyDescent="0.25">
      <c r="H6" t="s">
        <v>10</v>
      </c>
      <c r="I6">
        <f>VLOOKUP(H6,$A$1:F$161,I$2,0)</f>
        <v>1012.26</v>
      </c>
      <c r="J6">
        <f>VLOOKUP(H6,$A$1:F$161,J$2,0)</f>
        <v>933.87</v>
      </c>
      <c r="K6">
        <f>VLOOKUP(H6,$A$1:F$161,K$2,0)</f>
        <v>839.42</v>
      </c>
      <c r="L6">
        <f>VLOOKUP(H6,$A$1:F$161,L$2,0)</f>
        <v>809.54</v>
      </c>
      <c r="M6">
        <f>VLOOKUP(H6,$A$1:F$161,M$2,0)</f>
        <v>748.56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1012.26</v>
      </c>
      <c r="J7">
        <f>VLOOKUP(H7,$A$1:F$161,J$2,0)</f>
        <v>933.87</v>
      </c>
      <c r="K7">
        <f>VLOOKUP(H7,$A$1:F$161,K$2,0)</f>
        <v>839.42</v>
      </c>
      <c r="L7">
        <f>VLOOKUP(H7,$A$1:F$161,L$2,0)</f>
        <v>809.54</v>
      </c>
      <c r="M7">
        <f>VLOOKUP(H7,$A$1:F$161,M$2,0)</f>
        <v>748.56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1044.25</v>
      </c>
      <c r="J8">
        <f>VLOOKUP(H8,$A$1:F$161,J$2,0)</f>
        <v>965.86</v>
      </c>
      <c r="K8">
        <f>VLOOKUP(H8,$A$1:F$161,K$2,0)</f>
        <v>871.41</v>
      </c>
      <c r="L8">
        <f>VLOOKUP(H8,$A$1:F$161,L$2,0)</f>
        <v>841.52</v>
      </c>
      <c r="M8">
        <f>VLOOKUP(H8,$A$1:F$161,M$2,0)</f>
        <v>780.55</v>
      </c>
    </row>
    <row r="9" spans="1:13" x14ac:dyDescent="0.25">
      <c r="A9" t="s">
        <v>8</v>
      </c>
      <c r="B9">
        <v>31.98</v>
      </c>
      <c r="C9">
        <v>31.98</v>
      </c>
      <c r="D9">
        <v>31.98</v>
      </c>
      <c r="E9">
        <v>31.98</v>
      </c>
      <c r="F9">
        <v>31.98</v>
      </c>
      <c r="H9" t="s">
        <v>14</v>
      </c>
      <c r="I9">
        <f>VLOOKUP(H9,$A$1:F$161,I$2,0)</f>
        <v>1.88</v>
      </c>
      <c r="J9">
        <f>VLOOKUP(H9,$A$1:F$161,J$2,0)</f>
        <v>1.18</v>
      </c>
      <c r="K9">
        <f>VLOOKUP(H9,$A$1:F$161,K$2,0)</f>
        <v>1.89</v>
      </c>
      <c r="L9">
        <f>VLOOKUP(H9,$A$1:F$161,L$2,0)</f>
        <v>0.15</v>
      </c>
      <c r="M9">
        <f>VLOOKUP(H9,$A$1:F$161,M$2,0)</f>
        <v>27.38</v>
      </c>
    </row>
    <row r="10" spans="1:13" x14ac:dyDescent="0.25">
      <c r="A10" t="s">
        <v>9</v>
      </c>
      <c r="B10">
        <v>31.98</v>
      </c>
      <c r="C10">
        <v>31.98</v>
      </c>
      <c r="D10">
        <v>31.98</v>
      </c>
      <c r="E10">
        <v>31.98</v>
      </c>
      <c r="F10">
        <v>31.98</v>
      </c>
      <c r="H10" t="s">
        <v>16</v>
      </c>
      <c r="I10">
        <f>VLOOKUP(H10,$A$1:F$161,I$2,0)</f>
        <v>3.25</v>
      </c>
      <c r="J10">
        <f>VLOOKUP(H10,$A$1:F$161,J$2,0)</f>
        <v>1.82</v>
      </c>
      <c r="K10">
        <f>VLOOKUP(H10,$A$1:F$161,K$2,0)</f>
        <v>2.5299999999999998</v>
      </c>
      <c r="L10">
        <f>VLOOKUP(H10,$A$1:F$161,L$2,0)</f>
        <v>2.93</v>
      </c>
      <c r="M10">
        <f>VLOOKUP(H10,$A$1:F$161,M$2,0)</f>
        <v>3.44</v>
      </c>
    </row>
    <row r="11" spans="1:13" x14ac:dyDescent="0.25">
      <c r="A11" t="s">
        <v>10</v>
      </c>
      <c r="B11">
        <v>1012.26</v>
      </c>
      <c r="C11">
        <v>933.87</v>
      </c>
      <c r="D11">
        <v>839.42</v>
      </c>
      <c r="E11">
        <v>809.54</v>
      </c>
      <c r="F11">
        <v>748.56</v>
      </c>
      <c r="H11" t="s">
        <v>17</v>
      </c>
      <c r="I11">
        <f>VLOOKUP(H11,$A$1:F$161,I$2,0)</f>
        <v>8.1999999999999993</v>
      </c>
      <c r="J11">
        <f>VLOOKUP(H11,$A$1:F$161,J$2,0)</f>
        <v>6.3</v>
      </c>
      <c r="K11">
        <f>VLOOKUP(H11,$A$1:F$161,K$2,0)</f>
        <v>3.41</v>
      </c>
      <c r="L11">
        <f>VLOOKUP(H11,$A$1:F$161,L$2,0)</f>
        <v>3.94</v>
      </c>
      <c r="M11">
        <f>VLOOKUP(H11,$A$1:F$161,M$2,0)</f>
        <v>3.45</v>
      </c>
    </row>
    <row r="12" spans="1:13" x14ac:dyDescent="0.25">
      <c r="A12" t="s">
        <v>11</v>
      </c>
      <c r="B12">
        <v>1012.26</v>
      </c>
      <c r="C12">
        <v>933.87</v>
      </c>
      <c r="D12">
        <v>839.42</v>
      </c>
      <c r="E12">
        <v>809.54</v>
      </c>
      <c r="F12">
        <v>748.56</v>
      </c>
      <c r="H12" t="s">
        <v>18</v>
      </c>
      <c r="I12">
        <f>VLOOKUP(H12,$A$1:F$161,I$2,0)</f>
        <v>13.84</v>
      </c>
      <c r="J12">
        <f>VLOOKUP(H12,$A$1:F$161,J$2,0)</f>
        <v>12.68</v>
      </c>
      <c r="K12">
        <f>VLOOKUP(H12,$A$1:F$161,K$2,0)</f>
        <v>7.83</v>
      </c>
      <c r="L12">
        <f>VLOOKUP(H12,$A$1:F$161,L$2,0)</f>
        <v>16.920000000000002</v>
      </c>
      <c r="M12">
        <f>VLOOKUP(H12,$A$1:F$161,M$2,0)</f>
        <v>38.58</v>
      </c>
    </row>
    <row r="13" spans="1:13" x14ac:dyDescent="0.25">
      <c r="A13" t="s">
        <v>12</v>
      </c>
      <c r="B13">
        <v>1044.25</v>
      </c>
      <c r="C13">
        <v>965.86</v>
      </c>
      <c r="D13">
        <v>871.41</v>
      </c>
      <c r="E13">
        <v>841.52</v>
      </c>
      <c r="F13">
        <v>780.55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502.69</v>
      </c>
      <c r="J14">
        <f>VLOOKUP(H14,$A$1:F$161,J$2,0)</f>
        <v>177.54</v>
      </c>
      <c r="K14">
        <f>VLOOKUP(H14,$A$1:F$161,K$2,0)</f>
        <v>112.88</v>
      </c>
      <c r="L14">
        <f>VLOOKUP(H14,$A$1:F$161,L$2,0)</f>
        <v>134.33000000000001</v>
      </c>
      <c r="M14">
        <f>VLOOKUP(H14,$A$1:F$161,M$2,0)</f>
        <v>100.46</v>
      </c>
    </row>
    <row r="15" spans="1:13" x14ac:dyDescent="0.25">
      <c r="A15" t="s">
        <v>14</v>
      </c>
      <c r="B15">
        <v>1.88</v>
      </c>
      <c r="C15">
        <v>1.18</v>
      </c>
      <c r="D15">
        <v>1.89</v>
      </c>
      <c r="E15">
        <v>0.15</v>
      </c>
      <c r="F15">
        <v>27.38</v>
      </c>
      <c r="H15" t="s">
        <v>22</v>
      </c>
      <c r="I15">
        <f>VLOOKUP(H15,$A$1:F$161,I$2,0)</f>
        <v>37.72</v>
      </c>
      <c r="J15">
        <f>VLOOKUP(H15,$A$1:F$161,J$2,0)</f>
        <v>33.65</v>
      </c>
      <c r="K15">
        <f>VLOOKUP(H15,$A$1:F$161,K$2,0)</f>
        <v>45.25</v>
      </c>
      <c r="L15">
        <f>VLOOKUP(H15,$A$1:F$161,L$2,0)</f>
        <v>40.72</v>
      </c>
      <c r="M15">
        <f>VLOOKUP(H15,$A$1:F$161,M$2,0)</f>
        <v>40.42</v>
      </c>
    </row>
    <row r="16" spans="1:13" x14ac:dyDescent="0.25">
      <c r="A16" t="s">
        <v>15</v>
      </c>
      <c r="B16">
        <v>0.51</v>
      </c>
      <c r="C16">
        <v>3.39</v>
      </c>
      <c r="D16">
        <v>0</v>
      </c>
      <c r="E16">
        <v>9.9</v>
      </c>
      <c r="F16">
        <v>4.32</v>
      </c>
      <c r="H16" t="s">
        <v>23</v>
      </c>
      <c r="I16">
        <f>VLOOKUP(H16,$A$1:F$161,I$2,0)</f>
        <v>2.59</v>
      </c>
      <c r="J16">
        <f>VLOOKUP(H16,$A$1:F$161,J$2,0)</f>
        <v>1.49</v>
      </c>
      <c r="K16">
        <f>VLOOKUP(H16,$A$1:F$161,K$2,0)</f>
        <v>2.69</v>
      </c>
      <c r="L16">
        <f>VLOOKUP(H16,$A$1:F$161,L$2,0)</f>
        <v>1.25</v>
      </c>
      <c r="M16">
        <f>VLOOKUP(H16,$A$1:F$161,M$2,0)</f>
        <v>0.86</v>
      </c>
    </row>
    <row r="17" spans="1:13" x14ac:dyDescent="0.25">
      <c r="A17" t="s">
        <v>16</v>
      </c>
      <c r="B17">
        <v>3.25</v>
      </c>
      <c r="C17">
        <v>1.82</v>
      </c>
      <c r="D17">
        <v>2.5299999999999998</v>
      </c>
      <c r="E17">
        <v>2.93</v>
      </c>
      <c r="F17">
        <v>3.44</v>
      </c>
      <c r="H17" t="s">
        <v>24</v>
      </c>
      <c r="I17">
        <f>VLOOKUP(H17,$A$1:F$161,I$2,0)</f>
        <v>832.05</v>
      </c>
      <c r="J17">
        <f>VLOOKUP(H17,$A$1:F$161,J$2,0)</f>
        <v>591.78</v>
      </c>
      <c r="K17">
        <f>VLOOKUP(H17,$A$1:F$161,K$2,0)</f>
        <v>726.78</v>
      </c>
      <c r="L17">
        <f>VLOOKUP(H17,$A$1:F$161,L$2,0)</f>
        <v>839.04</v>
      </c>
      <c r="M17">
        <f>VLOOKUP(H17,$A$1:F$161,M$2,0)</f>
        <v>789.22</v>
      </c>
    </row>
    <row r="18" spans="1:13" x14ac:dyDescent="0.25">
      <c r="A18" t="s">
        <v>17</v>
      </c>
      <c r="B18">
        <v>8.1999999999999993</v>
      </c>
      <c r="C18">
        <v>6.3</v>
      </c>
      <c r="D18">
        <v>3.41</v>
      </c>
      <c r="E18">
        <v>3.94</v>
      </c>
      <c r="F18">
        <v>3.45</v>
      </c>
      <c r="H18" t="s">
        <v>25</v>
      </c>
      <c r="I18">
        <f>VLOOKUP(H18,$A$1:F$161,I$2,0)</f>
        <v>1890.14</v>
      </c>
      <c r="J18">
        <f>VLOOKUP(H18,$A$1:F$161,J$2,0)</f>
        <v>1570.32</v>
      </c>
      <c r="K18">
        <f>VLOOKUP(H18,$A$1:F$161,K$2,0)</f>
        <v>1606.02</v>
      </c>
      <c r="L18">
        <f>VLOOKUP(H18,$A$1:F$161,L$2,0)</f>
        <v>1697.48</v>
      </c>
      <c r="M18">
        <f>VLOOKUP(H18,$A$1:F$161,M$2,0)</f>
        <v>1608.34</v>
      </c>
    </row>
    <row r="19" spans="1:13" x14ac:dyDescent="0.25">
      <c r="A19" t="s">
        <v>18</v>
      </c>
      <c r="B19">
        <v>13.84</v>
      </c>
      <c r="C19">
        <v>12.68</v>
      </c>
      <c r="D19">
        <v>7.83</v>
      </c>
      <c r="E19">
        <v>16.920000000000002</v>
      </c>
      <c r="F19">
        <v>38.58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289.04000000000002</v>
      </c>
      <c r="C21">
        <v>379.09</v>
      </c>
      <c r="D21">
        <v>565.97</v>
      </c>
      <c r="E21">
        <v>662.74</v>
      </c>
      <c r="F21">
        <v>647.48</v>
      </c>
      <c r="H21" t="s">
        <v>28</v>
      </c>
      <c r="I21">
        <f>VLOOKUP(H21,$A$1:F$161,I$2,0)</f>
        <v>224.74</v>
      </c>
      <c r="J21">
        <f>VLOOKUP(H21,$A$1:F$161,J$2,0)</f>
        <v>198.28</v>
      </c>
      <c r="K21">
        <f>VLOOKUP(H21,$A$1:F$161,K$2,0)</f>
        <v>201.53</v>
      </c>
      <c r="L21">
        <f>VLOOKUP(H21,$A$1:F$161,L$2,0)</f>
        <v>198.49</v>
      </c>
      <c r="M21">
        <f>VLOOKUP(H21,$A$1:F$161,M$2,0)</f>
        <v>188.62</v>
      </c>
    </row>
    <row r="22" spans="1:13" x14ac:dyDescent="0.25">
      <c r="A22" t="s">
        <v>21</v>
      </c>
      <c r="B22">
        <v>502.69</v>
      </c>
      <c r="C22">
        <v>177.54</v>
      </c>
      <c r="D22">
        <v>112.88</v>
      </c>
      <c r="E22">
        <v>134.33000000000001</v>
      </c>
      <c r="F22">
        <v>100.46</v>
      </c>
      <c r="H22" t="s">
        <v>29</v>
      </c>
      <c r="I22">
        <f>VLOOKUP(H22,$A$1:F$161,I$2,0)</f>
        <v>11.42</v>
      </c>
      <c r="J22">
        <f>VLOOKUP(H22,$A$1:F$161,J$2,0)</f>
        <v>22.22</v>
      </c>
      <c r="K22">
        <f>VLOOKUP(H22,$A$1:F$161,K$2,0)</f>
        <v>5.2</v>
      </c>
      <c r="L22">
        <f>VLOOKUP(H22,$A$1:F$161,L$2,0)</f>
        <v>18.34</v>
      </c>
      <c r="M22">
        <f>VLOOKUP(H22,$A$1:F$161,M$2,0)</f>
        <v>2.93</v>
      </c>
    </row>
    <row r="23" spans="1:13" x14ac:dyDescent="0.25">
      <c r="A23" t="s">
        <v>22</v>
      </c>
      <c r="B23">
        <v>37.72</v>
      </c>
      <c r="C23">
        <v>33.65</v>
      </c>
      <c r="D23">
        <v>45.25</v>
      </c>
      <c r="E23">
        <v>40.72</v>
      </c>
      <c r="F23">
        <v>40.42</v>
      </c>
      <c r="H23" t="s">
        <v>30</v>
      </c>
      <c r="I23">
        <f>VLOOKUP(H23,$A$1:F$161,I$2,0)</f>
        <v>237.24</v>
      </c>
      <c r="J23">
        <f>VLOOKUP(H23,$A$1:F$161,J$2,0)</f>
        <v>222.13</v>
      </c>
      <c r="K23">
        <f>VLOOKUP(H23,$A$1:F$161,K$2,0)</f>
        <v>210.43</v>
      </c>
      <c r="L23">
        <f>VLOOKUP(H23,$A$1:F$161,L$2,0)</f>
        <v>218.07</v>
      </c>
      <c r="M23">
        <f>VLOOKUP(H23,$A$1:F$161,M$2,0)</f>
        <v>194.12</v>
      </c>
    </row>
    <row r="24" spans="1:13" x14ac:dyDescent="0.25">
      <c r="A24" t="s">
        <v>23</v>
      </c>
      <c r="B24">
        <v>2.59</v>
      </c>
      <c r="C24">
        <v>1.49</v>
      </c>
      <c r="D24">
        <v>2.69</v>
      </c>
      <c r="E24">
        <v>1.25</v>
      </c>
      <c r="F24">
        <v>0.86</v>
      </c>
      <c r="H24" t="s">
        <v>32</v>
      </c>
      <c r="I24">
        <f>VLOOKUP(H24,$A$1:F$161,I$2,0)</f>
        <v>0</v>
      </c>
      <c r="J24">
        <f>VLOOKUP(H24,$A$1:F$161,J$2,0)</f>
        <v>0</v>
      </c>
      <c r="K24">
        <f>VLOOKUP(H24,$A$1:F$161,K$2,0)</f>
        <v>2.36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24</v>
      </c>
      <c r="B25">
        <v>832.05</v>
      </c>
      <c r="C25">
        <v>591.78</v>
      </c>
      <c r="D25">
        <v>726.78</v>
      </c>
      <c r="E25">
        <v>839.04</v>
      </c>
      <c r="F25">
        <v>789.22</v>
      </c>
      <c r="H25" t="s">
        <v>33</v>
      </c>
      <c r="I25">
        <f>VLOOKUP(H25,$A$1:F$161,I$2,0)</f>
        <v>2.57</v>
      </c>
      <c r="J25">
        <f>VLOOKUP(H25,$A$1:F$161,J$2,0)</f>
        <v>9.25</v>
      </c>
      <c r="K25">
        <f>VLOOKUP(H25,$A$1:F$161,K$2,0)</f>
        <v>7.61</v>
      </c>
      <c r="L25">
        <f>VLOOKUP(H25,$A$1:F$161,L$2,0)</f>
        <v>6.91</v>
      </c>
      <c r="M25">
        <f>VLOOKUP(H25,$A$1:F$161,M$2,0)</f>
        <v>6.94</v>
      </c>
    </row>
    <row r="26" spans="1:13" x14ac:dyDescent="0.25">
      <c r="A26" t="s">
        <v>25</v>
      </c>
      <c r="B26">
        <v>1890.14</v>
      </c>
      <c r="C26">
        <v>1570.32</v>
      </c>
      <c r="D26">
        <v>1606.02</v>
      </c>
      <c r="E26">
        <v>1697.48</v>
      </c>
      <c r="F26">
        <v>1608.34</v>
      </c>
      <c r="H26" t="s">
        <v>34</v>
      </c>
      <c r="I26">
        <f>VLOOKUP(H26,$A$1:F$161,I$2,0)</f>
        <v>42.71</v>
      </c>
      <c r="J26">
        <f>VLOOKUP(H26,$A$1:F$161,J$2,0)</f>
        <v>33.83</v>
      </c>
      <c r="K26">
        <f>VLOOKUP(H26,$A$1:F$161,K$2,0)</f>
        <v>39.17</v>
      </c>
      <c r="L26">
        <f>VLOOKUP(H26,$A$1:F$161,L$2,0)</f>
        <v>37.14</v>
      </c>
      <c r="M26">
        <f>VLOOKUP(H26,$A$1:F$161,M$2,0)</f>
        <v>30.13</v>
      </c>
    </row>
    <row r="27" spans="1:13" x14ac:dyDescent="0.25">
      <c r="A27" t="s">
        <v>26</v>
      </c>
      <c r="H27" t="s">
        <v>35</v>
      </c>
      <c r="I27">
        <f>VLOOKUP(H27,$A$1:F$161,I$2,0)</f>
        <v>406.02</v>
      </c>
      <c r="J27">
        <f>VLOOKUP(H27,$A$1:F$161,J$2,0)</f>
        <v>391.35</v>
      </c>
      <c r="K27">
        <f>VLOOKUP(H27,$A$1:F$161,K$2,0)</f>
        <v>387.07</v>
      </c>
      <c r="L27">
        <f>VLOOKUP(H27,$A$1:F$161,L$2,0)</f>
        <v>389.93</v>
      </c>
      <c r="M27">
        <f>VLOOKUP(H27,$A$1:F$161,M$2,0)</f>
        <v>318.43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224.74</v>
      </c>
      <c r="C29">
        <v>198.28</v>
      </c>
      <c r="D29">
        <v>201.53</v>
      </c>
      <c r="E29">
        <v>198.49</v>
      </c>
      <c r="F29">
        <v>188.62</v>
      </c>
      <c r="H29" t="s">
        <v>38</v>
      </c>
      <c r="I29">
        <f>VLOOKUP(H29,$A$1:F$161,I$2,0)</f>
        <v>1149.26</v>
      </c>
      <c r="J29">
        <f>VLOOKUP(H29,$A$1:F$161,J$2,0)</f>
        <v>949.45</v>
      </c>
      <c r="K29">
        <f>VLOOKUP(H29,$A$1:F$161,K$2,0)</f>
        <v>844.34</v>
      </c>
      <c r="L29">
        <f>VLOOKUP(H29,$A$1:F$161,L$2,0)</f>
        <v>899.41</v>
      </c>
      <c r="M29">
        <f>VLOOKUP(H29,$A$1:F$161,M$2,0)</f>
        <v>862.46</v>
      </c>
    </row>
    <row r="30" spans="1:13" x14ac:dyDescent="0.25">
      <c r="A30" t="s">
        <v>106</v>
      </c>
      <c r="B30">
        <v>1.07</v>
      </c>
      <c r="C30">
        <v>1.63</v>
      </c>
      <c r="D30">
        <v>3.69</v>
      </c>
      <c r="E30">
        <v>1.25</v>
      </c>
      <c r="F30">
        <v>2.56</v>
      </c>
      <c r="H30" t="s">
        <v>39</v>
      </c>
      <c r="I30">
        <f>VLOOKUP(H30,$A$1:F$161,I$2,0)</f>
        <v>235.25</v>
      </c>
      <c r="J30">
        <f>VLOOKUP(H30,$A$1:F$161,J$2,0)</f>
        <v>129.31</v>
      </c>
      <c r="K30">
        <f>VLOOKUP(H30,$A$1:F$161,K$2,0)</f>
        <v>247.13</v>
      </c>
      <c r="L30">
        <f>VLOOKUP(H30,$A$1:F$161,L$2,0)</f>
        <v>309.51</v>
      </c>
      <c r="M30">
        <f>VLOOKUP(H30,$A$1:F$161,M$2,0)</f>
        <v>350.17</v>
      </c>
    </row>
    <row r="31" spans="1:13" x14ac:dyDescent="0.25">
      <c r="A31" t="s">
        <v>29</v>
      </c>
      <c r="B31">
        <v>11.42</v>
      </c>
      <c r="C31">
        <v>22.22</v>
      </c>
      <c r="D31">
        <v>5.2</v>
      </c>
      <c r="E31">
        <v>18.34</v>
      </c>
      <c r="F31">
        <v>2.93</v>
      </c>
      <c r="H31" t="s">
        <v>40</v>
      </c>
      <c r="I31">
        <f>VLOOKUP(H31,$A$1:F$161,I$2,0)</f>
        <v>19.22</v>
      </c>
      <c r="J31">
        <f>VLOOKUP(H31,$A$1:F$161,J$2,0)</f>
        <v>14.36</v>
      </c>
      <c r="K31">
        <f>VLOOKUP(H31,$A$1:F$161,K$2,0)</f>
        <v>4.8499999999999996</v>
      </c>
      <c r="L31">
        <f>VLOOKUP(H31,$A$1:F$161,L$2,0)</f>
        <v>10.41</v>
      </c>
      <c r="M31">
        <f>VLOOKUP(H31,$A$1:F$161,M$2,0)</f>
        <v>8.56</v>
      </c>
    </row>
    <row r="32" spans="1:13" x14ac:dyDescent="0.25">
      <c r="A32" t="s">
        <v>30</v>
      </c>
      <c r="B32">
        <v>237.24</v>
      </c>
      <c r="C32">
        <v>222.13</v>
      </c>
      <c r="D32">
        <v>210.43</v>
      </c>
      <c r="E32">
        <v>218.07</v>
      </c>
      <c r="F32">
        <v>194.12</v>
      </c>
      <c r="H32" t="s">
        <v>41</v>
      </c>
      <c r="I32">
        <f>VLOOKUP(H32,$A$1:F$161,I$2,0)</f>
        <v>1.35</v>
      </c>
      <c r="J32">
        <f>VLOOKUP(H32,$A$1:F$161,J$2,0)</f>
        <v>4.43</v>
      </c>
      <c r="K32">
        <f>VLOOKUP(H32,$A$1:F$161,K$2,0)</f>
        <v>7.08</v>
      </c>
      <c r="L32">
        <f>VLOOKUP(H32,$A$1:F$161,L$2,0)</f>
        <v>0.99</v>
      </c>
      <c r="M32">
        <f>VLOOKUP(H32,$A$1:F$161,M$2,0)</f>
        <v>7.83</v>
      </c>
    </row>
    <row r="33" spans="1:13" x14ac:dyDescent="0.25">
      <c r="A33" t="s">
        <v>31</v>
      </c>
      <c r="B33">
        <v>123.49</v>
      </c>
      <c r="C33">
        <v>126.14</v>
      </c>
      <c r="D33">
        <v>127.51</v>
      </c>
      <c r="E33">
        <v>127.82</v>
      </c>
      <c r="F33">
        <v>87.25</v>
      </c>
      <c r="H33" t="s">
        <v>42</v>
      </c>
      <c r="I33">
        <f>VLOOKUP(H33,$A$1:F$161,I$2,0)</f>
        <v>79.040000000000006</v>
      </c>
      <c r="J33">
        <f>VLOOKUP(H33,$A$1:F$161,J$2,0)</f>
        <v>81.42</v>
      </c>
      <c r="K33">
        <f>VLOOKUP(H33,$A$1:F$161,K$2,0)</f>
        <v>115.53</v>
      </c>
      <c r="L33">
        <f>VLOOKUP(H33,$A$1:F$161,L$2,0)</f>
        <v>87.23</v>
      </c>
      <c r="M33">
        <f>VLOOKUP(H33,$A$1:F$161,M$2,0)</f>
        <v>60.9</v>
      </c>
    </row>
    <row r="34" spans="1:13" x14ac:dyDescent="0.25">
      <c r="A34" t="s">
        <v>32</v>
      </c>
      <c r="B34">
        <v>0</v>
      </c>
      <c r="C34">
        <v>0</v>
      </c>
      <c r="D34">
        <v>2.36</v>
      </c>
      <c r="E34">
        <v>0</v>
      </c>
      <c r="F34">
        <v>0</v>
      </c>
      <c r="H34" t="s">
        <v>43</v>
      </c>
      <c r="I34">
        <f>VLOOKUP(H34,$A$1:F$161,I$2,0)</f>
        <v>1484.12</v>
      </c>
      <c r="J34">
        <f>VLOOKUP(H34,$A$1:F$161,J$2,0)</f>
        <v>1178.97</v>
      </c>
      <c r="K34">
        <f>VLOOKUP(H34,$A$1:F$161,K$2,0)</f>
        <v>1218.94</v>
      </c>
      <c r="L34">
        <f>VLOOKUP(H34,$A$1:F$161,L$2,0)</f>
        <v>1307.55</v>
      </c>
      <c r="M34">
        <f>VLOOKUP(H34,$A$1:F$161,M$2,0)</f>
        <v>1289.92</v>
      </c>
    </row>
    <row r="35" spans="1:13" x14ac:dyDescent="0.25">
      <c r="A35" t="s">
        <v>33</v>
      </c>
      <c r="B35">
        <v>2.57</v>
      </c>
      <c r="C35">
        <v>9.25</v>
      </c>
      <c r="D35">
        <v>7.61</v>
      </c>
      <c r="E35">
        <v>6.91</v>
      </c>
      <c r="F35">
        <v>6.94</v>
      </c>
      <c r="H35" t="s">
        <v>44</v>
      </c>
      <c r="I35">
        <f>VLOOKUP(H35,$A$1:F$161,I$2,0)</f>
        <v>1890.14</v>
      </c>
      <c r="J35">
        <f>VLOOKUP(H35,$A$1:F$161,J$2,0)</f>
        <v>1570.32</v>
      </c>
      <c r="K35">
        <f>VLOOKUP(H35,$A$1:F$161,K$2,0)</f>
        <v>1606.02</v>
      </c>
      <c r="L35">
        <f>VLOOKUP(H35,$A$1:F$161,L$2,0)</f>
        <v>1697.48</v>
      </c>
      <c r="M35">
        <f>VLOOKUP(H35,$A$1:F$161,M$2,0)</f>
        <v>1608.34</v>
      </c>
    </row>
    <row r="36" spans="1:13" x14ac:dyDescent="0.25">
      <c r="A36" t="s">
        <v>34</v>
      </c>
      <c r="B36">
        <v>42.71</v>
      </c>
      <c r="C36">
        <v>33.83</v>
      </c>
      <c r="D36">
        <v>39.17</v>
      </c>
      <c r="E36">
        <v>37.14</v>
      </c>
      <c r="F36">
        <v>30.13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406.02</v>
      </c>
      <c r="C37">
        <v>391.35</v>
      </c>
      <c r="D37">
        <v>387.07</v>
      </c>
      <c r="E37">
        <v>389.93</v>
      </c>
      <c r="F37">
        <v>318.43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0</v>
      </c>
      <c r="J38">
        <f>VLOOKUP(H38,$A$1:F$161,J$2,0)</f>
        <v>391.17</v>
      </c>
      <c r="K38">
        <f>VLOOKUP(H38,$A$1:F$161,K$2,0)</f>
        <v>437.89</v>
      </c>
      <c r="L38">
        <f>VLOOKUP(H38,$A$1:F$161,L$2,0)</f>
        <v>533.88</v>
      </c>
      <c r="M38">
        <f>VLOOKUP(H38,$A$1:F$161,M$2,0)</f>
        <v>558.33000000000004</v>
      </c>
    </row>
    <row r="39" spans="1:13" x14ac:dyDescent="0.25">
      <c r="A39" t="s">
        <v>38</v>
      </c>
      <c r="B39">
        <v>1149.26</v>
      </c>
      <c r="C39">
        <v>949.45</v>
      </c>
      <c r="D39">
        <v>844.34</v>
      </c>
      <c r="E39">
        <v>899.41</v>
      </c>
      <c r="F39">
        <v>862.46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39</v>
      </c>
      <c r="B40">
        <v>235.25</v>
      </c>
      <c r="C40">
        <v>129.31</v>
      </c>
      <c r="D40">
        <v>247.13</v>
      </c>
      <c r="E40">
        <v>309.51</v>
      </c>
      <c r="F40">
        <v>350.17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40</v>
      </c>
      <c r="B41">
        <v>19.22</v>
      </c>
      <c r="C41">
        <v>14.36</v>
      </c>
      <c r="D41">
        <v>4.8499999999999996</v>
      </c>
      <c r="E41">
        <v>10.41</v>
      </c>
      <c r="F41">
        <v>8.56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41</v>
      </c>
      <c r="B42">
        <v>1.35</v>
      </c>
      <c r="C42">
        <v>4.43</v>
      </c>
      <c r="D42">
        <v>7.08</v>
      </c>
      <c r="E42">
        <v>0.99</v>
      </c>
      <c r="F42">
        <v>7.83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42</v>
      </c>
      <c r="B43">
        <v>79.040000000000006</v>
      </c>
      <c r="C43">
        <v>81.42</v>
      </c>
      <c r="D43">
        <v>115.53</v>
      </c>
      <c r="E43">
        <v>87.23</v>
      </c>
      <c r="F43">
        <v>60.9</v>
      </c>
      <c r="H43" t="s">
        <v>68</v>
      </c>
      <c r="I43">
        <f>VLOOKUP(H43,$A$1:F$161,I$2,0)</f>
        <v>2840</v>
      </c>
      <c r="J43">
        <f>VLOOKUP(H43,$A$1:F$161,J$2,0)</f>
        <v>2296.87</v>
      </c>
      <c r="K43">
        <f>VLOOKUP(H43,$A$1:F$161,K$2,0)</f>
        <v>2342.2800000000002</v>
      </c>
      <c r="L43">
        <f>VLOOKUP(H43,$A$1:F$161,L$2,0)</f>
        <v>2185.85</v>
      </c>
      <c r="M43">
        <f>VLOOKUP(H43,$A$1:F$161,M$2,0)</f>
        <v>2130.85</v>
      </c>
    </row>
    <row r="44" spans="1:13" x14ac:dyDescent="0.25">
      <c r="A44" t="s">
        <v>43</v>
      </c>
      <c r="B44">
        <v>1484.12</v>
      </c>
      <c r="C44">
        <v>1178.97</v>
      </c>
      <c r="D44">
        <v>1218.94</v>
      </c>
      <c r="E44">
        <v>1307.55</v>
      </c>
      <c r="F44">
        <v>1289.92</v>
      </c>
      <c r="H44" t="s">
        <v>70</v>
      </c>
      <c r="I44">
        <f>VLOOKUP(H44,$A$1:F$161,I$2,0)</f>
        <v>2840</v>
      </c>
      <c r="J44">
        <f>VLOOKUP(H44,$A$1:F$161,J$2,0)</f>
        <v>2296.87</v>
      </c>
      <c r="K44">
        <f>VLOOKUP(H44,$A$1:F$161,K$2,0)</f>
        <v>2342.2800000000002</v>
      </c>
      <c r="L44">
        <f>VLOOKUP(H44,$A$1:F$161,L$2,0)</f>
        <v>2185.85</v>
      </c>
      <c r="M44">
        <f>VLOOKUP(H44,$A$1:F$161,M$2,0)</f>
        <v>2130.85</v>
      </c>
    </row>
    <row r="45" spans="1:13" x14ac:dyDescent="0.25">
      <c r="A45" t="s">
        <v>44</v>
      </c>
      <c r="B45">
        <v>1890.14</v>
      </c>
      <c r="C45">
        <v>1570.32</v>
      </c>
      <c r="D45">
        <v>1606.02</v>
      </c>
      <c r="E45">
        <v>1697.48</v>
      </c>
      <c r="F45">
        <v>1608.34</v>
      </c>
      <c r="H45" t="s">
        <v>71</v>
      </c>
      <c r="I45">
        <f>VLOOKUP(H45,$A$1:F$161,I$2,0)</f>
        <v>0</v>
      </c>
      <c r="J45">
        <f>VLOOKUP(H45,$A$1:F$161,J$2,0)</f>
        <v>7.28</v>
      </c>
      <c r="K45">
        <f>VLOOKUP(H45,$A$1:F$161,K$2,0)</f>
        <v>7.78</v>
      </c>
      <c r="L45">
        <f>VLOOKUP(H45,$A$1:F$161,L$2,0)</f>
        <v>6.71</v>
      </c>
      <c r="M45">
        <f>VLOOKUP(H45,$A$1:F$161,M$2,0)</f>
        <v>8.48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2840</v>
      </c>
      <c r="J46">
        <f>VLOOKUP(H46,$A$1:F$161,J$2,0)</f>
        <v>2304.15</v>
      </c>
      <c r="K46">
        <f>VLOOKUP(H46,$A$1:F$161,K$2,0)</f>
        <v>2350.0700000000002</v>
      </c>
      <c r="L46">
        <f>VLOOKUP(H46,$A$1:F$161,L$2,0)</f>
        <v>2192.56</v>
      </c>
      <c r="M46">
        <f>VLOOKUP(H46,$A$1:F$161,M$2,0)</f>
        <v>2139.33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23.59</v>
      </c>
      <c r="J47">
        <f>VLOOKUP(H47,$A$1:F$161,J$2,0)</f>
        <v>22.21</v>
      </c>
      <c r="K47">
        <f>VLOOKUP(H47,$A$1:F$161,K$2,0)</f>
        <v>27.72</v>
      </c>
      <c r="L47">
        <f>VLOOKUP(H47,$A$1:F$161,L$2,0)</f>
        <v>17.54</v>
      </c>
      <c r="M47">
        <f>VLOOKUP(H47,$A$1:F$161,M$2,0)</f>
        <v>17.32</v>
      </c>
    </row>
    <row r="48" spans="1:13" x14ac:dyDescent="0.25">
      <c r="A48" t="s">
        <v>47</v>
      </c>
      <c r="B48">
        <v>0</v>
      </c>
      <c r="C48">
        <v>391.17</v>
      </c>
      <c r="D48">
        <v>437.89</v>
      </c>
      <c r="E48">
        <v>533.88</v>
      </c>
      <c r="F48">
        <v>558.33000000000004</v>
      </c>
      <c r="H48" t="s">
        <v>74</v>
      </c>
      <c r="I48">
        <f>VLOOKUP(H48,$A$1:F$161,I$2,0)</f>
        <v>2863.58</v>
      </c>
      <c r="J48">
        <f>VLOOKUP(H48,$A$1:F$161,J$2,0)</f>
        <v>2326.36</v>
      </c>
      <c r="K48">
        <f>VLOOKUP(H48,$A$1:F$161,K$2,0)</f>
        <v>2377.79</v>
      </c>
      <c r="L48">
        <f>VLOOKUP(H48,$A$1:F$161,L$2,0)</f>
        <v>2210.09</v>
      </c>
      <c r="M48">
        <f>VLOOKUP(H48,$A$1:F$161,M$2,0)</f>
        <v>2156.66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155</v>
      </c>
      <c r="B50">
        <v>0.15</v>
      </c>
      <c r="C50">
        <v>0.37</v>
      </c>
      <c r="D50">
        <v>0.82</v>
      </c>
      <c r="E50">
        <v>1.75</v>
      </c>
      <c r="F50">
        <v>0.37</v>
      </c>
      <c r="H50" t="s">
        <v>76</v>
      </c>
      <c r="I50">
        <f>VLOOKUP(H50,$A$1:F$161,I$2,0)</f>
        <v>1640.73</v>
      </c>
      <c r="J50">
        <f>VLOOKUP(H50,$A$1:F$161,J$2,0)</f>
        <v>1777.95</v>
      </c>
      <c r="K50">
        <f>VLOOKUP(H50,$A$1:F$161,K$2,0)</f>
        <v>1620.31</v>
      </c>
      <c r="L50">
        <f>VLOOKUP(H50,$A$1:F$161,L$2,0)</f>
        <v>1843.77</v>
      </c>
      <c r="M50">
        <f>VLOOKUP(H50,$A$1:F$161,M$2,0)</f>
        <v>1807.32</v>
      </c>
    </row>
    <row r="51" spans="1:13" x14ac:dyDescent="0.25">
      <c r="A51" t="s">
        <v>156</v>
      </c>
      <c r="B51">
        <v>0.21</v>
      </c>
      <c r="C51">
        <v>0</v>
      </c>
      <c r="D51">
        <v>0</v>
      </c>
      <c r="E51">
        <v>0.08</v>
      </c>
      <c r="F51">
        <v>0</v>
      </c>
      <c r="H51" t="s">
        <v>77</v>
      </c>
      <c r="I51">
        <f>VLOOKUP(H51,$A$1:F$161,I$2,0)</f>
        <v>544.36</v>
      </c>
      <c r="J51">
        <f>VLOOKUP(H51,$A$1:F$161,J$2,0)</f>
        <v>199.47</v>
      </c>
      <c r="K51">
        <f>VLOOKUP(H51,$A$1:F$161,K$2,0)</f>
        <v>310.60000000000002</v>
      </c>
      <c r="L51">
        <f>VLOOKUP(H51,$A$1:F$161,L$2,0)</f>
        <v>17.32</v>
      </c>
      <c r="M51">
        <f>VLOOKUP(H51,$A$1:F$161,M$2,0)</f>
        <v>21.63</v>
      </c>
    </row>
    <row r="52" spans="1:13" x14ac:dyDescent="0.25">
      <c r="A52" t="s">
        <v>152</v>
      </c>
      <c r="B52">
        <v>0.96</v>
      </c>
      <c r="C52">
        <v>1.1399999999999999</v>
      </c>
      <c r="D52">
        <v>0.31</v>
      </c>
      <c r="E52">
        <v>6.08</v>
      </c>
      <c r="F52">
        <v>8.52</v>
      </c>
      <c r="H52" t="s">
        <v>78</v>
      </c>
      <c r="I52">
        <f>VLOOKUP(H52,$A$1:F$161,I$2,0)</f>
        <v>18.04</v>
      </c>
      <c r="J52">
        <f>VLOOKUP(H52,$A$1:F$161,J$2,0)</f>
        <v>-125.35</v>
      </c>
      <c r="K52">
        <f>VLOOKUP(H52,$A$1:F$161,K$2,0)</f>
        <v>7.18</v>
      </c>
      <c r="L52">
        <f>VLOOKUP(H52,$A$1:F$161,L$2,0)</f>
        <v>-62.37</v>
      </c>
      <c r="M52">
        <f>VLOOKUP(H52,$A$1:F$161,M$2,0)</f>
        <v>-71.98</v>
      </c>
    </row>
    <row r="53" spans="1:13" ht="24" customHeight="1" x14ac:dyDescent="0.25">
      <c r="A53" t="s">
        <v>49</v>
      </c>
      <c r="H53" t="s">
        <v>79</v>
      </c>
      <c r="I53">
        <f>VLOOKUP(H53,$A$1:F$161,I$2,0)</f>
        <v>78.02</v>
      </c>
      <c r="J53">
        <f>VLOOKUP(H53,$A$1:F$161,J$2,0)</f>
        <v>65.790000000000006</v>
      </c>
      <c r="K53">
        <f>VLOOKUP(H53,$A$1:F$161,K$2,0)</f>
        <v>62.61</v>
      </c>
      <c r="L53">
        <f>VLOOKUP(H53,$A$1:F$161,L$2,0)</f>
        <v>60.55</v>
      </c>
      <c r="M53">
        <f>VLOOKUP(H53,$A$1:F$161,M$2,0)</f>
        <v>57.37</v>
      </c>
    </row>
    <row r="54" spans="1:13" x14ac:dyDescent="0.25">
      <c r="A54" t="s">
        <v>50</v>
      </c>
      <c r="B54">
        <v>68.33</v>
      </c>
      <c r="C54">
        <v>35.28</v>
      </c>
      <c r="D54">
        <v>41.12</v>
      </c>
      <c r="E54">
        <v>22.71</v>
      </c>
      <c r="F54">
        <v>26.89</v>
      </c>
      <c r="H54" t="s">
        <v>80</v>
      </c>
      <c r="I54">
        <f>VLOOKUP(H54,$A$1:F$161,I$2,0)</f>
        <v>22.79</v>
      </c>
      <c r="J54">
        <f>VLOOKUP(H54,$A$1:F$161,J$2,0)</f>
        <v>33.64</v>
      </c>
      <c r="K54">
        <f>VLOOKUP(H54,$A$1:F$161,K$2,0)</f>
        <v>60.1</v>
      </c>
      <c r="L54">
        <f>VLOOKUP(H54,$A$1:F$161,L$2,0)</f>
        <v>76.44</v>
      </c>
      <c r="M54">
        <f>VLOOKUP(H54,$A$1:F$161,M$2,0)</f>
        <v>85.3</v>
      </c>
    </row>
    <row r="55" spans="1:13" ht="48" customHeight="1" x14ac:dyDescent="0.25">
      <c r="A55" t="s">
        <v>51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52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32.47</v>
      </c>
      <c r="J56">
        <f>VLOOKUP(H56,$A$1:F$161,J$2,0)</f>
        <v>25.86</v>
      </c>
      <c r="K56">
        <f>VLOOKUP(H56,$A$1:F$161,K$2,0)</f>
        <v>26.45</v>
      </c>
      <c r="L56">
        <f>VLOOKUP(H56,$A$1:F$161,L$2,0)</f>
        <v>23.36</v>
      </c>
      <c r="M56">
        <f>VLOOKUP(H56,$A$1:F$161,M$2,0)</f>
        <v>18.100000000000001</v>
      </c>
    </row>
    <row r="57" spans="1:13" ht="24" customHeight="1" x14ac:dyDescent="0.25">
      <c r="A57" t="s">
        <v>54</v>
      </c>
      <c r="H57" t="s">
        <v>83</v>
      </c>
      <c r="I57">
        <f>VLOOKUP(H57,$A$1:F$161,I$2,0)</f>
        <v>378.43</v>
      </c>
      <c r="J57">
        <f>VLOOKUP(H57,$A$1:F$161,J$2,0)</f>
        <v>203.25</v>
      </c>
      <c r="K57">
        <f>VLOOKUP(H57,$A$1:F$161,K$2,0)</f>
        <v>177.89</v>
      </c>
      <c r="L57">
        <f>VLOOKUP(H57,$A$1:F$161,L$2,0)</f>
        <v>167.79</v>
      </c>
      <c r="M57">
        <f>VLOOKUP(H57,$A$1:F$161,M$2,0)</f>
        <v>185.34</v>
      </c>
    </row>
    <row r="58" spans="1:13" x14ac:dyDescent="0.25">
      <c r="A58" t="s">
        <v>55</v>
      </c>
      <c r="B58">
        <v>1187.8800000000001</v>
      </c>
      <c r="C58">
        <v>1025.56</v>
      </c>
      <c r="D58">
        <v>992.26</v>
      </c>
      <c r="E58">
        <v>887.77</v>
      </c>
      <c r="F58">
        <v>864.1</v>
      </c>
      <c r="H58" t="s">
        <v>84</v>
      </c>
      <c r="I58">
        <f>VLOOKUP(H58,$A$1:F$161,I$2,0)</f>
        <v>2714.83</v>
      </c>
      <c r="J58">
        <f>VLOOKUP(H58,$A$1:F$161,J$2,0)</f>
        <v>2180.61</v>
      </c>
      <c r="K58">
        <f>VLOOKUP(H58,$A$1:F$161,K$2,0)</f>
        <v>2265.14</v>
      </c>
      <c r="L58">
        <f>VLOOKUP(H58,$A$1:F$161,L$2,0)</f>
        <v>2126.87</v>
      </c>
      <c r="M58">
        <f>VLOOKUP(H58,$A$1:F$161,M$2,0)</f>
        <v>2103.09</v>
      </c>
    </row>
    <row r="59" spans="1:13" x14ac:dyDescent="0.25">
      <c r="A59" t="s">
        <v>56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148.76</v>
      </c>
      <c r="J59">
        <f>VLOOKUP(H59,$A$1:F$161,J$2,0)</f>
        <v>145.75</v>
      </c>
      <c r="K59">
        <f>VLOOKUP(H59,$A$1:F$161,K$2,0)</f>
        <v>112.65</v>
      </c>
      <c r="L59">
        <f>VLOOKUP(H59,$A$1:F$161,L$2,0)</f>
        <v>83.22</v>
      </c>
      <c r="M59">
        <f>VLOOKUP(H59,$A$1:F$161,M$2,0)</f>
        <v>53.57</v>
      </c>
    </row>
    <row r="60" spans="1:13" ht="15" customHeight="1" x14ac:dyDescent="0.25">
      <c r="A60" t="s">
        <v>57</v>
      </c>
      <c r="H60" t="s">
        <v>87</v>
      </c>
      <c r="I60">
        <f>VLOOKUP(H60,$A$1:F$161,I$2,0)</f>
        <v>148.76</v>
      </c>
      <c r="J60">
        <f>VLOOKUP(H60,$A$1:F$161,J$2,0)</f>
        <v>145.75</v>
      </c>
      <c r="K60">
        <f>VLOOKUP(H60,$A$1:F$161,K$2,0)</f>
        <v>112.65</v>
      </c>
      <c r="L60">
        <f>VLOOKUP(H60,$A$1:F$161,L$2,0)</f>
        <v>83.22</v>
      </c>
      <c r="M60">
        <f>VLOOKUP(H60,$A$1:F$161,M$2,0)</f>
        <v>53.57</v>
      </c>
    </row>
    <row r="61" spans="1:13" x14ac:dyDescent="0.25">
      <c r="A61" t="s">
        <v>58</v>
      </c>
      <c r="B61">
        <v>8.3699999999999992</v>
      </c>
      <c r="C61">
        <v>8.3699999999999992</v>
      </c>
      <c r="D61">
        <v>8.3699999999999992</v>
      </c>
      <c r="E61">
        <v>8.3699999999999992</v>
      </c>
      <c r="F61">
        <v>8.3699999999999992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ht="24" customHeight="1" x14ac:dyDescent="0.25">
      <c r="A62" t="s">
        <v>59</v>
      </c>
      <c r="H62" t="s">
        <v>89</v>
      </c>
      <c r="I62">
        <f>VLOOKUP(H62,$A$1:F$161,I$2,0)</f>
        <v>37.68</v>
      </c>
      <c r="J62">
        <f>VLOOKUP(H62,$A$1:F$161,J$2,0)</f>
        <v>36.47</v>
      </c>
      <c r="K62">
        <f>VLOOKUP(H62,$A$1:F$161,K$2,0)</f>
        <v>31.93</v>
      </c>
      <c r="L62">
        <f>VLOOKUP(H62,$A$1:F$161,L$2,0)</f>
        <v>27.99</v>
      </c>
      <c r="M62">
        <f>VLOOKUP(H62,$A$1:F$161,M$2,0)</f>
        <v>13.09</v>
      </c>
    </row>
    <row r="63" spans="1:13" x14ac:dyDescent="0.25">
      <c r="A63" t="s">
        <v>60</v>
      </c>
      <c r="B63" t="s">
        <v>53</v>
      </c>
      <c r="C63" t="s">
        <v>53</v>
      </c>
      <c r="D63" t="s">
        <v>53</v>
      </c>
      <c r="E63" t="s">
        <v>53</v>
      </c>
      <c r="F63" t="s">
        <v>53</v>
      </c>
      <c r="H63" t="s">
        <v>90</v>
      </c>
      <c r="I63">
        <f>VLOOKUP(H63,$A$1:F$161,I$2,0)</f>
        <v>-2.27</v>
      </c>
      <c r="J63">
        <f>VLOOKUP(H63,$A$1:F$161,J$2,0)</f>
        <v>2.13</v>
      </c>
      <c r="K63">
        <f>VLOOKUP(H63,$A$1:F$161,K$2,0)</f>
        <v>-4.4400000000000004</v>
      </c>
      <c r="L63">
        <f>VLOOKUP(H63,$A$1:F$161,L$2,0)</f>
        <v>0.74</v>
      </c>
      <c r="M63">
        <f>VLOOKUP(H63,$A$1:F$161,M$2,0)</f>
        <v>-1.47</v>
      </c>
    </row>
    <row r="64" spans="1:13" x14ac:dyDescent="0.25">
      <c r="A64" t="s">
        <v>61</v>
      </c>
      <c r="B64">
        <v>123.49</v>
      </c>
      <c r="C64">
        <v>126.94</v>
      </c>
      <c r="D64">
        <v>128.30000000000001</v>
      </c>
      <c r="E64">
        <v>127.81</v>
      </c>
      <c r="F64">
        <v>86.6</v>
      </c>
      <c r="H64" t="s">
        <v>112</v>
      </c>
      <c r="I64">
        <f>VLOOKUP(H64,$A$1:F$161,I$2,0)</f>
        <v>1.1000000000000001</v>
      </c>
      <c r="J64">
        <f>VLOOKUP(H64,$A$1:F$161,J$2,0)</f>
        <v>0.67</v>
      </c>
      <c r="K64">
        <f>VLOOKUP(H64,$A$1:F$161,K$2,0)</f>
        <v>0</v>
      </c>
      <c r="L64">
        <f>VLOOKUP(H64,$A$1:F$161,L$2,0)</f>
        <v>0</v>
      </c>
      <c r="M64">
        <f>VLOOKUP(H64,$A$1:F$161,M$2,0)</f>
        <v>0</v>
      </c>
    </row>
    <row r="65" spans="1:13" ht="24" customHeight="1" x14ac:dyDescent="0.25">
      <c r="A65" t="s">
        <v>62</v>
      </c>
      <c r="H65" t="s">
        <v>91</v>
      </c>
      <c r="I65">
        <f>VLOOKUP(H65,$A$1:F$161,I$2,0)</f>
        <v>36.51</v>
      </c>
      <c r="J65">
        <f>VLOOKUP(H65,$A$1:F$161,J$2,0)</f>
        <v>39.270000000000003</v>
      </c>
      <c r="K65">
        <f>VLOOKUP(H65,$A$1:F$161,K$2,0)</f>
        <v>27.49</v>
      </c>
      <c r="L65">
        <f>VLOOKUP(H65,$A$1:F$161,L$2,0)</f>
        <v>28.74</v>
      </c>
      <c r="M65">
        <f>VLOOKUP(H65,$A$1:F$161,M$2,0)</f>
        <v>11.62</v>
      </c>
    </row>
    <row r="66" spans="1:13" x14ac:dyDescent="0.25">
      <c r="A66" t="s">
        <v>63</v>
      </c>
      <c r="B66" t="s">
        <v>53</v>
      </c>
      <c r="C66" t="s">
        <v>53</v>
      </c>
      <c r="D66" t="s">
        <v>53</v>
      </c>
      <c r="E66" t="s">
        <v>53</v>
      </c>
      <c r="F66" t="s">
        <v>53</v>
      </c>
      <c r="H66" t="s">
        <v>92</v>
      </c>
      <c r="I66">
        <f>VLOOKUP(H66,$A$1:F$161,I$2,0)</f>
        <v>112.25</v>
      </c>
      <c r="J66">
        <f>VLOOKUP(H66,$A$1:F$161,J$2,0)</f>
        <v>106.48</v>
      </c>
      <c r="K66">
        <f>VLOOKUP(H66,$A$1:F$161,K$2,0)</f>
        <v>85.16</v>
      </c>
      <c r="L66">
        <f>VLOOKUP(H66,$A$1:F$161,L$2,0)</f>
        <v>54.49</v>
      </c>
      <c r="M66">
        <f>VLOOKUP(H66,$A$1:F$161,M$2,0)</f>
        <v>41.96</v>
      </c>
    </row>
    <row r="67" spans="1:13" x14ac:dyDescent="0.25">
      <c r="A67" t="s">
        <v>64</v>
      </c>
      <c r="B67" t="s">
        <v>53</v>
      </c>
      <c r="C67" t="s">
        <v>53</v>
      </c>
      <c r="D67" t="s">
        <v>53</v>
      </c>
      <c r="E67" t="s">
        <v>53</v>
      </c>
      <c r="F67" t="s">
        <v>53</v>
      </c>
      <c r="H67" t="s">
        <v>93</v>
      </c>
      <c r="I67">
        <f>VLOOKUP(H67,$A$1:F$161,I$2,0)</f>
        <v>112.25</v>
      </c>
      <c r="J67">
        <f>VLOOKUP(H67,$A$1:F$161,J$2,0)</f>
        <v>106.48</v>
      </c>
      <c r="K67">
        <f>VLOOKUP(H67,$A$1:F$161,K$2,0)</f>
        <v>85.16</v>
      </c>
      <c r="L67">
        <f>VLOOKUP(H67,$A$1:F$161,L$2,0)</f>
        <v>54.49</v>
      </c>
      <c r="M67">
        <f>VLOOKUP(H67,$A$1:F$161,M$2,0)</f>
        <v>41.96</v>
      </c>
    </row>
    <row r="68" spans="1:13" x14ac:dyDescent="0.25">
      <c r="H68" t="s">
        <v>94</v>
      </c>
      <c r="I68">
        <f>VLOOKUP(H68,$A$1:F$161,I$2,0)</f>
        <v>112.25</v>
      </c>
      <c r="J68">
        <f>VLOOKUP(H68,$A$1:F$161,J$2,0)</f>
        <v>106.48</v>
      </c>
      <c r="K68">
        <f>VLOOKUP(H68,$A$1:F$161,K$2,0)</f>
        <v>85.16</v>
      </c>
      <c r="L68">
        <f>VLOOKUP(H68,$A$1:F$161,L$2,0)</f>
        <v>54.49</v>
      </c>
      <c r="M68">
        <f>VLOOKUP(H68,$A$1:F$161,M$2,0)</f>
        <v>41.96</v>
      </c>
    </row>
    <row r="69" spans="1:13" x14ac:dyDescent="0.25">
      <c r="H69" t="s">
        <v>101</v>
      </c>
      <c r="I69">
        <f>VLOOKUP(H69,$A$1:F$161,I$2,0)</f>
        <v>31.98</v>
      </c>
      <c r="J69">
        <f>VLOOKUP(H69,$A$1:F$161,J$2,0)</f>
        <v>31.98</v>
      </c>
      <c r="K69">
        <f>VLOOKUP(H69,$A$1:F$161,K$2,0)</f>
        <v>20.79</v>
      </c>
      <c r="L69">
        <f>VLOOKUP(H69,$A$1:F$161,L$2,0)</f>
        <v>4.8</v>
      </c>
      <c r="M69">
        <f>VLOOKUP(H69,$A$1:F$161,M$2,0)</f>
        <v>4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4.2699999999999996</v>
      </c>
      <c r="L70">
        <f>VLOOKUP(H70,$A$1:F$161,L$2,0)</f>
        <v>0.99</v>
      </c>
      <c r="M70">
        <f>VLOOKUP(H70,$A$1:F$161,M$2,0)</f>
        <v>0.81</v>
      </c>
    </row>
    <row r="71" spans="1:13" ht="15" customHeight="1" x14ac:dyDescent="0.25">
      <c r="A71" t="s">
        <v>65</v>
      </c>
      <c r="H71" t="s">
        <v>103</v>
      </c>
      <c r="I71">
        <f>VLOOKUP(H71,$A$1:F$161,I$2,0)</f>
        <v>100</v>
      </c>
      <c r="J71">
        <f>VLOOKUP(H71,$A$1:F$161,J$2,0)</f>
        <v>100</v>
      </c>
      <c r="K71">
        <f>VLOOKUP(H71,$A$1:F$161,K$2,0)</f>
        <v>50</v>
      </c>
      <c r="L71">
        <f>VLOOKUP(H71,$A$1:F$161,L$2,0)</f>
        <v>15</v>
      </c>
      <c r="M71">
        <f>VLOOKUP(H71,$A$1:F$161,M$2,0)</f>
        <v>15</v>
      </c>
    </row>
    <row r="90" spans="1:6" x14ac:dyDescent="0.25">
      <c r="A90" t="s">
        <v>154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2840</v>
      </c>
      <c r="C97">
        <v>2296.87</v>
      </c>
      <c r="D97">
        <v>2342.2800000000002</v>
      </c>
      <c r="E97">
        <v>2185.85</v>
      </c>
      <c r="F97">
        <v>2130.85</v>
      </c>
    </row>
    <row r="98" spans="1:6" x14ac:dyDescent="0.25">
      <c r="A98" t="s">
        <v>70</v>
      </c>
      <c r="B98">
        <v>2840</v>
      </c>
      <c r="C98">
        <v>2296.87</v>
      </c>
      <c r="D98">
        <v>2342.2800000000002</v>
      </c>
      <c r="E98">
        <v>2185.85</v>
      </c>
      <c r="F98">
        <v>2130.85</v>
      </c>
    </row>
    <row r="99" spans="1:6" x14ac:dyDescent="0.25">
      <c r="A99" t="s">
        <v>71</v>
      </c>
      <c r="B99">
        <v>0</v>
      </c>
      <c r="C99">
        <v>7.28</v>
      </c>
      <c r="D99">
        <v>7.78</v>
      </c>
      <c r="E99">
        <v>6.71</v>
      </c>
      <c r="F99">
        <v>8.48</v>
      </c>
    </row>
    <row r="100" spans="1:6" x14ac:dyDescent="0.25">
      <c r="A100" t="s">
        <v>72</v>
      </c>
      <c r="B100">
        <v>2840</v>
      </c>
      <c r="C100">
        <v>2304.15</v>
      </c>
      <c r="D100">
        <v>2350.0700000000002</v>
      </c>
      <c r="E100">
        <v>2192.56</v>
      </c>
      <c r="F100">
        <v>2139.33</v>
      </c>
    </row>
    <row r="101" spans="1:6" x14ac:dyDescent="0.25">
      <c r="A101" t="s">
        <v>73</v>
      </c>
      <c r="B101">
        <v>23.59</v>
      </c>
      <c r="C101">
        <v>22.21</v>
      </c>
      <c r="D101">
        <v>27.72</v>
      </c>
      <c r="E101">
        <v>17.54</v>
      </c>
      <c r="F101">
        <v>17.32</v>
      </c>
    </row>
    <row r="102" spans="1:6" x14ac:dyDescent="0.25">
      <c r="A102" t="s">
        <v>74</v>
      </c>
      <c r="B102">
        <v>2863.58</v>
      </c>
      <c r="C102">
        <v>2326.36</v>
      </c>
      <c r="D102">
        <v>2377.79</v>
      </c>
      <c r="E102">
        <v>2210.09</v>
      </c>
      <c r="F102">
        <v>2156.66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1640.73</v>
      </c>
      <c r="C104">
        <v>1777.95</v>
      </c>
      <c r="D104">
        <v>1620.31</v>
      </c>
      <c r="E104">
        <v>1843.77</v>
      </c>
      <c r="F104">
        <v>1807.32</v>
      </c>
    </row>
    <row r="105" spans="1:6" x14ac:dyDescent="0.25">
      <c r="A105" t="s">
        <v>77</v>
      </c>
      <c r="B105">
        <v>544.36</v>
      </c>
      <c r="C105">
        <v>199.47</v>
      </c>
      <c r="D105">
        <v>310.60000000000002</v>
      </c>
      <c r="E105">
        <v>17.32</v>
      </c>
      <c r="F105">
        <v>21.63</v>
      </c>
    </row>
    <row r="106" spans="1:6" x14ac:dyDescent="0.25">
      <c r="A106" t="s">
        <v>78</v>
      </c>
      <c r="B106">
        <v>18.04</v>
      </c>
      <c r="C106">
        <v>-125.35</v>
      </c>
      <c r="D106">
        <v>7.18</v>
      </c>
      <c r="E106">
        <v>-62.37</v>
      </c>
      <c r="F106">
        <v>-71.98</v>
      </c>
    </row>
    <row r="107" spans="1:6" x14ac:dyDescent="0.25">
      <c r="A107" t="s">
        <v>79</v>
      </c>
      <c r="B107">
        <v>78.02</v>
      </c>
      <c r="C107">
        <v>65.790000000000006</v>
      </c>
      <c r="D107">
        <v>62.61</v>
      </c>
      <c r="E107">
        <v>60.55</v>
      </c>
      <c r="F107">
        <v>57.37</v>
      </c>
    </row>
    <row r="108" spans="1:6" x14ac:dyDescent="0.25">
      <c r="A108" t="s">
        <v>80</v>
      </c>
      <c r="B108">
        <v>22.79</v>
      </c>
      <c r="C108">
        <v>33.64</v>
      </c>
      <c r="D108">
        <v>60.1</v>
      </c>
      <c r="E108">
        <v>76.44</v>
      </c>
      <c r="F108">
        <v>85.3</v>
      </c>
    </row>
    <row r="109" spans="1:6" x14ac:dyDescent="0.25">
      <c r="A109" t="s">
        <v>82</v>
      </c>
      <c r="B109">
        <v>32.47</v>
      </c>
      <c r="C109">
        <v>25.86</v>
      </c>
      <c r="D109">
        <v>26.45</v>
      </c>
      <c r="E109">
        <v>23.36</v>
      </c>
      <c r="F109">
        <v>18.100000000000001</v>
      </c>
    </row>
    <row r="110" spans="1:6" x14ac:dyDescent="0.25">
      <c r="A110" t="s">
        <v>83</v>
      </c>
      <c r="B110">
        <v>378.43</v>
      </c>
      <c r="C110">
        <v>203.25</v>
      </c>
      <c r="D110">
        <v>177.89</v>
      </c>
      <c r="E110">
        <v>167.79</v>
      </c>
      <c r="F110">
        <v>185.34</v>
      </c>
    </row>
    <row r="111" spans="1:6" x14ac:dyDescent="0.25">
      <c r="A111" t="s">
        <v>84</v>
      </c>
      <c r="B111">
        <v>2714.83</v>
      </c>
      <c r="C111">
        <v>2180.61</v>
      </c>
      <c r="D111">
        <v>2265.14</v>
      </c>
      <c r="E111">
        <v>2126.87</v>
      </c>
      <c r="F111">
        <v>2103.09</v>
      </c>
    </row>
    <row r="112" spans="1:6" x14ac:dyDescent="0.25">
      <c r="B112">
        <v>44621</v>
      </c>
      <c r="C112">
        <v>44256</v>
      </c>
      <c r="D112">
        <v>43891</v>
      </c>
      <c r="E112">
        <v>43525</v>
      </c>
      <c r="F112">
        <v>43160</v>
      </c>
    </row>
    <row r="114" spans="1:6" x14ac:dyDescent="0.25">
      <c r="B114" t="s">
        <v>5</v>
      </c>
      <c r="C114" t="s">
        <v>5</v>
      </c>
      <c r="D114" t="s">
        <v>5</v>
      </c>
      <c r="E114" t="s">
        <v>5</v>
      </c>
      <c r="F114" t="s">
        <v>5</v>
      </c>
    </row>
    <row r="116" spans="1:6" x14ac:dyDescent="0.25">
      <c r="A116" t="s">
        <v>85</v>
      </c>
      <c r="B116">
        <v>148.76</v>
      </c>
      <c r="C116">
        <v>145.75</v>
      </c>
      <c r="D116">
        <v>112.65</v>
      </c>
      <c r="E116">
        <v>83.22</v>
      </c>
      <c r="F116">
        <v>53.57</v>
      </c>
    </row>
    <row r="117" spans="1:6" x14ac:dyDescent="0.25">
      <c r="A117" t="s">
        <v>87</v>
      </c>
      <c r="B117">
        <v>148.76</v>
      </c>
      <c r="C117">
        <v>145.75</v>
      </c>
      <c r="D117">
        <v>112.65</v>
      </c>
      <c r="E117">
        <v>83.22</v>
      </c>
      <c r="F117">
        <v>53.57</v>
      </c>
    </row>
    <row r="118" spans="1:6" ht="24" customHeight="1" x14ac:dyDescent="0.25">
      <c r="A118" t="s">
        <v>88</v>
      </c>
    </row>
    <row r="119" spans="1:6" x14ac:dyDescent="0.25">
      <c r="A119" t="s">
        <v>89</v>
      </c>
      <c r="B119">
        <v>37.68</v>
      </c>
      <c r="C119">
        <v>36.47</v>
      </c>
      <c r="D119">
        <v>31.93</v>
      </c>
      <c r="E119">
        <v>27.99</v>
      </c>
      <c r="F119">
        <v>13.09</v>
      </c>
    </row>
    <row r="120" spans="1:6" x14ac:dyDescent="0.25">
      <c r="A120" t="s">
        <v>90</v>
      </c>
      <c r="B120">
        <v>-2.27</v>
      </c>
      <c r="C120">
        <v>2.13</v>
      </c>
      <c r="D120">
        <v>-4.4400000000000004</v>
      </c>
      <c r="E120">
        <v>0.74</v>
      </c>
      <c r="F120">
        <v>-1.47</v>
      </c>
    </row>
    <row r="121" spans="1:6" x14ac:dyDescent="0.25">
      <c r="A121" t="s">
        <v>112</v>
      </c>
      <c r="B121">
        <v>1.1000000000000001</v>
      </c>
      <c r="C121">
        <v>0.67</v>
      </c>
      <c r="D121">
        <v>0</v>
      </c>
      <c r="E121">
        <v>0</v>
      </c>
      <c r="F121">
        <v>0</v>
      </c>
    </row>
    <row r="122" spans="1:6" x14ac:dyDescent="0.25">
      <c r="A122" t="s">
        <v>91</v>
      </c>
      <c r="B122">
        <v>36.51</v>
      </c>
      <c r="C122">
        <v>39.270000000000003</v>
      </c>
      <c r="D122">
        <v>27.49</v>
      </c>
      <c r="E122">
        <v>28.74</v>
      </c>
      <c r="F122">
        <v>11.62</v>
      </c>
    </row>
    <row r="123" spans="1:6" x14ac:dyDescent="0.25">
      <c r="A123" t="s">
        <v>92</v>
      </c>
      <c r="B123">
        <v>112.25</v>
      </c>
      <c r="C123">
        <v>106.48</v>
      </c>
      <c r="D123">
        <v>85.16</v>
      </c>
      <c r="E123">
        <v>54.49</v>
      </c>
      <c r="F123">
        <v>41.96</v>
      </c>
    </row>
    <row r="124" spans="1:6" x14ac:dyDescent="0.25">
      <c r="A124" t="s">
        <v>93</v>
      </c>
      <c r="B124">
        <v>112.25</v>
      </c>
      <c r="C124">
        <v>106.48</v>
      </c>
      <c r="D124">
        <v>85.16</v>
      </c>
      <c r="E124">
        <v>54.49</v>
      </c>
      <c r="F124">
        <v>41.96</v>
      </c>
    </row>
    <row r="125" spans="1:6" x14ac:dyDescent="0.25">
      <c r="A125" t="s">
        <v>94</v>
      </c>
      <c r="B125">
        <v>112.25</v>
      </c>
      <c r="C125">
        <v>106.48</v>
      </c>
      <c r="D125">
        <v>85.16</v>
      </c>
      <c r="E125">
        <v>54.49</v>
      </c>
      <c r="F125">
        <v>41.96</v>
      </c>
    </row>
    <row r="126" spans="1:6" x14ac:dyDescent="0.25">
      <c r="B126">
        <v>44621</v>
      </c>
      <c r="C126">
        <v>44256</v>
      </c>
      <c r="D126">
        <v>43891</v>
      </c>
      <c r="E126">
        <v>43525</v>
      </c>
      <c r="F126">
        <v>43160</v>
      </c>
    </row>
    <row r="128" spans="1:6" x14ac:dyDescent="0.25">
      <c r="B128" t="s">
        <v>5</v>
      </c>
      <c r="C128" t="s">
        <v>5</v>
      </c>
      <c r="D128" t="s">
        <v>5</v>
      </c>
      <c r="E128" t="s">
        <v>5</v>
      </c>
      <c r="F128" t="s">
        <v>5</v>
      </c>
    </row>
    <row r="130" spans="1:6" ht="24" customHeight="1" x14ac:dyDescent="0.25">
      <c r="A130" t="s">
        <v>45</v>
      </c>
    </row>
    <row r="131" spans="1:6" ht="24" customHeight="1" x14ac:dyDescent="0.25">
      <c r="A131" t="s">
        <v>95</v>
      </c>
    </row>
    <row r="132" spans="1:6" x14ac:dyDescent="0.25">
      <c r="A132" t="s">
        <v>96</v>
      </c>
      <c r="B132">
        <v>3.51</v>
      </c>
      <c r="C132">
        <v>3.33</v>
      </c>
      <c r="D132">
        <v>2.66</v>
      </c>
      <c r="E132">
        <v>1.7</v>
      </c>
      <c r="F132">
        <v>1.49</v>
      </c>
    </row>
    <row r="133" spans="1:6" x14ac:dyDescent="0.25">
      <c r="A133" t="s">
        <v>97</v>
      </c>
      <c r="B133">
        <v>3.51</v>
      </c>
      <c r="C133">
        <v>3.33</v>
      </c>
      <c r="D133">
        <v>2.66</v>
      </c>
      <c r="E133">
        <v>1.7</v>
      </c>
      <c r="F133">
        <v>1.49</v>
      </c>
    </row>
    <row r="134" spans="1:6" ht="36" customHeight="1" x14ac:dyDescent="0.25">
      <c r="A134" t="s">
        <v>98</v>
      </c>
    </row>
    <row r="135" spans="1:6" ht="24" customHeight="1" x14ac:dyDescent="0.25">
      <c r="A135" t="s">
        <v>99</v>
      </c>
    </row>
    <row r="136" spans="1:6" ht="36" customHeight="1" x14ac:dyDescent="0.25">
      <c r="A136" t="s">
        <v>100</v>
      </c>
    </row>
    <row r="137" spans="1:6" x14ac:dyDescent="0.25">
      <c r="A137" t="s">
        <v>101</v>
      </c>
      <c r="B137">
        <v>31.98</v>
      </c>
      <c r="C137">
        <v>31.98</v>
      </c>
      <c r="D137">
        <v>20.79</v>
      </c>
      <c r="E137">
        <v>4.8</v>
      </c>
      <c r="F137">
        <v>4</v>
      </c>
    </row>
    <row r="138" spans="1:6" x14ac:dyDescent="0.25">
      <c r="A138" t="s">
        <v>102</v>
      </c>
      <c r="B138">
        <v>0</v>
      </c>
      <c r="C138">
        <v>0</v>
      </c>
      <c r="D138">
        <v>4.2699999999999996</v>
      </c>
      <c r="E138">
        <v>0.99</v>
      </c>
      <c r="F138">
        <v>0.81</v>
      </c>
    </row>
    <row r="139" spans="1:6" x14ac:dyDescent="0.25">
      <c r="A139" t="s">
        <v>103</v>
      </c>
      <c r="B139">
        <v>100</v>
      </c>
      <c r="C139">
        <v>100</v>
      </c>
      <c r="D139">
        <v>50</v>
      </c>
      <c r="E139">
        <v>15</v>
      </c>
      <c r="F139">
        <v>15</v>
      </c>
    </row>
    <row r="143" spans="1:6" ht="15" customHeight="1" x14ac:dyDescent="0.25">
      <c r="A143" t="s">
        <v>65</v>
      </c>
    </row>
  </sheetData>
  <hyperlinks>
    <hyperlink ref="B1" r:id="rId1" display="javascript:void(0);" xr:uid="{81E7615E-3A6C-4CF9-811A-C15D30761BD9}"/>
    <hyperlink ref="B90" r:id="rId2" display="javascript:void(0);" xr:uid="{80DA7381-3CC9-44DB-9390-3C5BC8279693}"/>
  </hyperlinks>
  <pageMargins left="0.7" right="0.7" top="0.75" bottom="0.75" header="0.3" footer="0.3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733B-C6A5-412A-9B18-5D12EB6ADDBD}">
  <sheetPr codeName="Sheet25"/>
  <dimension ref="A1:M142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157</v>
      </c>
      <c r="B1" t="s">
        <v>1</v>
      </c>
      <c r="H1" t="str">
        <f>A1</f>
        <v>Tasty Bite Eatables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2.57</v>
      </c>
      <c r="J4">
        <f>VLOOKUP(H4,$A$1:F$161,J$2,0)</f>
        <v>2.57</v>
      </c>
      <c r="K4">
        <f>VLOOKUP(H4,$A$1:F$161,K$2,0)</f>
        <v>2.57</v>
      </c>
      <c r="L4">
        <f>VLOOKUP(H4,$A$1:F$161,L$2,0)</f>
        <v>2.57</v>
      </c>
      <c r="M4">
        <f>VLOOKUP(H4,$A$1:F$161,M$2,0)</f>
        <v>2.57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2.57</v>
      </c>
      <c r="J5">
        <f>VLOOKUP(H5,$A$1:F$161,J$2,0)</f>
        <v>2.57</v>
      </c>
      <c r="K5">
        <f>VLOOKUP(H5,$A$1:F$161,K$2,0)</f>
        <v>2.57</v>
      </c>
      <c r="L5">
        <f>VLOOKUP(H5,$A$1:F$161,L$2,0)</f>
        <v>2.57</v>
      </c>
      <c r="M5">
        <f>VLOOKUP(H5,$A$1:F$161,M$2,0)</f>
        <v>2.57</v>
      </c>
    </row>
    <row r="6" spans="1:13" x14ac:dyDescent="0.25">
      <c r="H6" t="s">
        <v>10</v>
      </c>
      <c r="I6">
        <f>VLOOKUP(H6,$A$1:F$161,I$2,0)</f>
        <v>214.61</v>
      </c>
      <c r="J6">
        <f>VLOOKUP(H6,$A$1:F$161,J$2,0)</f>
        <v>204.05</v>
      </c>
      <c r="K6">
        <f>VLOOKUP(H6,$A$1:F$161,K$2,0)</f>
        <v>160.57</v>
      </c>
      <c r="L6">
        <f>VLOOKUP(H6,$A$1:F$161,L$2,0)</f>
        <v>129.43</v>
      </c>
      <c r="M6">
        <f>VLOOKUP(H6,$A$1:F$161,M$2,0)</f>
        <v>96.71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214.61</v>
      </c>
      <c r="J7">
        <f>VLOOKUP(H7,$A$1:F$161,J$2,0)</f>
        <v>204.05</v>
      </c>
      <c r="K7">
        <f>VLOOKUP(H7,$A$1:F$161,K$2,0)</f>
        <v>160.57</v>
      </c>
      <c r="L7">
        <f>VLOOKUP(H7,$A$1:F$161,L$2,0)</f>
        <v>129.43</v>
      </c>
      <c r="M7">
        <f>VLOOKUP(H7,$A$1:F$161,M$2,0)</f>
        <v>96.71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217.18</v>
      </c>
      <c r="J8">
        <f>VLOOKUP(H8,$A$1:F$161,J$2,0)</f>
        <v>206.62</v>
      </c>
      <c r="K8">
        <f>VLOOKUP(H8,$A$1:F$161,K$2,0)</f>
        <v>163.13999999999999</v>
      </c>
      <c r="L8">
        <f>VLOOKUP(H8,$A$1:F$161,L$2,0)</f>
        <v>132</v>
      </c>
      <c r="M8">
        <f>VLOOKUP(H8,$A$1:F$161,M$2,0)</f>
        <v>99.28</v>
      </c>
    </row>
    <row r="9" spans="1:13" x14ac:dyDescent="0.25">
      <c r="A9" t="s">
        <v>8</v>
      </c>
      <c r="B9">
        <v>2.57</v>
      </c>
      <c r="C9">
        <v>2.57</v>
      </c>
      <c r="D9">
        <v>2.57</v>
      </c>
      <c r="E9">
        <v>2.57</v>
      </c>
      <c r="F9">
        <v>2.57</v>
      </c>
      <c r="H9" t="s">
        <v>14</v>
      </c>
      <c r="I9">
        <f>VLOOKUP(H9,$A$1:F$161,I$2,0)</f>
        <v>43.56</v>
      </c>
      <c r="J9">
        <f>VLOOKUP(H9,$A$1:F$161,J$2,0)</f>
        <v>49.68</v>
      </c>
      <c r="K9">
        <f>VLOOKUP(H9,$A$1:F$161,K$2,0)</f>
        <v>20.78</v>
      </c>
      <c r="L9">
        <f>VLOOKUP(H9,$A$1:F$161,L$2,0)</f>
        <v>25.81</v>
      </c>
      <c r="M9">
        <f>VLOOKUP(H9,$A$1:F$161,M$2,0)</f>
        <v>30.57</v>
      </c>
    </row>
    <row r="10" spans="1:13" x14ac:dyDescent="0.25">
      <c r="A10" t="s">
        <v>9</v>
      </c>
      <c r="B10">
        <v>2.57</v>
      </c>
      <c r="C10">
        <v>2.57</v>
      </c>
      <c r="D10">
        <v>2.57</v>
      </c>
      <c r="E10">
        <v>2.57</v>
      </c>
      <c r="F10">
        <v>2.57</v>
      </c>
      <c r="H10" t="s">
        <v>16</v>
      </c>
      <c r="I10">
        <f>VLOOKUP(H10,$A$1:F$161,I$2,0)</f>
        <v>58.54</v>
      </c>
      <c r="J10">
        <f>VLOOKUP(H10,$A$1:F$161,J$2,0)</f>
        <v>63.7</v>
      </c>
      <c r="K10">
        <f>VLOOKUP(H10,$A$1:F$161,K$2,0)</f>
        <v>8.11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</v>
      </c>
      <c r="B11">
        <v>214.61</v>
      </c>
      <c r="C11">
        <v>204.05</v>
      </c>
      <c r="D11">
        <v>160.57</v>
      </c>
      <c r="E11">
        <v>129.43</v>
      </c>
      <c r="F11">
        <v>96.71</v>
      </c>
      <c r="H11" t="s">
        <v>17</v>
      </c>
      <c r="I11">
        <f>VLOOKUP(H11,$A$1:F$161,I$2,0)</f>
        <v>5.96</v>
      </c>
      <c r="J11">
        <f>VLOOKUP(H11,$A$1:F$161,J$2,0)</f>
        <v>7.36</v>
      </c>
      <c r="K11">
        <f>VLOOKUP(H11,$A$1:F$161,K$2,0)</f>
        <v>6.9</v>
      </c>
      <c r="L11">
        <f>VLOOKUP(H11,$A$1:F$161,L$2,0)</f>
        <v>4.57</v>
      </c>
      <c r="M11">
        <f>VLOOKUP(H11,$A$1:F$161,M$2,0)</f>
        <v>3.67</v>
      </c>
    </row>
    <row r="12" spans="1:13" x14ac:dyDescent="0.25">
      <c r="A12" t="s">
        <v>11</v>
      </c>
      <c r="B12">
        <v>214.61</v>
      </c>
      <c r="C12">
        <v>204.05</v>
      </c>
      <c r="D12">
        <v>160.57</v>
      </c>
      <c r="E12">
        <v>129.43</v>
      </c>
      <c r="F12">
        <v>96.71</v>
      </c>
      <c r="H12" t="s">
        <v>18</v>
      </c>
      <c r="I12">
        <f>VLOOKUP(H12,$A$1:F$161,I$2,0)</f>
        <v>108.06</v>
      </c>
      <c r="J12">
        <f>VLOOKUP(H12,$A$1:F$161,J$2,0)</f>
        <v>120.73</v>
      </c>
      <c r="K12">
        <f>VLOOKUP(H12,$A$1:F$161,K$2,0)</f>
        <v>35.79</v>
      </c>
      <c r="L12">
        <f>VLOOKUP(H12,$A$1:F$161,L$2,0)</f>
        <v>35.24</v>
      </c>
      <c r="M12">
        <f>VLOOKUP(H12,$A$1:F$161,M$2,0)</f>
        <v>39.340000000000003</v>
      </c>
    </row>
    <row r="13" spans="1:13" x14ac:dyDescent="0.25">
      <c r="A13" t="s">
        <v>12</v>
      </c>
      <c r="B13">
        <v>217.18</v>
      </c>
      <c r="C13">
        <v>206.62</v>
      </c>
      <c r="D13">
        <v>163.13999999999999</v>
      </c>
      <c r="E13">
        <v>132</v>
      </c>
      <c r="F13">
        <v>99.28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61.42</v>
      </c>
      <c r="J14">
        <f>VLOOKUP(H14,$A$1:F$161,J$2,0)</f>
        <v>49.14</v>
      </c>
      <c r="K14">
        <f>VLOOKUP(H14,$A$1:F$161,K$2,0)</f>
        <v>47.87</v>
      </c>
      <c r="L14">
        <f>VLOOKUP(H14,$A$1:F$161,L$2,0)</f>
        <v>38.44</v>
      </c>
      <c r="M14">
        <f>VLOOKUP(H14,$A$1:F$161,M$2,0)</f>
        <v>0</v>
      </c>
    </row>
    <row r="15" spans="1:13" x14ac:dyDescent="0.25">
      <c r="A15" t="s">
        <v>14</v>
      </c>
      <c r="B15">
        <v>43.56</v>
      </c>
      <c r="C15">
        <v>49.68</v>
      </c>
      <c r="D15">
        <v>20.78</v>
      </c>
      <c r="E15">
        <v>25.81</v>
      </c>
      <c r="F15">
        <v>30.57</v>
      </c>
      <c r="H15" t="s">
        <v>22</v>
      </c>
      <c r="I15">
        <f>VLOOKUP(H15,$A$1:F$161,I$2,0)</f>
        <v>12.68</v>
      </c>
      <c r="J15">
        <f>VLOOKUP(H15,$A$1:F$161,J$2,0)</f>
        <v>20.98</v>
      </c>
      <c r="K15">
        <f>VLOOKUP(H15,$A$1:F$161,K$2,0)</f>
        <v>18.63</v>
      </c>
      <c r="L15">
        <f>VLOOKUP(H15,$A$1:F$161,L$2,0)</f>
        <v>12.37</v>
      </c>
      <c r="M15">
        <f>VLOOKUP(H15,$A$1:F$161,M$2,0)</f>
        <v>45.79</v>
      </c>
    </row>
    <row r="16" spans="1:13" x14ac:dyDescent="0.25">
      <c r="A16" t="s">
        <v>15</v>
      </c>
      <c r="B16">
        <v>0</v>
      </c>
      <c r="C16">
        <v>0</v>
      </c>
      <c r="D16">
        <v>0</v>
      </c>
      <c r="E16">
        <v>4.8499999999999996</v>
      </c>
      <c r="F16">
        <v>5.09</v>
      </c>
      <c r="H16" t="s">
        <v>23</v>
      </c>
      <c r="I16">
        <f>VLOOKUP(H16,$A$1:F$161,I$2,0)</f>
        <v>0.74</v>
      </c>
      <c r="J16">
        <f>VLOOKUP(H16,$A$1:F$161,J$2,0)</f>
        <v>0.45</v>
      </c>
      <c r="K16">
        <f>VLOOKUP(H16,$A$1:F$161,K$2,0)</f>
        <v>0.36</v>
      </c>
      <c r="L16">
        <f>VLOOKUP(H16,$A$1:F$161,L$2,0)</f>
        <v>0.74</v>
      </c>
      <c r="M16">
        <f>VLOOKUP(H16,$A$1:F$161,M$2,0)</f>
        <v>0.96</v>
      </c>
    </row>
    <row r="17" spans="1:13" x14ac:dyDescent="0.25">
      <c r="A17" t="s">
        <v>16</v>
      </c>
      <c r="B17">
        <v>58.54</v>
      </c>
      <c r="C17">
        <v>63.7</v>
      </c>
      <c r="D17">
        <v>8.11</v>
      </c>
      <c r="E17">
        <v>0</v>
      </c>
      <c r="F17">
        <v>0</v>
      </c>
      <c r="H17" t="s">
        <v>24</v>
      </c>
      <c r="I17">
        <f>VLOOKUP(H17,$A$1:F$161,I$2,0)</f>
        <v>105.58</v>
      </c>
      <c r="J17">
        <f>VLOOKUP(H17,$A$1:F$161,J$2,0)</f>
        <v>120.16</v>
      </c>
      <c r="K17">
        <f>VLOOKUP(H17,$A$1:F$161,K$2,0)</f>
        <v>100.77</v>
      </c>
      <c r="L17">
        <f>VLOOKUP(H17,$A$1:F$161,L$2,0)</f>
        <v>57.55</v>
      </c>
      <c r="M17">
        <f>VLOOKUP(H17,$A$1:F$161,M$2,0)</f>
        <v>53.26</v>
      </c>
    </row>
    <row r="18" spans="1:13" x14ac:dyDescent="0.25">
      <c r="A18" t="s">
        <v>17</v>
      </c>
      <c r="B18">
        <v>5.96</v>
      </c>
      <c r="C18">
        <v>7.36</v>
      </c>
      <c r="D18">
        <v>6.9</v>
      </c>
      <c r="E18">
        <v>4.57</v>
      </c>
      <c r="F18">
        <v>3.67</v>
      </c>
      <c r="H18" t="s">
        <v>25</v>
      </c>
      <c r="I18">
        <f>VLOOKUP(H18,$A$1:F$161,I$2,0)</f>
        <v>430.82</v>
      </c>
      <c r="J18">
        <f>VLOOKUP(H18,$A$1:F$161,J$2,0)</f>
        <v>447.51</v>
      </c>
      <c r="K18">
        <f>VLOOKUP(H18,$A$1:F$161,K$2,0)</f>
        <v>299.7</v>
      </c>
      <c r="L18">
        <f>VLOOKUP(H18,$A$1:F$161,L$2,0)</f>
        <v>224.78</v>
      </c>
      <c r="M18">
        <f>VLOOKUP(H18,$A$1:F$161,M$2,0)</f>
        <v>191.87</v>
      </c>
    </row>
    <row r="19" spans="1:13" x14ac:dyDescent="0.25">
      <c r="A19" t="s">
        <v>18</v>
      </c>
      <c r="B19">
        <v>108.06</v>
      </c>
      <c r="C19">
        <v>120.73</v>
      </c>
      <c r="D19">
        <v>35.79</v>
      </c>
      <c r="E19">
        <v>35.24</v>
      </c>
      <c r="F19">
        <v>39.340000000000003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30.75</v>
      </c>
      <c r="C21">
        <v>49.6</v>
      </c>
      <c r="D21">
        <v>33.909999999999997</v>
      </c>
      <c r="E21">
        <v>6</v>
      </c>
      <c r="F21">
        <v>6.51</v>
      </c>
      <c r="H21" t="s">
        <v>28</v>
      </c>
      <c r="I21">
        <f>VLOOKUP(H21,$A$1:F$161,I$2,0)</f>
        <v>188.63</v>
      </c>
      <c r="J21">
        <f>VLOOKUP(H21,$A$1:F$161,J$2,0)</f>
        <v>178.3</v>
      </c>
      <c r="K21">
        <f>VLOOKUP(H21,$A$1:F$161,K$2,0)</f>
        <v>98.21</v>
      </c>
      <c r="L21">
        <f>VLOOKUP(H21,$A$1:F$161,L$2,0)</f>
        <v>81.91</v>
      </c>
      <c r="M21">
        <f>VLOOKUP(H21,$A$1:F$161,M$2,0)</f>
        <v>76.17</v>
      </c>
    </row>
    <row r="22" spans="1:13" x14ac:dyDescent="0.25">
      <c r="A22" t="s">
        <v>21</v>
      </c>
      <c r="B22">
        <v>61.42</v>
      </c>
      <c r="C22">
        <v>49.14</v>
      </c>
      <c r="D22">
        <v>47.87</v>
      </c>
      <c r="E22">
        <v>38.44</v>
      </c>
      <c r="F22">
        <v>0</v>
      </c>
      <c r="H22" t="s">
        <v>29</v>
      </c>
      <c r="I22">
        <f>VLOOKUP(H22,$A$1:F$161,I$2,0)</f>
        <v>61.69</v>
      </c>
      <c r="J22">
        <f>VLOOKUP(H22,$A$1:F$161,J$2,0)</f>
        <v>42.45</v>
      </c>
      <c r="K22">
        <f>VLOOKUP(H22,$A$1:F$161,K$2,0)</f>
        <v>26.5</v>
      </c>
      <c r="L22">
        <f>VLOOKUP(H22,$A$1:F$161,L$2,0)</f>
        <v>10.32</v>
      </c>
      <c r="M22">
        <f>VLOOKUP(H22,$A$1:F$161,M$2,0)</f>
        <v>2.2200000000000002</v>
      </c>
    </row>
    <row r="23" spans="1:13" x14ac:dyDescent="0.25">
      <c r="A23" t="s">
        <v>22</v>
      </c>
      <c r="B23">
        <v>12.68</v>
      </c>
      <c r="C23">
        <v>20.98</v>
      </c>
      <c r="D23">
        <v>18.63</v>
      </c>
      <c r="E23">
        <v>12.37</v>
      </c>
      <c r="F23">
        <v>45.79</v>
      </c>
      <c r="H23" t="s">
        <v>30</v>
      </c>
      <c r="I23">
        <f>VLOOKUP(H23,$A$1:F$161,I$2,0)</f>
        <v>250.57</v>
      </c>
      <c r="J23">
        <f>VLOOKUP(H23,$A$1:F$161,J$2,0)</f>
        <v>221.02</v>
      </c>
      <c r="K23">
        <f>VLOOKUP(H23,$A$1:F$161,K$2,0)</f>
        <v>124.95</v>
      </c>
      <c r="L23">
        <f>VLOOKUP(H23,$A$1:F$161,L$2,0)</f>
        <v>92.43</v>
      </c>
      <c r="M23">
        <f>VLOOKUP(H23,$A$1:F$161,M$2,0)</f>
        <v>78.540000000000006</v>
      </c>
    </row>
    <row r="24" spans="1:13" x14ac:dyDescent="0.25">
      <c r="A24" t="s">
        <v>23</v>
      </c>
      <c r="B24">
        <v>0.74</v>
      </c>
      <c r="C24">
        <v>0.45</v>
      </c>
      <c r="D24">
        <v>0.36</v>
      </c>
      <c r="E24">
        <v>0.74</v>
      </c>
      <c r="F24">
        <v>0.96</v>
      </c>
      <c r="H24" t="s">
        <v>32</v>
      </c>
      <c r="I24">
        <f>VLOOKUP(H24,$A$1:F$161,I$2,0)</f>
        <v>2.25</v>
      </c>
      <c r="J24">
        <f>VLOOKUP(H24,$A$1:F$161,J$2,0)</f>
        <v>0.6</v>
      </c>
      <c r="K24">
        <f>VLOOKUP(H24,$A$1:F$161,K$2,0)</f>
        <v>1.97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24</v>
      </c>
      <c r="B25">
        <v>105.58</v>
      </c>
      <c r="C25">
        <v>120.16</v>
      </c>
      <c r="D25">
        <v>100.77</v>
      </c>
      <c r="E25">
        <v>57.55</v>
      </c>
      <c r="F25">
        <v>53.26</v>
      </c>
      <c r="H25" t="s">
        <v>33</v>
      </c>
      <c r="I25">
        <f>VLOOKUP(H25,$A$1:F$161,I$2,0)</f>
        <v>4.5999999999999996</v>
      </c>
      <c r="J25">
        <f>VLOOKUP(H25,$A$1:F$161,J$2,0)</f>
        <v>0</v>
      </c>
      <c r="K25">
        <f>VLOOKUP(H25,$A$1:F$161,K$2,0)</f>
        <v>0</v>
      </c>
      <c r="L25">
        <f>VLOOKUP(H25,$A$1:F$161,L$2,0)</f>
        <v>0</v>
      </c>
      <c r="M25">
        <f>VLOOKUP(H25,$A$1:F$161,M$2,0)</f>
        <v>0</v>
      </c>
    </row>
    <row r="26" spans="1:13" x14ac:dyDescent="0.25">
      <c r="A26" t="s">
        <v>25</v>
      </c>
      <c r="B26">
        <v>430.82</v>
      </c>
      <c r="C26">
        <v>447.51</v>
      </c>
      <c r="D26">
        <v>299.7</v>
      </c>
      <c r="E26">
        <v>224.78</v>
      </c>
      <c r="F26">
        <v>191.87</v>
      </c>
      <c r="H26" t="s">
        <v>34</v>
      </c>
      <c r="I26">
        <f>VLOOKUP(H26,$A$1:F$161,I$2,0)</f>
        <v>14.39</v>
      </c>
      <c r="J26">
        <f>VLOOKUP(H26,$A$1:F$161,J$2,0)</f>
        <v>26.15</v>
      </c>
      <c r="K26">
        <f>VLOOKUP(H26,$A$1:F$161,K$2,0)</f>
        <v>22.36</v>
      </c>
      <c r="L26">
        <f>VLOOKUP(H26,$A$1:F$161,L$2,0)</f>
        <v>11.76</v>
      </c>
      <c r="M26">
        <f>VLOOKUP(H26,$A$1:F$161,M$2,0)</f>
        <v>7.71</v>
      </c>
    </row>
    <row r="27" spans="1:13" x14ac:dyDescent="0.25">
      <c r="A27" t="s">
        <v>26</v>
      </c>
      <c r="H27" t="s">
        <v>35</v>
      </c>
      <c r="I27">
        <f>VLOOKUP(H27,$A$1:F$161,I$2,0)</f>
        <v>271.8</v>
      </c>
      <c r="J27">
        <f>VLOOKUP(H27,$A$1:F$161,J$2,0)</f>
        <v>247.77</v>
      </c>
      <c r="K27">
        <f>VLOOKUP(H27,$A$1:F$161,K$2,0)</f>
        <v>149.27000000000001</v>
      </c>
      <c r="L27">
        <f>VLOOKUP(H27,$A$1:F$161,L$2,0)</f>
        <v>104.19</v>
      </c>
      <c r="M27">
        <f>VLOOKUP(H27,$A$1:F$161,M$2,0)</f>
        <v>86.25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188.63</v>
      </c>
      <c r="C29">
        <v>178.3</v>
      </c>
      <c r="D29">
        <v>98.21</v>
      </c>
      <c r="E29">
        <v>81.91</v>
      </c>
      <c r="F29">
        <v>76.17</v>
      </c>
      <c r="H29" t="s">
        <v>38</v>
      </c>
      <c r="I29">
        <f>VLOOKUP(H29,$A$1:F$161,I$2,0)</f>
        <v>66.349999999999994</v>
      </c>
      <c r="J29">
        <f>VLOOKUP(H29,$A$1:F$161,J$2,0)</f>
        <v>69.28</v>
      </c>
      <c r="K29">
        <f>VLOOKUP(H29,$A$1:F$161,K$2,0)</f>
        <v>59.56</v>
      </c>
      <c r="L29">
        <f>VLOOKUP(H29,$A$1:F$161,L$2,0)</f>
        <v>48.9</v>
      </c>
      <c r="M29">
        <f>VLOOKUP(H29,$A$1:F$161,M$2,0)</f>
        <v>33.75</v>
      </c>
    </row>
    <row r="30" spans="1:13" x14ac:dyDescent="0.25">
      <c r="A30" t="s">
        <v>106</v>
      </c>
      <c r="B30">
        <v>0.24</v>
      </c>
      <c r="C30">
        <v>0.27</v>
      </c>
      <c r="D30">
        <v>0.24</v>
      </c>
      <c r="E30">
        <v>0.19</v>
      </c>
      <c r="F30">
        <v>0.15</v>
      </c>
      <c r="H30" t="s">
        <v>39</v>
      </c>
      <c r="I30">
        <f>VLOOKUP(H30,$A$1:F$161,I$2,0)</f>
        <v>54.45</v>
      </c>
      <c r="J30">
        <f>VLOOKUP(H30,$A$1:F$161,J$2,0)</f>
        <v>54.34</v>
      </c>
      <c r="K30">
        <f>VLOOKUP(H30,$A$1:F$161,K$2,0)</f>
        <v>57.03</v>
      </c>
      <c r="L30">
        <f>VLOOKUP(H30,$A$1:F$161,L$2,0)</f>
        <v>38.369999999999997</v>
      </c>
      <c r="M30">
        <f>VLOOKUP(H30,$A$1:F$161,M$2,0)</f>
        <v>36.89</v>
      </c>
    </row>
    <row r="31" spans="1:13" x14ac:dyDescent="0.25">
      <c r="A31" t="s">
        <v>29</v>
      </c>
      <c r="B31">
        <v>61.69</v>
      </c>
      <c r="C31">
        <v>42.45</v>
      </c>
      <c r="D31">
        <v>26.5</v>
      </c>
      <c r="E31">
        <v>10.32</v>
      </c>
      <c r="F31">
        <v>2.2200000000000002</v>
      </c>
      <c r="H31" t="s">
        <v>40</v>
      </c>
      <c r="I31">
        <f>VLOOKUP(H31,$A$1:F$161,I$2,0)</f>
        <v>4.03</v>
      </c>
      <c r="J31">
        <f>VLOOKUP(H31,$A$1:F$161,J$2,0)</f>
        <v>34.909999999999997</v>
      </c>
      <c r="K31">
        <f>VLOOKUP(H31,$A$1:F$161,K$2,0)</f>
        <v>7.76</v>
      </c>
      <c r="L31">
        <f>VLOOKUP(H31,$A$1:F$161,L$2,0)</f>
        <v>7.84</v>
      </c>
      <c r="M31">
        <f>VLOOKUP(H31,$A$1:F$161,M$2,0)</f>
        <v>5.78</v>
      </c>
    </row>
    <row r="32" spans="1:13" x14ac:dyDescent="0.25">
      <c r="A32" t="s">
        <v>30</v>
      </c>
      <c r="B32">
        <v>250.57</v>
      </c>
      <c r="C32">
        <v>221.02</v>
      </c>
      <c r="D32">
        <v>124.95</v>
      </c>
      <c r="E32">
        <v>92.43</v>
      </c>
      <c r="F32">
        <v>78.540000000000006</v>
      </c>
      <c r="H32" t="s">
        <v>41</v>
      </c>
      <c r="I32">
        <f>VLOOKUP(H32,$A$1:F$161,I$2,0)</f>
        <v>0.6</v>
      </c>
      <c r="J32">
        <f>VLOOKUP(H32,$A$1:F$161,J$2,0)</f>
        <v>0</v>
      </c>
      <c r="K32">
        <f>VLOOKUP(H32,$A$1:F$161,K$2,0)</f>
        <v>0</v>
      </c>
      <c r="L32">
        <f>VLOOKUP(H32,$A$1:F$161,L$2,0)</f>
        <v>0</v>
      </c>
      <c r="M32">
        <f>VLOOKUP(H32,$A$1:F$161,M$2,0)</f>
        <v>0</v>
      </c>
    </row>
    <row r="33" spans="1:13" x14ac:dyDescent="0.25">
      <c r="A33" t="s">
        <v>32</v>
      </c>
      <c r="B33">
        <v>2.25</v>
      </c>
      <c r="C33">
        <v>0.6</v>
      </c>
      <c r="D33">
        <v>1.97</v>
      </c>
      <c r="E33">
        <v>0</v>
      </c>
      <c r="F33">
        <v>0</v>
      </c>
      <c r="H33" t="s">
        <v>42</v>
      </c>
      <c r="I33">
        <f>VLOOKUP(H33,$A$1:F$161,I$2,0)</f>
        <v>33.590000000000003</v>
      </c>
      <c r="J33">
        <f>VLOOKUP(H33,$A$1:F$161,J$2,0)</f>
        <v>41.21</v>
      </c>
      <c r="K33">
        <f>VLOOKUP(H33,$A$1:F$161,K$2,0)</f>
        <v>26.08</v>
      </c>
      <c r="L33">
        <f>VLOOKUP(H33,$A$1:F$161,L$2,0)</f>
        <v>25.48</v>
      </c>
      <c r="M33">
        <f>VLOOKUP(H33,$A$1:F$161,M$2,0)</f>
        <v>29.2</v>
      </c>
    </row>
    <row r="34" spans="1:13" x14ac:dyDescent="0.25">
      <c r="A34" t="s">
        <v>33</v>
      </c>
      <c r="B34">
        <v>4.5999999999999996</v>
      </c>
      <c r="C34">
        <v>0</v>
      </c>
      <c r="D34">
        <v>0</v>
      </c>
      <c r="E34">
        <v>0</v>
      </c>
      <c r="F34">
        <v>0</v>
      </c>
      <c r="H34" t="s">
        <v>43</v>
      </c>
      <c r="I34">
        <f>VLOOKUP(H34,$A$1:F$161,I$2,0)</f>
        <v>159.01</v>
      </c>
      <c r="J34">
        <f>VLOOKUP(H34,$A$1:F$161,J$2,0)</f>
        <v>199.74</v>
      </c>
      <c r="K34">
        <f>VLOOKUP(H34,$A$1:F$161,K$2,0)</f>
        <v>150.41999999999999</v>
      </c>
      <c r="L34">
        <f>VLOOKUP(H34,$A$1:F$161,L$2,0)</f>
        <v>120.59</v>
      </c>
      <c r="M34">
        <f>VLOOKUP(H34,$A$1:F$161,M$2,0)</f>
        <v>105.63</v>
      </c>
    </row>
    <row r="35" spans="1:13" x14ac:dyDescent="0.25">
      <c r="A35" t="s">
        <v>34</v>
      </c>
      <c r="B35">
        <v>14.39</v>
      </c>
      <c r="C35">
        <v>26.15</v>
      </c>
      <c r="D35">
        <v>22.36</v>
      </c>
      <c r="E35">
        <v>11.76</v>
      </c>
      <c r="F35">
        <v>7.71</v>
      </c>
      <c r="H35" t="s">
        <v>44</v>
      </c>
      <c r="I35">
        <f>VLOOKUP(H35,$A$1:F$161,I$2,0)</f>
        <v>430.82</v>
      </c>
      <c r="J35">
        <f>VLOOKUP(H35,$A$1:F$161,J$2,0)</f>
        <v>447.51</v>
      </c>
      <c r="K35">
        <f>VLOOKUP(H35,$A$1:F$161,K$2,0)</f>
        <v>299.7</v>
      </c>
      <c r="L35">
        <f>VLOOKUP(H35,$A$1:F$161,L$2,0)</f>
        <v>224.78</v>
      </c>
      <c r="M35">
        <f>VLOOKUP(H35,$A$1:F$161,M$2,0)</f>
        <v>191.87</v>
      </c>
    </row>
    <row r="36" spans="1:13" x14ac:dyDescent="0.25">
      <c r="A36" t="s">
        <v>35</v>
      </c>
      <c r="B36">
        <v>271.8</v>
      </c>
      <c r="C36">
        <v>247.77</v>
      </c>
      <c r="D36">
        <v>149.27000000000001</v>
      </c>
      <c r="E36">
        <v>104.19</v>
      </c>
      <c r="F36">
        <v>86.25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38</v>
      </c>
      <c r="B38">
        <v>66.349999999999994</v>
      </c>
      <c r="C38">
        <v>69.28</v>
      </c>
      <c r="D38">
        <v>59.56</v>
      </c>
      <c r="E38">
        <v>48.9</v>
      </c>
      <c r="F38">
        <v>33.75</v>
      </c>
      <c r="H38" t="s">
        <v>47</v>
      </c>
      <c r="I38">
        <f>VLOOKUP(H38,$A$1:F$161,I$2,0)</f>
        <v>51.3</v>
      </c>
      <c r="J38">
        <f>VLOOKUP(H38,$A$1:F$161,J$2,0)</f>
        <v>73.599999999999994</v>
      </c>
      <c r="K38">
        <f>VLOOKUP(H38,$A$1:F$161,K$2,0)</f>
        <v>32.49</v>
      </c>
      <c r="L38">
        <f>VLOOKUP(H38,$A$1:F$161,L$2,0)</f>
        <v>19.34</v>
      </c>
      <c r="M38">
        <f>VLOOKUP(H38,$A$1:F$161,M$2,0)</f>
        <v>16</v>
      </c>
    </row>
    <row r="39" spans="1:13" x14ac:dyDescent="0.25">
      <c r="A39" t="s">
        <v>39</v>
      </c>
      <c r="B39">
        <v>54.45</v>
      </c>
      <c r="C39">
        <v>54.34</v>
      </c>
      <c r="D39">
        <v>57.03</v>
      </c>
      <c r="E39">
        <v>38.369999999999997</v>
      </c>
      <c r="F39">
        <v>36.89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40</v>
      </c>
      <c r="B40">
        <v>4.03</v>
      </c>
      <c r="C40">
        <v>34.909999999999997</v>
      </c>
      <c r="D40">
        <v>7.76</v>
      </c>
      <c r="E40">
        <v>7.84</v>
      </c>
      <c r="F40">
        <v>5.78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41</v>
      </c>
      <c r="B41">
        <v>0.6</v>
      </c>
      <c r="C41">
        <v>0</v>
      </c>
      <c r="D41">
        <v>0</v>
      </c>
      <c r="E41">
        <v>0</v>
      </c>
      <c r="F41">
        <v>0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42</v>
      </c>
      <c r="B42">
        <v>33.590000000000003</v>
      </c>
      <c r="C42">
        <v>41.21</v>
      </c>
      <c r="D42">
        <v>26.08</v>
      </c>
      <c r="E42">
        <v>25.48</v>
      </c>
      <c r="F42">
        <v>29.2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43</v>
      </c>
      <c r="B43">
        <v>159.01</v>
      </c>
      <c r="C43">
        <v>199.74</v>
      </c>
      <c r="D43">
        <v>150.41999999999999</v>
      </c>
      <c r="E43">
        <v>120.59</v>
      </c>
      <c r="F43">
        <v>105.63</v>
      </c>
      <c r="H43" t="s">
        <v>68</v>
      </c>
      <c r="I43">
        <f>VLOOKUP(H43,$A$1:F$161,I$2,0)</f>
        <v>370.67</v>
      </c>
      <c r="J43">
        <f>VLOOKUP(H43,$A$1:F$161,J$2,0)</f>
        <v>384.49</v>
      </c>
      <c r="K43">
        <f>VLOOKUP(H43,$A$1:F$161,K$2,0)</f>
        <v>424.64</v>
      </c>
      <c r="L43">
        <f>VLOOKUP(H43,$A$1:F$161,L$2,0)</f>
        <v>336.09</v>
      </c>
      <c r="M43">
        <f>VLOOKUP(H43,$A$1:F$161,M$2,0)</f>
        <v>278.55</v>
      </c>
    </row>
    <row r="44" spans="1:13" x14ac:dyDescent="0.25">
      <c r="A44" t="s">
        <v>44</v>
      </c>
      <c r="B44">
        <v>430.82</v>
      </c>
      <c r="C44">
        <v>447.51</v>
      </c>
      <c r="D44">
        <v>299.7</v>
      </c>
      <c r="E44">
        <v>224.78</v>
      </c>
      <c r="F44">
        <v>191.87</v>
      </c>
      <c r="H44" t="s">
        <v>70</v>
      </c>
      <c r="I44">
        <f>VLOOKUP(H44,$A$1:F$161,I$2,0)</f>
        <v>370.67</v>
      </c>
      <c r="J44">
        <f>VLOOKUP(H44,$A$1:F$161,J$2,0)</f>
        <v>384.49</v>
      </c>
      <c r="K44">
        <f>VLOOKUP(H44,$A$1:F$161,K$2,0)</f>
        <v>424.64</v>
      </c>
      <c r="L44">
        <f>VLOOKUP(H44,$A$1:F$161,L$2,0)</f>
        <v>336.09</v>
      </c>
      <c r="M44">
        <f>VLOOKUP(H44,$A$1:F$161,M$2,0)</f>
        <v>278.3</v>
      </c>
    </row>
    <row r="45" spans="1:13" ht="24" customHeight="1" x14ac:dyDescent="0.25">
      <c r="A45" t="s">
        <v>45</v>
      </c>
      <c r="H45" t="s">
        <v>71</v>
      </c>
      <c r="I45">
        <f>VLOOKUP(H45,$A$1:F$161,I$2,0)</f>
        <v>1.43</v>
      </c>
      <c r="J45">
        <f>VLOOKUP(H45,$A$1:F$161,J$2,0)</f>
        <v>0.83</v>
      </c>
      <c r="K45">
        <f>VLOOKUP(H45,$A$1:F$161,K$2,0)</f>
        <v>1.1299999999999999</v>
      </c>
      <c r="L45">
        <f>VLOOKUP(H45,$A$1:F$161,L$2,0)</f>
        <v>0.84</v>
      </c>
      <c r="M45">
        <f>VLOOKUP(H45,$A$1:F$161,M$2,0)</f>
        <v>17.77</v>
      </c>
    </row>
    <row r="46" spans="1:13" ht="36" customHeight="1" x14ac:dyDescent="0.25">
      <c r="A46" t="s">
        <v>46</v>
      </c>
      <c r="H46" t="s">
        <v>72</v>
      </c>
      <c r="I46">
        <f>VLOOKUP(H46,$A$1:F$161,I$2,0)</f>
        <v>372.09</v>
      </c>
      <c r="J46">
        <f>VLOOKUP(H46,$A$1:F$161,J$2,0)</f>
        <v>385.31</v>
      </c>
      <c r="K46">
        <f>VLOOKUP(H46,$A$1:F$161,K$2,0)</f>
        <v>425.77</v>
      </c>
      <c r="L46">
        <f>VLOOKUP(H46,$A$1:F$161,L$2,0)</f>
        <v>336.93</v>
      </c>
      <c r="M46">
        <f>VLOOKUP(H46,$A$1:F$161,M$2,0)</f>
        <v>296.07</v>
      </c>
    </row>
    <row r="47" spans="1:13" x14ac:dyDescent="0.25">
      <c r="A47" t="s">
        <v>47</v>
      </c>
      <c r="B47">
        <v>51.3</v>
      </c>
      <c r="C47">
        <v>73.599999999999994</v>
      </c>
      <c r="D47">
        <v>32.49</v>
      </c>
      <c r="E47">
        <v>19.34</v>
      </c>
      <c r="F47">
        <v>16</v>
      </c>
      <c r="H47" t="s">
        <v>73</v>
      </c>
      <c r="I47">
        <f>VLOOKUP(H47,$A$1:F$161,I$2,0)</f>
        <v>13.47</v>
      </c>
      <c r="J47">
        <f>VLOOKUP(H47,$A$1:F$161,J$2,0)</f>
        <v>18.98</v>
      </c>
      <c r="K47">
        <f>VLOOKUP(H47,$A$1:F$161,K$2,0)</f>
        <v>29.06</v>
      </c>
      <c r="L47">
        <f>VLOOKUP(H47,$A$1:F$161,L$2,0)</f>
        <v>18.23</v>
      </c>
      <c r="M47">
        <f>VLOOKUP(H47,$A$1:F$161,M$2,0)</f>
        <v>6.79</v>
      </c>
    </row>
    <row r="48" spans="1:13" ht="24" customHeight="1" x14ac:dyDescent="0.25">
      <c r="A48" t="s">
        <v>48</v>
      </c>
      <c r="H48" t="s">
        <v>74</v>
      </c>
      <c r="I48">
        <f>VLOOKUP(H48,$A$1:F$161,I$2,0)</f>
        <v>385.56</v>
      </c>
      <c r="J48">
        <f>VLOOKUP(H48,$A$1:F$161,J$2,0)</f>
        <v>404.29</v>
      </c>
      <c r="K48">
        <f>VLOOKUP(H48,$A$1:F$161,K$2,0)</f>
        <v>454.83</v>
      </c>
      <c r="L48">
        <f>VLOOKUP(H48,$A$1:F$161,L$2,0)</f>
        <v>355.16</v>
      </c>
      <c r="M48">
        <f>VLOOKUP(H48,$A$1:F$161,M$2,0)</f>
        <v>302.86</v>
      </c>
    </row>
    <row r="49" spans="1:13" ht="24" customHeight="1" x14ac:dyDescent="0.25">
      <c r="A49" t="s">
        <v>49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50</v>
      </c>
      <c r="B50">
        <v>50.58</v>
      </c>
      <c r="C50">
        <v>73.78</v>
      </c>
      <c r="D50">
        <v>87.14</v>
      </c>
      <c r="E50">
        <v>60.02</v>
      </c>
      <c r="F50">
        <v>37.65</v>
      </c>
      <c r="H50" t="s">
        <v>76</v>
      </c>
      <c r="I50">
        <f>VLOOKUP(H50,$A$1:F$161,I$2,0)</f>
        <v>248.2</v>
      </c>
      <c r="J50">
        <f>VLOOKUP(H50,$A$1:F$161,J$2,0)</f>
        <v>248.09</v>
      </c>
      <c r="K50">
        <f>VLOOKUP(H50,$A$1:F$161,K$2,0)</f>
        <v>286.3</v>
      </c>
      <c r="L50">
        <f>VLOOKUP(H50,$A$1:F$161,L$2,0)</f>
        <v>209.83</v>
      </c>
      <c r="M50">
        <f>VLOOKUP(H50,$A$1:F$161,M$2,0)</f>
        <v>171.36</v>
      </c>
    </row>
    <row r="51" spans="1:13" ht="48" customHeight="1" x14ac:dyDescent="0.25">
      <c r="A51" t="s">
        <v>51</v>
      </c>
      <c r="H51" t="s">
        <v>77</v>
      </c>
      <c r="I51">
        <f>VLOOKUP(H51,$A$1:F$161,I$2,0)</f>
        <v>0</v>
      </c>
      <c r="J51">
        <f>VLOOKUP(H51,$A$1:F$161,J$2,0)</f>
        <v>0</v>
      </c>
      <c r="K51">
        <f>VLOOKUP(H51,$A$1:F$161,K$2,0)</f>
        <v>0</v>
      </c>
      <c r="L51">
        <f>VLOOKUP(H51,$A$1:F$161,L$2,0)</f>
        <v>0</v>
      </c>
      <c r="M51">
        <f>VLOOKUP(H51,$A$1:F$161,M$2,0)</f>
        <v>1.52</v>
      </c>
    </row>
    <row r="52" spans="1:13" x14ac:dyDescent="0.25">
      <c r="A52" t="s">
        <v>52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-2.19</v>
      </c>
      <c r="J52">
        <f>VLOOKUP(H52,$A$1:F$161,J$2,0)</f>
        <v>-4.59</v>
      </c>
      <c r="K52">
        <f>VLOOKUP(H52,$A$1:F$161,K$2,0)</f>
        <v>-3.13</v>
      </c>
      <c r="L52">
        <f>VLOOKUP(H52,$A$1:F$161,L$2,0)</f>
        <v>-3.98</v>
      </c>
      <c r="M52">
        <f>VLOOKUP(H52,$A$1:F$161,M$2,0)</f>
        <v>-1.68</v>
      </c>
    </row>
    <row r="53" spans="1:13" ht="24" customHeight="1" x14ac:dyDescent="0.25">
      <c r="A53" t="s">
        <v>54</v>
      </c>
      <c r="H53" t="s">
        <v>79</v>
      </c>
      <c r="I53">
        <f>VLOOKUP(H53,$A$1:F$161,I$2,0)</f>
        <v>32.19</v>
      </c>
      <c r="J53">
        <f>VLOOKUP(H53,$A$1:F$161,J$2,0)</f>
        <v>29.74</v>
      </c>
      <c r="K53">
        <f>VLOOKUP(H53,$A$1:F$161,K$2,0)</f>
        <v>31.44</v>
      </c>
      <c r="L53">
        <f>VLOOKUP(H53,$A$1:F$161,L$2,0)</f>
        <v>27</v>
      </c>
      <c r="M53">
        <f>VLOOKUP(H53,$A$1:F$161,M$2,0)</f>
        <v>21.21</v>
      </c>
    </row>
    <row r="54" spans="1:13" x14ac:dyDescent="0.25">
      <c r="A54" t="s">
        <v>55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8.2899999999999991</v>
      </c>
      <c r="J54">
        <f>VLOOKUP(H54,$A$1:F$161,J$2,0)</f>
        <v>3.03</v>
      </c>
      <c r="K54">
        <f>VLOOKUP(H54,$A$1:F$161,K$2,0)</f>
        <v>3.52</v>
      </c>
      <c r="L54">
        <f>VLOOKUP(H54,$A$1:F$161,L$2,0)</f>
        <v>4.33</v>
      </c>
      <c r="M54">
        <f>VLOOKUP(H54,$A$1:F$161,M$2,0)</f>
        <v>2.34</v>
      </c>
    </row>
    <row r="55" spans="1:13" x14ac:dyDescent="0.25">
      <c r="A55" t="s">
        <v>56</v>
      </c>
      <c r="B55">
        <v>245.52</v>
      </c>
      <c r="C55">
        <v>312.70999999999998</v>
      </c>
      <c r="D55">
        <v>281.8</v>
      </c>
      <c r="E55">
        <v>222.04</v>
      </c>
      <c r="F55">
        <v>180.34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15" customHeight="1" x14ac:dyDescent="0.25">
      <c r="A56" t="s">
        <v>57</v>
      </c>
      <c r="H56" t="s">
        <v>82</v>
      </c>
      <c r="I56">
        <f>VLOOKUP(H56,$A$1:F$161,I$2,0)</f>
        <v>24.29</v>
      </c>
      <c r="J56">
        <f>VLOOKUP(H56,$A$1:F$161,J$2,0)</f>
        <v>17.170000000000002</v>
      </c>
      <c r="K56">
        <f>VLOOKUP(H56,$A$1:F$161,K$2,0)</f>
        <v>16.850000000000001</v>
      </c>
      <c r="L56">
        <f>VLOOKUP(H56,$A$1:F$161,L$2,0)</f>
        <v>12.65</v>
      </c>
      <c r="M56">
        <f>VLOOKUP(H56,$A$1:F$161,M$2,0)</f>
        <v>10.98</v>
      </c>
    </row>
    <row r="57" spans="1:13" x14ac:dyDescent="0.25">
      <c r="A57" t="s">
        <v>58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60.31</v>
      </c>
      <c r="J57">
        <f>VLOOKUP(H57,$A$1:F$161,J$2,0)</f>
        <v>58.28</v>
      </c>
      <c r="K57">
        <f>VLOOKUP(H57,$A$1:F$161,K$2,0)</f>
        <v>66.510000000000005</v>
      </c>
      <c r="L57">
        <f>VLOOKUP(H57,$A$1:F$161,L$2,0)</f>
        <v>58.26</v>
      </c>
      <c r="M57">
        <f>VLOOKUP(H57,$A$1:F$161,M$2,0)</f>
        <v>56.09</v>
      </c>
    </row>
    <row r="58" spans="1:13" ht="24" customHeight="1" x14ac:dyDescent="0.25">
      <c r="A58" t="s">
        <v>59</v>
      </c>
      <c r="H58" t="s">
        <v>84</v>
      </c>
      <c r="I58">
        <f>VLOOKUP(H58,$A$1:F$161,I$2,0)</f>
        <v>371.08</v>
      </c>
      <c r="J58">
        <f>VLOOKUP(H58,$A$1:F$161,J$2,0)</f>
        <v>351.71</v>
      </c>
      <c r="K58">
        <f>VLOOKUP(H58,$A$1:F$161,K$2,0)</f>
        <v>401.48</v>
      </c>
      <c r="L58">
        <f>VLOOKUP(H58,$A$1:F$161,L$2,0)</f>
        <v>308.08</v>
      </c>
      <c r="M58">
        <f>VLOOKUP(H58,$A$1:F$161,M$2,0)</f>
        <v>261.82</v>
      </c>
    </row>
    <row r="59" spans="1:13" x14ac:dyDescent="0.25">
      <c r="A59" t="s">
        <v>60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14.48</v>
      </c>
      <c r="J59">
        <f>VLOOKUP(H59,$A$1:F$161,J$2,0)</f>
        <v>52.58</v>
      </c>
      <c r="K59">
        <f>VLOOKUP(H59,$A$1:F$161,K$2,0)</f>
        <v>53.35</v>
      </c>
      <c r="L59">
        <f>VLOOKUP(H59,$A$1:F$161,L$2,0)</f>
        <v>47.08</v>
      </c>
      <c r="M59">
        <f>VLOOKUP(H59,$A$1:F$161,M$2,0)</f>
        <v>41.04</v>
      </c>
    </row>
    <row r="60" spans="1:13" x14ac:dyDescent="0.25">
      <c r="A60" t="s">
        <v>61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14.48</v>
      </c>
      <c r="J60">
        <f>VLOOKUP(H60,$A$1:F$161,J$2,0)</f>
        <v>52.58</v>
      </c>
      <c r="K60">
        <f>VLOOKUP(H60,$A$1:F$161,K$2,0)</f>
        <v>53.35</v>
      </c>
      <c r="L60">
        <f>VLOOKUP(H60,$A$1:F$161,L$2,0)</f>
        <v>47.08</v>
      </c>
      <c r="M60">
        <f>VLOOKUP(H60,$A$1:F$161,M$2,0)</f>
        <v>41.04</v>
      </c>
    </row>
    <row r="61" spans="1:13" ht="24" customHeight="1" x14ac:dyDescent="0.25">
      <c r="A61" t="s">
        <v>62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63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6.05</v>
      </c>
      <c r="J62">
        <f>VLOOKUP(H62,$A$1:F$161,J$2,0)</f>
        <v>13.43</v>
      </c>
      <c r="K62">
        <f>VLOOKUP(H62,$A$1:F$161,K$2,0)</f>
        <v>16.25</v>
      </c>
      <c r="L62">
        <f>VLOOKUP(H62,$A$1:F$161,L$2,0)</f>
        <v>18.43</v>
      </c>
      <c r="M62">
        <f>VLOOKUP(H62,$A$1:F$161,M$2,0)</f>
        <v>13.49</v>
      </c>
    </row>
    <row r="63" spans="1:13" x14ac:dyDescent="0.25">
      <c r="A63" t="s">
        <v>64</v>
      </c>
      <c r="B63" t="s">
        <v>53</v>
      </c>
      <c r="C63" t="s">
        <v>53</v>
      </c>
      <c r="D63" t="s">
        <v>53</v>
      </c>
      <c r="E63" t="s">
        <v>53</v>
      </c>
      <c r="F63" t="s">
        <v>53</v>
      </c>
      <c r="H63" t="s">
        <v>90</v>
      </c>
      <c r="I63">
        <f>VLOOKUP(H63,$A$1:F$161,I$2,0)</f>
        <v>-1.91</v>
      </c>
      <c r="J63">
        <f>VLOOKUP(H63,$A$1:F$161,J$2,0)</f>
        <v>-0.2</v>
      </c>
      <c r="K63">
        <f>VLOOKUP(H63,$A$1:F$161,K$2,0)</f>
        <v>-3.76</v>
      </c>
      <c r="L63">
        <f>VLOOKUP(H63,$A$1:F$161,L$2,0)</f>
        <v>-1.41</v>
      </c>
      <c r="M63">
        <f>VLOOKUP(H63,$A$1:F$161,M$2,0)</f>
        <v>1.1000000000000001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>
        <f>VLOOKUP(H65,$A$1:F$161,I$2,0)</f>
        <v>4.1500000000000004</v>
      </c>
      <c r="J65">
        <f>VLOOKUP(H65,$A$1:F$161,J$2,0)</f>
        <v>13.23</v>
      </c>
      <c r="K65">
        <f>VLOOKUP(H65,$A$1:F$161,K$2,0)</f>
        <v>12.49</v>
      </c>
      <c r="L65">
        <f>VLOOKUP(H65,$A$1:F$161,L$2,0)</f>
        <v>17.010000000000002</v>
      </c>
      <c r="M65">
        <f>VLOOKUP(H65,$A$1:F$161,M$2,0)</f>
        <v>14.58</v>
      </c>
    </row>
    <row r="66" spans="1:13" x14ac:dyDescent="0.25">
      <c r="H66" t="s">
        <v>92</v>
      </c>
      <c r="I66">
        <f>VLOOKUP(H66,$A$1:F$161,I$2,0)</f>
        <v>10.33</v>
      </c>
      <c r="J66">
        <f>VLOOKUP(H66,$A$1:F$161,J$2,0)</f>
        <v>39.340000000000003</v>
      </c>
      <c r="K66">
        <f>VLOOKUP(H66,$A$1:F$161,K$2,0)</f>
        <v>40.86</v>
      </c>
      <c r="L66">
        <f>VLOOKUP(H66,$A$1:F$161,L$2,0)</f>
        <v>30.06</v>
      </c>
      <c r="M66">
        <f>VLOOKUP(H66,$A$1:F$161,M$2,0)</f>
        <v>26.46</v>
      </c>
    </row>
    <row r="67" spans="1:13" ht="15" customHeight="1" x14ac:dyDescent="0.25">
      <c r="A67" t="s">
        <v>65</v>
      </c>
      <c r="H67" t="s">
        <v>93</v>
      </c>
      <c r="I67">
        <f>VLOOKUP(H67,$A$1:F$161,I$2,0)</f>
        <v>10.33</v>
      </c>
      <c r="J67">
        <f>VLOOKUP(H67,$A$1:F$161,J$2,0)</f>
        <v>39.340000000000003</v>
      </c>
      <c r="K67">
        <f>VLOOKUP(H67,$A$1:F$161,K$2,0)</f>
        <v>40.86</v>
      </c>
      <c r="L67">
        <f>VLOOKUP(H67,$A$1:F$161,L$2,0)</f>
        <v>30.06</v>
      </c>
      <c r="M67">
        <f>VLOOKUP(H67,$A$1:F$161,M$2,0)</f>
        <v>26.46</v>
      </c>
    </row>
    <row r="68" spans="1:13" x14ac:dyDescent="0.25">
      <c r="H68" t="s">
        <v>94</v>
      </c>
      <c r="I68">
        <f>VLOOKUP(H68,$A$1:F$161,I$2,0)</f>
        <v>10.33</v>
      </c>
      <c r="J68">
        <f>VLOOKUP(H68,$A$1:F$161,J$2,0)</f>
        <v>39.340000000000003</v>
      </c>
      <c r="K68">
        <f>VLOOKUP(H68,$A$1:F$161,K$2,0)</f>
        <v>40.86</v>
      </c>
      <c r="L68">
        <f>VLOOKUP(H68,$A$1:F$161,L$2,0)</f>
        <v>30.06</v>
      </c>
      <c r="M68">
        <f>VLOOKUP(H68,$A$1:F$161,M$2,0)</f>
        <v>26.46</v>
      </c>
    </row>
    <row r="69" spans="1:13" x14ac:dyDescent="0.25">
      <c r="H69" t="s">
        <v>101</v>
      </c>
      <c r="I69">
        <f>VLOOKUP(H69,$A$1:F$161,I$2,0)</f>
        <v>0.51</v>
      </c>
      <c r="J69">
        <f>VLOOKUP(H69,$A$1:F$161,J$2,0)</f>
        <v>0.51</v>
      </c>
      <c r="K69">
        <f>VLOOKUP(H69,$A$1:F$161,K$2,0)</f>
        <v>0.62</v>
      </c>
      <c r="L69">
        <f>VLOOKUP(H69,$A$1:F$161,L$2,0)</f>
        <v>0.62</v>
      </c>
      <c r="M69">
        <f>VLOOKUP(H69,$A$1:F$161,M$2,0)</f>
        <v>0.62</v>
      </c>
    </row>
    <row r="70" spans="1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1:13" x14ac:dyDescent="0.25">
      <c r="H71" t="s">
        <v>103</v>
      </c>
      <c r="I71">
        <f>VLOOKUP(H71,$A$1:F$161,I$2,0)</f>
        <v>10</v>
      </c>
      <c r="J71">
        <f>VLOOKUP(H71,$A$1:F$161,J$2,0)</f>
        <v>20</v>
      </c>
      <c r="K71">
        <f>VLOOKUP(H71,$A$1:F$161,K$2,0)</f>
        <v>20</v>
      </c>
      <c r="L71">
        <f>VLOOKUP(H71,$A$1:F$161,L$2,0)</f>
        <v>20</v>
      </c>
      <c r="M71">
        <f>VLOOKUP(H71,$A$1:F$161,M$2,0)</f>
        <v>20</v>
      </c>
    </row>
    <row r="90" spans="1:6" x14ac:dyDescent="0.25">
      <c r="A90" t="s">
        <v>157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370.67</v>
      </c>
      <c r="C97">
        <v>384.49</v>
      </c>
      <c r="D97">
        <v>424.64</v>
      </c>
      <c r="E97">
        <v>336.09</v>
      </c>
      <c r="F97">
        <v>278.55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0.25</v>
      </c>
    </row>
    <row r="99" spans="1:6" x14ac:dyDescent="0.25">
      <c r="A99" t="s">
        <v>70</v>
      </c>
      <c r="B99">
        <v>370.67</v>
      </c>
      <c r="C99">
        <v>384.49</v>
      </c>
      <c r="D99">
        <v>424.64</v>
      </c>
      <c r="E99">
        <v>336.09</v>
      </c>
      <c r="F99">
        <v>278.3</v>
      </c>
    </row>
    <row r="100" spans="1:6" x14ac:dyDescent="0.25">
      <c r="A100" t="s">
        <v>71</v>
      </c>
      <c r="B100">
        <v>1.43</v>
      </c>
      <c r="C100">
        <v>0.83</v>
      </c>
      <c r="D100">
        <v>1.1299999999999999</v>
      </c>
      <c r="E100">
        <v>0.84</v>
      </c>
      <c r="F100">
        <v>17.77</v>
      </c>
    </row>
    <row r="101" spans="1:6" x14ac:dyDescent="0.25">
      <c r="A101" t="s">
        <v>72</v>
      </c>
      <c r="B101">
        <v>372.09</v>
      </c>
      <c r="C101">
        <v>385.31</v>
      </c>
      <c r="D101">
        <v>425.77</v>
      </c>
      <c r="E101">
        <v>336.93</v>
      </c>
      <c r="F101">
        <v>296.07</v>
      </c>
    </row>
    <row r="102" spans="1:6" x14ac:dyDescent="0.25">
      <c r="A102" t="s">
        <v>73</v>
      </c>
      <c r="B102">
        <v>13.47</v>
      </c>
      <c r="C102">
        <v>18.98</v>
      </c>
      <c r="D102">
        <v>29.06</v>
      </c>
      <c r="E102">
        <v>18.23</v>
      </c>
      <c r="F102">
        <v>6.79</v>
      </c>
    </row>
    <row r="103" spans="1:6" x14ac:dyDescent="0.25">
      <c r="A103" t="s">
        <v>74</v>
      </c>
      <c r="B103">
        <v>385.56</v>
      </c>
      <c r="C103">
        <v>404.29</v>
      </c>
      <c r="D103">
        <v>454.83</v>
      </c>
      <c r="E103">
        <v>355.16</v>
      </c>
      <c r="F103">
        <v>302.86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248.2</v>
      </c>
      <c r="C105">
        <v>248.09</v>
      </c>
      <c r="D105">
        <v>286.3</v>
      </c>
      <c r="E105">
        <v>209.83</v>
      </c>
      <c r="F105">
        <v>171.36</v>
      </c>
    </row>
    <row r="106" spans="1:6" x14ac:dyDescent="0.25">
      <c r="A106" t="s">
        <v>77</v>
      </c>
      <c r="B106">
        <v>0</v>
      </c>
      <c r="C106">
        <v>0</v>
      </c>
      <c r="D106">
        <v>0</v>
      </c>
      <c r="E106">
        <v>0</v>
      </c>
      <c r="F106">
        <v>1.52</v>
      </c>
    </row>
    <row r="107" spans="1:6" x14ac:dyDescent="0.25">
      <c r="A107" t="s">
        <v>78</v>
      </c>
      <c r="B107">
        <v>-2.19</v>
      </c>
      <c r="C107">
        <v>-4.59</v>
      </c>
      <c r="D107">
        <v>-3.13</v>
      </c>
      <c r="E107">
        <v>-3.98</v>
      </c>
      <c r="F107">
        <v>-1.68</v>
      </c>
    </row>
    <row r="108" spans="1:6" x14ac:dyDescent="0.25">
      <c r="A108" t="s">
        <v>79</v>
      </c>
      <c r="B108">
        <v>32.19</v>
      </c>
      <c r="C108">
        <v>29.74</v>
      </c>
      <c r="D108">
        <v>31.44</v>
      </c>
      <c r="E108">
        <v>27</v>
      </c>
      <c r="F108">
        <v>21.21</v>
      </c>
    </row>
    <row r="109" spans="1:6" x14ac:dyDescent="0.25">
      <c r="A109" t="s">
        <v>80</v>
      </c>
      <c r="B109">
        <v>8.2899999999999991</v>
      </c>
      <c r="C109">
        <v>3.03</v>
      </c>
      <c r="D109">
        <v>3.52</v>
      </c>
      <c r="E109">
        <v>4.33</v>
      </c>
      <c r="F109">
        <v>2.34</v>
      </c>
    </row>
    <row r="110" spans="1:6" x14ac:dyDescent="0.25">
      <c r="A110" t="s">
        <v>82</v>
      </c>
      <c r="B110">
        <v>24.29</v>
      </c>
      <c r="C110">
        <v>17.170000000000002</v>
      </c>
      <c r="D110">
        <v>16.850000000000001</v>
      </c>
      <c r="E110">
        <v>12.65</v>
      </c>
      <c r="F110">
        <v>10.98</v>
      </c>
    </row>
    <row r="111" spans="1:6" x14ac:dyDescent="0.25">
      <c r="A111" t="s">
        <v>83</v>
      </c>
      <c r="B111">
        <v>60.31</v>
      </c>
      <c r="C111">
        <v>58.28</v>
      </c>
      <c r="D111">
        <v>66.510000000000005</v>
      </c>
      <c r="E111">
        <v>58.26</v>
      </c>
      <c r="F111">
        <v>56.09</v>
      </c>
    </row>
    <row r="112" spans="1:6" x14ac:dyDescent="0.25">
      <c r="A112" t="s">
        <v>84</v>
      </c>
      <c r="B112">
        <v>371.08</v>
      </c>
      <c r="C112">
        <v>351.71</v>
      </c>
      <c r="D112">
        <v>401.48</v>
      </c>
      <c r="E112">
        <v>308.08</v>
      </c>
      <c r="F112">
        <v>261.82</v>
      </c>
    </row>
    <row r="113" spans="1:6" x14ac:dyDescent="0.25">
      <c r="B113">
        <v>44621</v>
      </c>
      <c r="C113">
        <v>44256</v>
      </c>
      <c r="D113">
        <v>43891</v>
      </c>
      <c r="E113">
        <v>43525</v>
      </c>
      <c r="F113">
        <v>43160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14.48</v>
      </c>
      <c r="C117">
        <v>52.58</v>
      </c>
      <c r="D117">
        <v>53.35</v>
      </c>
      <c r="E117">
        <v>47.08</v>
      </c>
      <c r="F117">
        <v>41.04</v>
      </c>
    </row>
    <row r="118" spans="1:6" x14ac:dyDescent="0.25">
      <c r="A118" t="s">
        <v>87</v>
      </c>
      <c r="B118">
        <v>14.48</v>
      </c>
      <c r="C118">
        <v>52.58</v>
      </c>
      <c r="D118">
        <v>53.35</v>
      </c>
      <c r="E118">
        <v>47.08</v>
      </c>
      <c r="F118">
        <v>41.04</v>
      </c>
    </row>
    <row r="119" spans="1:6" ht="24" customHeight="1" x14ac:dyDescent="0.25">
      <c r="A119" t="s">
        <v>88</v>
      </c>
    </row>
    <row r="120" spans="1:6" x14ac:dyDescent="0.25">
      <c r="A120" t="s">
        <v>89</v>
      </c>
      <c r="B120">
        <v>6.05</v>
      </c>
      <c r="C120">
        <v>13.43</v>
      </c>
      <c r="D120">
        <v>16.25</v>
      </c>
      <c r="E120">
        <v>18.43</v>
      </c>
      <c r="F120">
        <v>13.49</v>
      </c>
    </row>
    <row r="121" spans="1:6" x14ac:dyDescent="0.25">
      <c r="A121" t="s">
        <v>90</v>
      </c>
      <c r="B121">
        <v>-1.91</v>
      </c>
      <c r="C121">
        <v>-0.2</v>
      </c>
      <c r="D121">
        <v>-3.76</v>
      </c>
      <c r="E121">
        <v>-1.41</v>
      </c>
      <c r="F121">
        <v>1.1000000000000001</v>
      </c>
    </row>
    <row r="122" spans="1:6" x14ac:dyDescent="0.25">
      <c r="A122" t="s">
        <v>91</v>
      </c>
      <c r="B122">
        <v>4.1500000000000004</v>
      </c>
      <c r="C122">
        <v>13.23</v>
      </c>
      <c r="D122">
        <v>12.49</v>
      </c>
      <c r="E122">
        <v>17.010000000000002</v>
      </c>
      <c r="F122">
        <v>14.58</v>
      </c>
    </row>
    <row r="123" spans="1:6" x14ac:dyDescent="0.25">
      <c r="A123" t="s">
        <v>92</v>
      </c>
      <c r="B123">
        <v>10.33</v>
      </c>
      <c r="C123">
        <v>39.340000000000003</v>
      </c>
      <c r="D123">
        <v>40.86</v>
      </c>
      <c r="E123">
        <v>30.06</v>
      </c>
      <c r="F123">
        <v>26.46</v>
      </c>
    </row>
    <row r="124" spans="1:6" x14ac:dyDescent="0.25">
      <c r="A124" t="s">
        <v>93</v>
      </c>
      <c r="B124">
        <v>10.33</v>
      </c>
      <c r="C124">
        <v>39.340000000000003</v>
      </c>
      <c r="D124">
        <v>40.86</v>
      </c>
      <c r="E124">
        <v>30.06</v>
      </c>
      <c r="F124">
        <v>26.46</v>
      </c>
    </row>
    <row r="125" spans="1:6" x14ac:dyDescent="0.25">
      <c r="A125" t="s">
        <v>94</v>
      </c>
      <c r="B125">
        <v>10.33</v>
      </c>
      <c r="C125">
        <v>39.340000000000003</v>
      </c>
      <c r="D125">
        <v>40.86</v>
      </c>
      <c r="E125">
        <v>30.06</v>
      </c>
      <c r="F125">
        <v>26.46</v>
      </c>
    </row>
    <row r="126" spans="1:6" x14ac:dyDescent="0.25">
      <c r="B126">
        <v>44621</v>
      </c>
      <c r="C126">
        <v>44256</v>
      </c>
      <c r="D126">
        <v>43891</v>
      </c>
      <c r="E126">
        <v>43525</v>
      </c>
      <c r="F126">
        <v>43160</v>
      </c>
    </row>
    <row r="128" spans="1:6" x14ac:dyDescent="0.25">
      <c r="B128" t="s">
        <v>5</v>
      </c>
      <c r="C128" t="s">
        <v>5</v>
      </c>
      <c r="D128" t="s">
        <v>5</v>
      </c>
      <c r="E128" t="s">
        <v>5</v>
      </c>
      <c r="F128" t="s">
        <v>5</v>
      </c>
    </row>
    <row r="130" spans="1:6" ht="24" customHeight="1" x14ac:dyDescent="0.25">
      <c r="A130" t="s">
        <v>45</v>
      </c>
    </row>
    <row r="131" spans="1:6" ht="24" customHeight="1" x14ac:dyDescent="0.25">
      <c r="A131" t="s">
        <v>95</v>
      </c>
    </row>
    <row r="132" spans="1:6" x14ac:dyDescent="0.25">
      <c r="A132" t="s">
        <v>96</v>
      </c>
      <c r="B132">
        <v>40.25</v>
      </c>
      <c r="C132">
        <v>153.32</v>
      </c>
      <c r="D132">
        <v>159.24</v>
      </c>
      <c r="E132">
        <v>117.16</v>
      </c>
      <c r="F132">
        <v>103.1</v>
      </c>
    </row>
    <row r="133" spans="1:6" x14ac:dyDescent="0.25">
      <c r="A133" t="s">
        <v>97</v>
      </c>
      <c r="B133">
        <v>40.25</v>
      </c>
      <c r="C133">
        <v>153.32</v>
      </c>
      <c r="D133">
        <v>159.24</v>
      </c>
      <c r="E133">
        <v>117.16</v>
      </c>
      <c r="F133">
        <v>103.1</v>
      </c>
    </row>
    <row r="134" spans="1:6" ht="36" customHeight="1" x14ac:dyDescent="0.25">
      <c r="A134" t="s">
        <v>98</v>
      </c>
    </row>
    <row r="135" spans="1:6" ht="24" customHeight="1" x14ac:dyDescent="0.25">
      <c r="A135" t="s">
        <v>99</v>
      </c>
    </row>
    <row r="136" spans="1:6" ht="36" customHeight="1" x14ac:dyDescent="0.25">
      <c r="A136" t="s">
        <v>100</v>
      </c>
    </row>
    <row r="137" spans="1:6" x14ac:dyDescent="0.25">
      <c r="A137" t="s">
        <v>101</v>
      </c>
      <c r="B137">
        <v>0.51</v>
      </c>
      <c r="C137">
        <v>0.51</v>
      </c>
      <c r="D137">
        <v>0.62</v>
      </c>
      <c r="E137">
        <v>0.62</v>
      </c>
      <c r="F137">
        <v>0.62</v>
      </c>
    </row>
    <row r="138" spans="1:6" x14ac:dyDescent="0.25">
      <c r="A138" t="s">
        <v>103</v>
      </c>
      <c r="B138">
        <v>10</v>
      </c>
      <c r="C138">
        <v>20</v>
      </c>
      <c r="D138">
        <v>20</v>
      </c>
      <c r="E138">
        <v>20</v>
      </c>
      <c r="F138">
        <v>20</v>
      </c>
    </row>
    <row r="142" spans="1:6" ht="15" customHeight="1" x14ac:dyDescent="0.25">
      <c r="A142" t="s">
        <v>65</v>
      </c>
    </row>
  </sheetData>
  <hyperlinks>
    <hyperlink ref="B1" r:id="rId1" display="javascript:void(0);" xr:uid="{DF640110-189A-475B-B5A7-D456728F98FE}"/>
    <hyperlink ref="B90" r:id="rId2" display="javascript:void(0);" xr:uid="{CAE078B6-9DF4-481D-9870-8FF2CC896CCF}"/>
  </hyperlinks>
  <pageMargins left="0.7" right="0.7" top="0.75" bottom="0.75" header="0.3" footer="0.3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0F553-65E0-447A-9B42-187EC00F1FA3}">
  <sheetPr codeName="Sheet26"/>
  <dimension ref="A1:M147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158</v>
      </c>
      <c r="B1" t="s">
        <v>1</v>
      </c>
      <c r="H1" t="str">
        <f>A1</f>
        <v>KSE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3.2</v>
      </c>
      <c r="J4">
        <f>VLOOKUP(H4,$A$1:F$161,J$2,0)</f>
        <v>3.2</v>
      </c>
      <c r="K4">
        <f>VLOOKUP(H4,$A$1:F$161,K$2,0)</f>
        <v>3.2</v>
      </c>
      <c r="L4">
        <f>VLOOKUP(H4,$A$1:F$161,L$2,0)</f>
        <v>3.2</v>
      </c>
      <c r="M4">
        <f>VLOOKUP(H4,$A$1:F$161,M$2,0)</f>
        <v>3.2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3.2</v>
      </c>
      <c r="J5">
        <f>VLOOKUP(H5,$A$1:F$161,J$2,0)</f>
        <v>3.2</v>
      </c>
      <c r="K5">
        <f>VLOOKUP(H5,$A$1:F$161,K$2,0)</f>
        <v>3.2</v>
      </c>
      <c r="L5">
        <f>VLOOKUP(H5,$A$1:F$161,L$2,0)</f>
        <v>3.2</v>
      </c>
      <c r="M5">
        <f>VLOOKUP(H5,$A$1:F$161,M$2,0)</f>
        <v>3.2</v>
      </c>
    </row>
    <row r="6" spans="1:13" x14ac:dyDescent="0.25">
      <c r="H6" t="s">
        <v>10</v>
      </c>
      <c r="I6">
        <f>VLOOKUP(H6,$A$1:F$161,I$2,0)</f>
        <v>219.58</v>
      </c>
      <c r="J6">
        <f>VLOOKUP(H6,$A$1:F$161,J$2,0)</f>
        <v>239.89</v>
      </c>
      <c r="K6">
        <f>VLOOKUP(H6,$A$1:F$161,K$2,0)</f>
        <v>138.83000000000001</v>
      </c>
      <c r="L6">
        <f>VLOOKUP(H6,$A$1:F$161,L$2,0)</f>
        <v>126.57</v>
      </c>
      <c r="M6">
        <f>VLOOKUP(H6,$A$1:F$161,M$2,0)</f>
        <v>140.59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219.58</v>
      </c>
      <c r="J7">
        <f>VLOOKUP(H7,$A$1:F$161,J$2,0)</f>
        <v>239.89</v>
      </c>
      <c r="K7">
        <f>VLOOKUP(H7,$A$1:F$161,K$2,0)</f>
        <v>138.83000000000001</v>
      </c>
      <c r="L7">
        <f>VLOOKUP(H7,$A$1:F$161,L$2,0)</f>
        <v>126.57</v>
      </c>
      <c r="M7">
        <f>VLOOKUP(H7,$A$1:F$161,M$2,0)</f>
        <v>140.59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222.78</v>
      </c>
      <c r="J8">
        <f>VLOOKUP(H8,$A$1:F$161,J$2,0)</f>
        <v>243.09</v>
      </c>
      <c r="K8">
        <f>VLOOKUP(H8,$A$1:F$161,K$2,0)</f>
        <v>142.03</v>
      </c>
      <c r="L8">
        <f>VLOOKUP(H8,$A$1:F$161,L$2,0)</f>
        <v>129.77000000000001</v>
      </c>
      <c r="M8">
        <f>VLOOKUP(H8,$A$1:F$161,M$2,0)</f>
        <v>143.79</v>
      </c>
    </row>
    <row r="9" spans="1:13" x14ac:dyDescent="0.25">
      <c r="A9" t="s">
        <v>8</v>
      </c>
      <c r="B9">
        <v>3.2</v>
      </c>
      <c r="C9">
        <v>3.2</v>
      </c>
      <c r="D9">
        <v>3.2</v>
      </c>
      <c r="E9">
        <v>3.2</v>
      </c>
      <c r="F9">
        <v>3.2</v>
      </c>
      <c r="H9" t="s">
        <v>14</v>
      </c>
      <c r="I9">
        <f>VLOOKUP(H9,$A$1:F$161,I$2,0)</f>
        <v>12.26</v>
      </c>
      <c r="J9">
        <f>VLOOKUP(H9,$A$1:F$161,J$2,0)</f>
        <v>9.93</v>
      </c>
      <c r="K9">
        <f>VLOOKUP(H9,$A$1:F$161,K$2,0)</f>
        <v>8.92</v>
      </c>
      <c r="L9">
        <f>VLOOKUP(H9,$A$1:F$161,L$2,0)</f>
        <v>6.99</v>
      </c>
      <c r="M9">
        <f>VLOOKUP(H9,$A$1:F$161,M$2,0)</f>
        <v>5.62</v>
      </c>
    </row>
    <row r="10" spans="1:13" x14ac:dyDescent="0.25">
      <c r="A10" t="s">
        <v>9</v>
      </c>
      <c r="B10">
        <v>3.2</v>
      </c>
      <c r="C10">
        <v>3.2</v>
      </c>
      <c r="D10">
        <v>3.2</v>
      </c>
      <c r="E10">
        <v>3.2</v>
      </c>
      <c r="F10">
        <v>3.2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219.58</v>
      </c>
      <c r="C11">
        <v>239.89</v>
      </c>
      <c r="D11">
        <v>138.83000000000001</v>
      </c>
      <c r="E11">
        <v>126.57</v>
      </c>
      <c r="F11">
        <v>140.59</v>
      </c>
      <c r="H11" t="s">
        <v>17</v>
      </c>
      <c r="I11" t="e">
        <f>VLOOKUP(H11,$A$1:F$161,I$2,0)</f>
        <v>#N/A</v>
      </c>
      <c r="J11" t="e">
        <f>VLOOKUP(H11,$A$1:F$161,J$2,0)</f>
        <v>#N/A</v>
      </c>
      <c r="K11" t="e">
        <f>VLOOKUP(H11,$A$1:F$161,K$2,0)</f>
        <v>#N/A</v>
      </c>
      <c r="L11" t="e">
        <f>VLOOKUP(H11,$A$1:F$161,L$2,0)</f>
        <v>#N/A</v>
      </c>
      <c r="M11" t="e">
        <f>VLOOKUP(H11,$A$1:F$161,M$2,0)</f>
        <v>#N/A</v>
      </c>
    </row>
    <row r="12" spans="1:13" x14ac:dyDescent="0.25">
      <c r="A12" t="s">
        <v>11</v>
      </c>
      <c r="B12">
        <v>219.58</v>
      </c>
      <c r="C12">
        <v>239.89</v>
      </c>
      <c r="D12">
        <v>138.83000000000001</v>
      </c>
      <c r="E12">
        <v>126.57</v>
      </c>
      <c r="F12">
        <v>140.59</v>
      </c>
      <c r="H12" t="s">
        <v>18</v>
      </c>
      <c r="I12">
        <f>VLOOKUP(H12,$A$1:F$161,I$2,0)</f>
        <v>12.43</v>
      </c>
      <c r="J12">
        <f>VLOOKUP(H12,$A$1:F$161,J$2,0)</f>
        <v>10.58</v>
      </c>
      <c r="K12">
        <f>VLOOKUP(H12,$A$1:F$161,K$2,0)</f>
        <v>9.1300000000000008</v>
      </c>
      <c r="L12">
        <f>VLOOKUP(H12,$A$1:F$161,L$2,0)</f>
        <v>7.12</v>
      </c>
      <c r="M12">
        <f>VLOOKUP(H12,$A$1:F$161,M$2,0)</f>
        <v>6.6</v>
      </c>
    </row>
    <row r="13" spans="1:13" x14ac:dyDescent="0.25">
      <c r="A13" t="s">
        <v>12</v>
      </c>
      <c r="B13">
        <v>222.78</v>
      </c>
      <c r="C13">
        <v>243.09</v>
      </c>
      <c r="D13">
        <v>142.03</v>
      </c>
      <c r="E13">
        <v>129.77000000000001</v>
      </c>
      <c r="F13">
        <v>143.79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18.59</v>
      </c>
      <c r="J14">
        <f>VLOOKUP(H14,$A$1:F$161,J$2,0)</f>
        <v>19.25</v>
      </c>
      <c r="K14">
        <f>VLOOKUP(H14,$A$1:F$161,K$2,0)</f>
        <v>7.08</v>
      </c>
      <c r="L14">
        <f>VLOOKUP(H14,$A$1:F$161,L$2,0)</f>
        <v>8</v>
      </c>
      <c r="M14">
        <f>VLOOKUP(H14,$A$1:F$161,M$2,0)</f>
        <v>15.12</v>
      </c>
    </row>
    <row r="15" spans="1:13" x14ac:dyDescent="0.25">
      <c r="A15" t="s">
        <v>14</v>
      </c>
      <c r="B15">
        <v>12.26</v>
      </c>
      <c r="C15">
        <v>9.93</v>
      </c>
      <c r="D15">
        <v>8.92</v>
      </c>
      <c r="E15">
        <v>6.99</v>
      </c>
      <c r="F15">
        <v>5.62</v>
      </c>
      <c r="H15" t="s">
        <v>22</v>
      </c>
      <c r="I15">
        <f>VLOOKUP(H15,$A$1:F$161,I$2,0)</f>
        <v>20.02</v>
      </c>
      <c r="J15">
        <f>VLOOKUP(H15,$A$1:F$161,J$2,0)</f>
        <v>35.799999999999997</v>
      </c>
      <c r="K15">
        <f>VLOOKUP(H15,$A$1:F$161,K$2,0)</f>
        <v>28.19</v>
      </c>
      <c r="L15">
        <f>VLOOKUP(H15,$A$1:F$161,L$2,0)</f>
        <v>19.350000000000001</v>
      </c>
      <c r="M15">
        <f>VLOOKUP(H15,$A$1:F$161,M$2,0)</f>
        <v>29.51</v>
      </c>
    </row>
    <row r="16" spans="1:13" x14ac:dyDescent="0.25">
      <c r="A16" t="s">
        <v>15</v>
      </c>
      <c r="B16">
        <v>0.17</v>
      </c>
      <c r="C16">
        <v>0.65</v>
      </c>
      <c r="D16">
        <v>0.22</v>
      </c>
      <c r="E16">
        <v>0.13</v>
      </c>
      <c r="F16">
        <v>0.99</v>
      </c>
      <c r="H16" t="s">
        <v>23</v>
      </c>
      <c r="I16">
        <f>VLOOKUP(H16,$A$1:F$161,I$2,0)</f>
        <v>0</v>
      </c>
      <c r="J16">
        <f>VLOOKUP(H16,$A$1:F$161,J$2,0)</f>
        <v>0.1</v>
      </c>
      <c r="K16">
        <f>VLOOKUP(H16,$A$1:F$161,K$2,0)</f>
        <v>0</v>
      </c>
      <c r="L16">
        <f>VLOOKUP(H16,$A$1:F$161,L$2,0)</f>
        <v>0</v>
      </c>
      <c r="M16">
        <f>VLOOKUP(H16,$A$1:F$161,M$2,0)</f>
        <v>0</v>
      </c>
    </row>
    <row r="17" spans="1:13" x14ac:dyDescent="0.25">
      <c r="A17" t="s">
        <v>18</v>
      </c>
      <c r="B17">
        <v>12.43</v>
      </c>
      <c r="C17">
        <v>10.58</v>
      </c>
      <c r="D17">
        <v>9.1300000000000008</v>
      </c>
      <c r="E17">
        <v>7.12</v>
      </c>
      <c r="F17">
        <v>6.6</v>
      </c>
      <c r="H17" t="s">
        <v>24</v>
      </c>
      <c r="I17">
        <f>VLOOKUP(H17,$A$1:F$161,I$2,0)</f>
        <v>45.44</v>
      </c>
      <c r="J17">
        <f>VLOOKUP(H17,$A$1:F$161,J$2,0)</f>
        <v>81.28</v>
      </c>
      <c r="K17">
        <f>VLOOKUP(H17,$A$1:F$161,K$2,0)</f>
        <v>38.700000000000003</v>
      </c>
      <c r="L17">
        <f>VLOOKUP(H17,$A$1:F$161,L$2,0)</f>
        <v>60.34</v>
      </c>
      <c r="M17">
        <f>VLOOKUP(H17,$A$1:F$161,M$2,0)</f>
        <v>79.25</v>
      </c>
    </row>
    <row r="18" spans="1:13" ht="15" customHeight="1" x14ac:dyDescent="0.25">
      <c r="A18" t="s">
        <v>19</v>
      </c>
      <c r="H18" t="s">
        <v>25</v>
      </c>
      <c r="I18">
        <f>VLOOKUP(H18,$A$1:F$161,I$2,0)</f>
        <v>280.64</v>
      </c>
      <c r="J18">
        <f>VLOOKUP(H18,$A$1:F$161,J$2,0)</f>
        <v>334.95</v>
      </c>
      <c r="K18">
        <f>VLOOKUP(H18,$A$1:F$161,K$2,0)</f>
        <v>189.87</v>
      </c>
      <c r="L18">
        <f>VLOOKUP(H18,$A$1:F$161,L$2,0)</f>
        <v>197.23</v>
      </c>
      <c r="M18">
        <f>VLOOKUP(H18,$A$1:F$161,M$2,0)</f>
        <v>229.65</v>
      </c>
    </row>
    <row r="19" spans="1:13" x14ac:dyDescent="0.25">
      <c r="A19" t="s">
        <v>20</v>
      </c>
      <c r="B19">
        <v>6.83</v>
      </c>
      <c r="C19">
        <v>26.13</v>
      </c>
      <c r="D19">
        <v>3.43</v>
      </c>
      <c r="E19">
        <v>32.99</v>
      </c>
      <c r="F19">
        <v>34.619999999999997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21</v>
      </c>
      <c r="B20">
        <v>18.59</v>
      </c>
      <c r="C20">
        <v>19.25</v>
      </c>
      <c r="D20">
        <v>7.08</v>
      </c>
      <c r="E20">
        <v>8</v>
      </c>
      <c r="F20">
        <v>15.12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22</v>
      </c>
      <c r="B21">
        <v>20.02</v>
      </c>
      <c r="C21">
        <v>35.799999999999997</v>
      </c>
      <c r="D21">
        <v>28.19</v>
      </c>
      <c r="E21">
        <v>19.350000000000001</v>
      </c>
      <c r="F21">
        <v>29.51</v>
      </c>
      <c r="H21" t="s">
        <v>28</v>
      </c>
      <c r="I21">
        <f>VLOOKUP(H21,$A$1:F$161,I$2,0)</f>
        <v>38.14</v>
      </c>
      <c r="J21">
        <f>VLOOKUP(H21,$A$1:F$161,J$2,0)</f>
        <v>23.9</v>
      </c>
      <c r="K21">
        <f>VLOOKUP(H21,$A$1:F$161,K$2,0)</f>
        <v>24.51</v>
      </c>
      <c r="L21">
        <f>VLOOKUP(H21,$A$1:F$161,L$2,0)</f>
        <v>25.71</v>
      </c>
      <c r="M21">
        <f>VLOOKUP(H21,$A$1:F$161,M$2,0)</f>
        <v>27.26</v>
      </c>
    </row>
    <row r="22" spans="1:13" x14ac:dyDescent="0.25">
      <c r="A22" t="s">
        <v>23</v>
      </c>
      <c r="B22">
        <v>0</v>
      </c>
      <c r="C22">
        <v>0.1</v>
      </c>
      <c r="D22">
        <v>0</v>
      </c>
      <c r="E22">
        <v>0</v>
      </c>
      <c r="F22">
        <v>0</v>
      </c>
      <c r="H22" t="s">
        <v>29</v>
      </c>
      <c r="I22">
        <f>VLOOKUP(H22,$A$1:F$161,I$2,0)</f>
        <v>1.92</v>
      </c>
      <c r="J22">
        <f>VLOOKUP(H22,$A$1:F$161,J$2,0)</f>
        <v>2.02</v>
      </c>
      <c r="K22">
        <f>VLOOKUP(H22,$A$1:F$161,K$2,0)</f>
        <v>0.85</v>
      </c>
      <c r="L22">
        <f>VLOOKUP(H22,$A$1:F$161,L$2,0)</f>
        <v>0.46</v>
      </c>
      <c r="M22">
        <f>VLOOKUP(H22,$A$1:F$161,M$2,0)</f>
        <v>0.17</v>
      </c>
    </row>
    <row r="23" spans="1:13" x14ac:dyDescent="0.25">
      <c r="A23" t="s">
        <v>24</v>
      </c>
      <c r="B23">
        <v>45.44</v>
      </c>
      <c r="C23">
        <v>81.28</v>
      </c>
      <c r="D23">
        <v>38.700000000000003</v>
      </c>
      <c r="E23">
        <v>60.34</v>
      </c>
      <c r="F23">
        <v>79.25</v>
      </c>
      <c r="H23" t="s">
        <v>30</v>
      </c>
      <c r="I23">
        <f>VLOOKUP(H23,$A$1:F$161,I$2,0)</f>
        <v>40.18</v>
      </c>
      <c r="J23">
        <f>VLOOKUP(H23,$A$1:F$161,J$2,0)</f>
        <v>26.08</v>
      </c>
      <c r="K23">
        <f>VLOOKUP(H23,$A$1:F$161,K$2,0)</f>
        <v>25.43</v>
      </c>
      <c r="L23">
        <f>VLOOKUP(H23,$A$1:F$161,L$2,0)</f>
        <v>26.2</v>
      </c>
      <c r="M23">
        <f>VLOOKUP(H23,$A$1:F$161,M$2,0)</f>
        <v>27.44</v>
      </c>
    </row>
    <row r="24" spans="1:13" x14ac:dyDescent="0.25">
      <c r="A24" t="s">
        <v>25</v>
      </c>
      <c r="B24">
        <v>280.64</v>
      </c>
      <c r="C24">
        <v>334.95</v>
      </c>
      <c r="D24">
        <v>189.87</v>
      </c>
      <c r="E24">
        <v>197.23</v>
      </c>
      <c r="F24">
        <v>229.65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26</v>
      </c>
      <c r="H25" t="s">
        <v>33</v>
      </c>
      <c r="I25">
        <f>VLOOKUP(H25,$A$1:F$161,I$2,0)</f>
        <v>0.19</v>
      </c>
      <c r="J25">
        <f>VLOOKUP(H25,$A$1:F$161,J$2,0)</f>
        <v>1.85</v>
      </c>
      <c r="K25">
        <f>VLOOKUP(H25,$A$1:F$161,K$2,0)</f>
        <v>1.39</v>
      </c>
      <c r="L25">
        <f>VLOOKUP(H25,$A$1:F$161,L$2,0)</f>
        <v>1.19</v>
      </c>
      <c r="M25">
        <f>VLOOKUP(H25,$A$1:F$161,M$2,0)</f>
        <v>1.39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2.62</v>
      </c>
      <c r="J26">
        <f>VLOOKUP(H26,$A$1:F$161,J$2,0)</f>
        <v>0.76</v>
      </c>
      <c r="K26">
        <f>VLOOKUP(H26,$A$1:F$161,K$2,0)</f>
        <v>0.11</v>
      </c>
      <c r="L26">
        <f>VLOOKUP(H26,$A$1:F$161,L$2,0)</f>
        <v>0.79</v>
      </c>
      <c r="M26">
        <f>VLOOKUP(H26,$A$1:F$161,M$2,0)</f>
        <v>0.49</v>
      </c>
    </row>
    <row r="27" spans="1:13" x14ac:dyDescent="0.25">
      <c r="A27" t="s">
        <v>28</v>
      </c>
      <c r="B27">
        <v>38.14</v>
      </c>
      <c r="C27">
        <v>23.9</v>
      </c>
      <c r="D27">
        <v>24.51</v>
      </c>
      <c r="E27">
        <v>25.71</v>
      </c>
      <c r="F27">
        <v>27.26</v>
      </c>
      <c r="H27" t="s">
        <v>35</v>
      </c>
      <c r="I27">
        <f>VLOOKUP(H27,$A$1:F$161,I$2,0)</f>
        <v>44.02</v>
      </c>
      <c r="J27">
        <f>VLOOKUP(H27,$A$1:F$161,J$2,0)</f>
        <v>28.71</v>
      </c>
      <c r="K27">
        <f>VLOOKUP(H27,$A$1:F$161,K$2,0)</f>
        <v>26.96</v>
      </c>
      <c r="L27">
        <f>VLOOKUP(H27,$A$1:F$161,L$2,0)</f>
        <v>28.2</v>
      </c>
      <c r="M27">
        <f>VLOOKUP(H27,$A$1:F$161,M$2,0)</f>
        <v>29.35</v>
      </c>
    </row>
    <row r="28" spans="1:13" x14ac:dyDescent="0.25">
      <c r="A28" t="s">
        <v>106</v>
      </c>
      <c r="B28">
        <v>0.12</v>
      </c>
      <c r="C28">
        <v>0.16</v>
      </c>
      <c r="D28">
        <v>0.06</v>
      </c>
      <c r="E28">
        <v>0.04</v>
      </c>
      <c r="F28">
        <v>0.01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29</v>
      </c>
      <c r="B29">
        <v>1.92</v>
      </c>
      <c r="C29">
        <v>2.02</v>
      </c>
      <c r="D29">
        <v>0.85</v>
      </c>
      <c r="E29">
        <v>0.46</v>
      </c>
      <c r="F29">
        <v>0.17</v>
      </c>
      <c r="H29" t="s">
        <v>38</v>
      </c>
      <c r="I29">
        <f>VLOOKUP(H29,$A$1:F$161,I$2,0)</f>
        <v>162.46</v>
      </c>
      <c r="J29">
        <f>VLOOKUP(H29,$A$1:F$161,J$2,0)</f>
        <v>169.95</v>
      </c>
      <c r="K29">
        <f>VLOOKUP(H29,$A$1:F$161,K$2,0)</f>
        <v>82.36</v>
      </c>
      <c r="L29">
        <f>VLOOKUP(H29,$A$1:F$161,L$2,0)</f>
        <v>87.63</v>
      </c>
      <c r="M29">
        <f>VLOOKUP(H29,$A$1:F$161,M$2,0)</f>
        <v>90.52</v>
      </c>
    </row>
    <row r="30" spans="1:13" x14ac:dyDescent="0.25">
      <c r="A30" t="s">
        <v>30</v>
      </c>
      <c r="B30">
        <v>40.18</v>
      </c>
      <c r="C30">
        <v>26.08</v>
      </c>
      <c r="D30">
        <v>25.43</v>
      </c>
      <c r="E30">
        <v>26.2</v>
      </c>
      <c r="F30">
        <v>27.44</v>
      </c>
      <c r="H30" t="s">
        <v>39</v>
      </c>
      <c r="I30">
        <f>VLOOKUP(H30,$A$1:F$161,I$2,0)</f>
        <v>1.23</v>
      </c>
      <c r="J30">
        <f>VLOOKUP(H30,$A$1:F$161,J$2,0)</f>
        <v>0.38</v>
      </c>
      <c r="K30">
        <f>VLOOKUP(H30,$A$1:F$161,K$2,0)</f>
        <v>0.41</v>
      </c>
      <c r="L30">
        <f>VLOOKUP(H30,$A$1:F$161,L$2,0)</f>
        <v>0.15</v>
      </c>
      <c r="M30">
        <f>VLOOKUP(H30,$A$1:F$161,M$2,0)</f>
        <v>0.17</v>
      </c>
    </row>
    <row r="31" spans="1:13" x14ac:dyDescent="0.25">
      <c r="A31" t="s">
        <v>31</v>
      </c>
      <c r="B31">
        <v>1.03</v>
      </c>
      <c r="C31">
        <v>0.03</v>
      </c>
      <c r="D31">
        <v>0.03</v>
      </c>
      <c r="E31">
        <v>0.03</v>
      </c>
      <c r="F31">
        <v>0.03</v>
      </c>
      <c r="H31" t="s">
        <v>40</v>
      </c>
      <c r="I31">
        <f>VLOOKUP(H31,$A$1:F$161,I$2,0)</f>
        <v>16.7</v>
      </c>
      <c r="J31">
        <f>VLOOKUP(H31,$A$1:F$161,J$2,0)</f>
        <v>7.84</v>
      </c>
      <c r="K31">
        <f>VLOOKUP(H31,$A$1:F$161,K$2,0)</f>
        <v>2.21</v>
      </c>
      <c r="L31">
        <f>VLOOKUP(H31,$A$1:F$161,L$2,0)</f>
        <v>25.6</v>
      </c>
      <c r="M31">
        <f>VLOOKUP(H31,$A$1:F$161,M$2,0)</f>
        <v>20.74</v>
      </c>
    </row>
    <row r="32" spans="1:13" x14ac:dyDescent="0.25">
      <c r="A32" t="s">
        <v>33</v>
      </c>
      <c r="B32">
        <v>0.19</v>
      </c>
      <c r="C32">
        <v>1.85</v>
      </c>
      <c r="D32">
        <v>1.39</v>
      </c>
      <c r="E32">
        <v>1.19</v>
      </c>
      <c r="F32">
        <v>1.39</v>
      </c>
      <c r="H32" t="s">
        <v>41</v>
      </c>
      <c r="I32">
        <f>VLOOKUP(H32,$A$1:F$161,I$2,0)</f>
        <v>1.87</v>
      </c>
      <c r="J32">
        <f>VLOOKUP(H32,$A$1:F$161,J$2,0)</f>
        <v>2.06</v>
      </c>
      <c r="K32">
        <f>VLOOKUP(H32,$A$1:F$161,K$2,0)</f>
        <v>1.65</v>
      </c>
      <c r="L32">
        <f>VLOOKUP(H32,$A$1:F$161,L$2,0)</f>
        <v>1.56</v>
      </c>
      <c r="M32">
        <f>VLOOKUP(H32,$A$1:F$161,M$2,0)</f>
        <v>1.39</v>
      </c>
    </row>
    <row r="33" spans="1:13" x14ac:dyDescent="0.25">
      <c r="A33" t="s">
        <v>34</v>
      </c>
      <c r="B33">
        <v>2.62</v>
      </c>
      <c r="C33">
        <v>0.76</v>
      </c>
      <c r="D33">
        <v>0.11</v>
      </c>
      <c r="E33">
        <v>0.79</v>
      </c>
      <c r="F33">
        <v>0.49</v>
      </c>
      <c r="H33" t="s">
        <v>42</v>
      </c>
      <c r="I33">
        <f>VLOOKUP(H33,$A$1:F$161,I$2,0)</f>
        <v>8.76</v>
      </c>
      <c r="J33">
        <f>VLOOKUP(H33,$A$1:F$161,J$2,0)</f>
        <v>10.08</v>
      </c>
      <c r="K33">
        <f>VLOOKUP(H33,$A$1:F$161,K$2,0)</f>
        <v>10.69</v>
      </c>
      <c r="L33">
        <f>VLOOKUP(H33,$A$1:F$161,L$2,0)</f>
        <v>11.49</v>
      </c>
      <c r="M33">
        <f>VLOOKUP(H33,$A$1:F$161,M$2,0)</f>
        <v>4.1399999999999997</v>
      </c>
    </row>
    <row r="34" spans="1:13" x14ac:dyDescent="0.25">
      <c r="A34" t="s">
        <v>35</v>
      </c>
      <c r="B34">
        <v>44.02</v>
      </c>
      <c r="C34">
        <v>28.71</v>
      </c>
      <c r="D34">
        <v>26.96</v>
      </c>
      <c r="E34">
        <v>28.2</v>
      </c>
      <c r="F34">
        <v>29.35</v>
      </c>
      <c r="H34" t="s">
        <v>43</v>
      </c>
      <c r="I34">
        <f>VLOOKUP(H34,$A$1:F$161,I$2,0)</f>
        <v>236.63</v>
      </c>
      <c r="J34">
        <f>VLOOKUP(H34,$A$1:F$161,J$2,0)</f>
        <v>306.23</v>
      </c>
      <c r="K34">
        <f>VLOOKUP(H34,$A$1:F$161,K$2,0)</f>
        <v>162.91</v>
      </c>
      <c r="L34">
        <f>VLOOKUP(H34,$A$1:F$161,L$2,0)</f>
        <v>169.03</v>
      </c>
      <c r="M34">
        <f>VLOOKUP(H34,$A$1:F$161,M$2,0)</f>
        <v>200.3</v>
      </c>
    </row>
    <row r="35" spans="1:13" ht="15" customHeight="1" x14ac:dyDescent="0.25">
      <c r="A35" t="s">
        <v>36</v>
      </c>
      <c r="H35" t="s">
        <v>44</v>
      </c>
      <c r="I35">
        <f>VLOOKUP(H35,$A$1:F$161,I$2,0)</f>
        <v>280.64</v>
      </c>
      <c r="J35">
        <f>VLOOKUP(H35,$A$1:F$161,J$2,0)</f>
        <v>334.95</v>
      </c>
      <c r="K35">
        <f>VLOOKUP(H35,$A$1:F$161,K$2,0)</f>
        <v>189.87</v>
      </c>
      <c r="L35">
        <f>VLOOKUP(H35,$A$1:F$161,L$2,0)</f>
        <v>197.23</v>
      </c>
      <c r="M35">
        <f>VLOOKUP(H35,$A$1:F$161,M$2,0)</f>
        <v>229.65</v>
      </c>
    </row>
    <row r="36" spans="1:13" x14ac:dyDescent="0.25">
      <c r="A36" t="s">
        <v>37</v>
      </c>
      <c r="B36">
        <v>45.6</v>
      </c>
      <c r="C36">
        <v>115.94</v>
      </c>
      <c r="D36">
        <v>65.599999999999994</v>
      </c>
      <c r="E36">
        <v>42.61</v>
      </c>
      <c r="F36">
        <v>83.33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38</v>
      </c>
      <c r="B37">
        <v>162.46</v>
      </c>
      <c r="C37">
        <v>169.95</v>
      </c>
      <c r="D37">
        <v>82.36</v>
      </c>
      <c r="E37">
        <v>87.63</v>
      </c>
      <c r="F37">
        <v>90.52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39</v>
      </c>
      <c r="B38">
        <v>1.23</v>
      </c>
      <c r="C38">
        <v>0.38</v>
      </c>
      <c r="D38">
        <v>0.41</v>
      </c>
      <c r="E38">
        <v>0.15</v>
      </c>
      <c r="F38">
        <v>0.17</v>
      </c>
      <c r="H38" t="s">
        <v>47</v>
      </c>
      <c r="I38">
        <f>VLOOKUP(H38,$A$1:F$161,I$2,0)</f>
        <v>4.2300000000000004</v>
      </c>
      <c r="J38">
        <f>VLOOKUP(H38,$A$1:F$161,J$2,0)</f>
        <v>12.36</v>
      </c>
      <c r="K38">
        <f>VLOOKUP(H38,$A$1:F$161,K$2,0)</f>
        <v>13.01</v>
      </c>
      <c r="L38">
        <f>VLOOKUP(H38,$A$1:F$161,L$2,0)</f>
        <v>2.46</v>
      </c>
      <c r="M38">
        <f>VLOOKUP(H38,$A$1:F$161,M$2,0)</f>
        <v>2.67</v>
      </c>
    </row>
    <row r="39" spans="1:13" x14ac:dyDescent="0.25">
      <c r="A39" t="s">
        <v>40</v>
      </c>
      <c r="B39">
        <v>16.7</v>
      </c>
      <c r="C39">
        <v>7.84</v>
      </c>
      <c r="D39">
        <v>2.21</v>
      </c>
      <c r="E39">
        <v>25.6</v>
      </c>
      <c r="F39">
        <v>20.74</v>
      </c>
      <c r="H39" t="s">
        <v>62</v>
      </c>
      <c r="I39">
        <f>VLOOKUP(H39,$A$1:F$161,I$2,0)</f>
        <v>45.6</v>
      </c>
      <c r="J39">
        <f>VLOOKUP(H39,$A$1:F$161,J$2,0)</f>
        <v>115.94</v>
      </c>
      <c r="K39">
        <f>VLOOKUP(H39,$A$1:F$161,K$2,0)</f>
        <v>65.599999999999994</v>
      </c>
      <c r="L39">
        <f>VLOOKUP(H39,$A$1:F$161,L$2,0)</f>
        <v>42.61</v>
      </c>
      <c r="M39">
        <f>VLOOKUP(H39,$A$1:F$161,M$2,0)</f>
        <v>83.33</v>
      </c>
    </row>
    <row r="40" spans="1:13" x14ac:dyDescent="0.25">
      <c r="A40" t="s">
        <v>41</v>
      </c>
      <c r="B40">
        <v>1.87</v>
      </c>
      <c r="C40">
        <v>2.06</v>
      </c>
      <c r="D40">
        <v>1.65</v>
      </c>
      <c r="E40">
        <v>1.56</v>
      </c>
      <c r="F40">
        <v>1.39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42</v>
      </c>
      <c r="B41">
        <v>8.76</v>
      </c>
      <c r="C41">
        <v>10.08</v>
      </c>
      <c r="D41">
        <v>10.69</v>
      </c>
      <c r="E41">
        <v>11.49</v>
      </c>
      <c r="F41">
        <v>4.1399999999999997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>
        <f>VLOOKUP(H41,$A$1:F$161,M$2,0)</f>
        <v>82.03</v>
      </c>
    </row>
    <row r="42" spans="1:13" x14ac:dyDescent="0.25">
      <c r="A42" t="s">
        <v>43</v>
      </c>
      <c r="B42">
        <v>236.63</v>
      </c>
      <c r="C42">
        <v>306.23</v>
      </c>
      <c r="D42">
        <v>162.91</v>
      </c>
      <c r="E42">
        <v>169.03</v>
      </c>
      <c r="F42">
        <v>200.3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44</v>
      </c>
      <c r="B43">
        <v>280.64</v>
      </c>
      <c r="C43">
        <v>334.95</v>
      </c>
      <c r="D43">
        <v>189.87</v>
      </c>
      <c r="E43">
        <v>197.23</v>
      </c>
      <c r="F43">
        <v>229.65</v>
      </c>
      <c r="H43" t="s">
        <v>68</v>
      </c>
      <c r="I43">
        <f>VLOOKUP(H43,$A$1:F$161,I$2,0)</f>
        <v>1670.06</v>
      </c>
      <c r="J43">
        <f>VLOOKUP(H43,$A$1:F$161,J$2,0)</f>
        <v>1543.26</v>
      </c>
      <c r="K43">
        <f>VLOOKUP(H43,$A$1:F$161,K$2,0)</f>
        <v>1428.52</v>
      </c>
      <c r="L43">
        <f>VLOOKUP(H43,$A$1:F$161,L$2,0)</f>
        <v>1209.4100000000001</v>
      </c>
      <c r="M43">
        <f>VLOOKUP(H43,$A$1:F$161,M$2,0)</f>
        <v>1304.17</v>
      </c>
    </row>
    <row r="44" spans="1:13" ht="24" customHeight="1" x14ac:dyDescent="0.25">
      <c r="A44" t="s">
        <v>45</v>
      </c>
      <c r="H44" t="s">
        <v>70</v>
      </c>
      <c r="I44">
        <f>VLOOKUP(H44,$A$1:F$161,I$2,0)</f>
        <v>1670.06</v>
      </c>
      <c r="J44">
        <f>VLOOKUP(H44,$A$1:F$161,J$2,0)</f>
        <v>1543.26</v>
      </c>
      <c r="K44">
        <f>VLOOKUP(H44,$A$1:F$161,K$2,0)</f>
        <v>1428.52</v>
      </c>
      <c r="L44">
        <f>VLOOKUP(H44,$A$1:F$161,L$2,0)</f>
        <v>1209.4100000000001</v>
      </c>
      <c r="M44">
        <f>VLOOKUP(H44,$A$1:F$161,M$2,0)</f>
        <v>1304.17</v>
      </c>
    </row>
    <row r="45" spans="1:13" ht="36" customHeight="1" x14ac:dyDescent="0.25">
      <c r="A45" t="s">
        <v>46</v>
      </c>
      <c r="H45" t="s">
        <v>71</v>
      </c>
      <c r="I45" t="e">
        <f>VLOOKUP(H45,$A$1:F$161,I$2,0)</f>
        <v>#N/A</v>
      </c>
      <c r="J45" t="e">
        <f>VLOOKUP(H45,$A$1:F$161,J$2,0)</f>
        <v>#N/A</v>
      </c>
      <c r="K45" t="e">
        <f>VLOOKUP(H45,$A$1:F$161,K$2,0)</f>
        <v>#N/A</v>
      </c>
      <c r="L45" t="e">
        <f>VLOOKUP(H45,$A$1:F$161,L$2,0)</f>
        <v>#N/A</v>
      </c>
      <c r="M45" t="e">
        <f>VLOOKUP(H45,$A$1:F$161,M$2,0)</f>
        <v>#N/A</v>
      </c>
    </row>
    <row r="46" spans="1:13" x14ac:dyDescent="0.25">
      <c r="A46" t="s">
        <v>47</v>
      </c>
      <c r="B46">
        <v>4.2300000000000004</v>
      </c>
      <c r="C46">
        <v>12.36</v>
      </c>
      <c r="D46">
        <v>13.01</v>
      </c>
      <c r="E46">
        <v>2.46</v>
      </c>
      <c r="F46">
        <v>2.67</v>
      </c>
      <c r="H46" t="s">
        <v>72</v>
      </c>
      <c r="I46">
        <f>VLOOKUP(H46,$A$1:F$161,I$2,0)</f>
        <v>1670.06</v>
      </c>
      <c r="J46">
        <f>VLOOKUP(H46,$A$1:F$161,J$2,0)</f>
        <v>1543.26</v>
      </c>
      <c r="K46">
        <f>VLOOKUP(H46,$A$1:F$161,K$2,0)</f>
        <v>1428.52</v>
      </c>
      <c r="L46">
        <f>VLOOKUP(H46,$A$1:F$161,L$2,0)</f>
        <v>1209.4100000000001</v>
      </c>
      <c r="M46">
        <f>VLOOKUP(H46,$A$1:F$161,M$2,0)</f>
        <v>1304.17</v>
      </c>
    </row>
    <row r="47" spans="1:13" ht="24" customHeight="1" x14ac:dyDescent="0.25">
      <c r="A47" t="s">
        <v>48</v>
      </c>
      <c r="H47" t="s">
        <v>73</v>
      </c>
      <c r="I47">
        <f>VLOOKUP(H47,$A$1:F$161,I$2,0)</f>
        <v>5.99</v>
      </c>
      <c r="J47">
        <f>VLOOKUP(H47,$A$1:F$161,J$2,0)</f>
        <v>8.31</v>
      </c>
      <c r="K47">
        <f>VLOOKUP(H47,$A$1:F$161,K$2,0)</f>
        <v>4.22</v>
      </c>
      <c r="L47">
        <f>VLOOKUP(H47,$A$1:F$161,L$2,0)</f>
        <v>7.66</v>
      </c>
      <c r="M47">
        <f>VLOOKUP(H47,$A$1:F$161,M$2,0)</f>
        <v>5.19</v>
      </c>
    </row>
    <row r="48" spans="1:13" x14ac:dyDescent="0.25">
      <c r="A48" t="s">
        <v>151</v>
      </c>
      <c r="B48">
        <v>208.71</v>
      </c>
      <c r="C48">
        <v>250.78</v>
      </c>
      <c r="D48">
        <v>144.77000000000001</v>
      </c>
      <c r="E48">
        <v>88.66</v>
      </c>
      <c r="F48">
        <v>88.65</v>
      </c>
      <c r="H48" t="s">
        <v>74</v>
      </c>
      <c r="I48">
        <f>VLOOKUP(H48,$A$1:F$161,I$2,0)</f>
        <v>1676.05</v>
      </c>
      <c r="J48">
        <f>VLOOKUP(H48,$A$1:F$161,J$2,0)</f>
        <v>1551.57</v>
      </c>
      <c r="K48">
        <f>VLOOKUP(H48,$A$1:F$161,K$2,0)</f>
        <v>1432.74</v>
      </c>
      <c r="L48">
        <f>VLOOKUP(H48,$A$1:F$161,L$2,0)</f>
        <v>1217.07</v>
      </c>
      <c r="M48">
        <f>VLOOKUP(H48,$A$1:F$161,M$2,0)</f>
        <v>1309.3599999999999</v>
      </c>
    </row>
    <row r="49" spans="1:13" x14ac:dyDescent="0.25">
      <c r="A49" t="s">
        <v>155</v>
      </c>
      <c r="B49">
        <v>0.12</v>
      </c>
      <c r="C49">
        <v>0.01</v>
      </c>
      <c r="D49">
        <v>0.01</v>
      </c>
      <c r="E49">
        <v>0.01</v>
      </c>
      <c r="F49">
        <v>0.11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152</v>
      </c>
      <c r="B50">
        <v>0.26</v>
      </c>
      <c r="C50">
        <v>0</v>
      </c>
      <c r="D50">
        <v>0</v>
      </c>
      <c r="E50">
        <v>0</v>
      </c>
      <c r="F50">
        <v>0</v>
      </c>
      <c r="H50" t="s">
        <v>76</v>
      </c>
      <c r="I50">
        <f>VLOOKUP(H50,$A$1:F$161,I$2,0)</f>
        <v>1393.55</v>
      </c>
      <c r="J50">
        <f>VLOOKUP(H50,$A$1:F$161,J$2,0)</f>
        <v>1175.32</v>
      </c>
      <c r="K50">
        <f>VLOOKUP(H50,$A$1:F$161,K$2,0)</f>
        <v>1249.78</v>
      </c>
      <c r="L50">
        <f>VLOOKUP(H50,$A$1:F$161,L$2,0)</f>
        <v>1075.21</v>
      </c>
      <c r="M50">
        <f>VLOOKUP(H50,$A$1:F$161,M$2,0)</f>
        <v>960.9</v>
      </c>
    </row>
    <row r="51" spans="1:13" ht="24" customHeight="1" x14ac:dyDescent="0.25">
      <c r="A51" t="s">
        <v>49</v>
      </c>
      <c r="H51" t="s">
        <v>77</v>
      </c>
      <c r="I51">
        <f>VLOOKUP(H51,$A$1:F$161,I$2,0)</f>
        <v>105.29</v>
      </c>
      <c r="J51">
        <f>VLOOKUP(H51,$A$1:F$161,J$2,0)</f>
        <v>66.36</v>
      </c>
      <c r="K51">
        <f>VLOOKUP(H51,$A$1:F$161,K$2,0)</f>
        <v>0</v>
      </c>
      <c r="L51">
        <f>VLOOKUP(H51,$A$1:F$161,L$2,0)</f>
        <v>0</v>
      </c>
      <c r="M51">
        <f>VLOOKUP(H51,$A$1:F$161,M$2,0)</f>
        <v>105.55</v>
      </c>
    </row>
    <row r="52" spans="1:13" x14ac:dyDescent="0.25">
      <c r="A52" t="s">
        <v>50</v>
      </c>
      <c r="B52">
        <v>0</v>
      </c>
      <c r="C52">
        <v>0</v>
      </c>
      <c r="D52">
        <v>0</v>
      </c>
      <c r="E52">
        <v>0</v>
      </c>
      <c r="F52">
        <v>88.64</v>
      </c>
      <c r="H52" t="s">
        <v>78</v>
      </c>
      <c r="I52">
        <f>VLOOKUP(H52,$A$1:F$161,I$2,0)</f>
        <v>-12.67</v>
      </c>
      <c r="J52">
        <f>VLOOKUP(H52,$A$1:F$161,J$2,0)</f>
        <v>10.97</v>
      </c>
      <c r="K52">
        <f>VLOOKUP(H52,$A$1:F$161,K$2,0)</f>
        <v>8.1</v>
      </c>
      <c r="L52">
        <f>VLOOKUP(H52,$A$1:F$161,L$2,0)</f>
        <v>-22.42</v>
      </c>
      <c r="M52">
        <f>VLOOKUP(H52,$A$1:F$161,M$2,0)</f>
        <v>2.67</v>
      </c>
    </row>
    <row r="53" spans="1:13" ht="48" customHeight="1" x14ac:dyDescent="0.25">
      <c r="A53" t="s">
        <v>51</v>
      </c>
      <c r="H53" t="s">
        <v>79</v>
      </c>
      <c r="I53">
        <f>VLOOKUP(H53,$A$1:F$161,I$2,0)</f>
        <v>55.34</v>
      </c>
      <c r="J53">
        <f>VLOOKUP(H53,$A$1:F$161,J$2,0)</f>
        <v>52.99</v>
      </c>
      <c r="K53">
        <f>VLOOKUP(H53,$A$1:F$161,K$2,0)</f>
        <v>53.28</v>
      </c>
      <c r="L53">
        <f>VLOOKUP(H53,$A$1:F$161,L$2,0)</f>
        <v>48.87</v>
      </c>
      <c r="M53">
        <f>VLOOKUP(H53,$A$1:F$161,M$2,0)</f>
        <v>46.77</v>
      </c>
    </row>
    <row r="54" spans="1:13" x14ac:dyDescent="0.25">
      <c r="A54" t="s">
        <v>52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1.9</v>
      </c>
      <c r="J54">
        <f>VLOOKUP(H54,$A$1:F$161,J$2,0)</f>
        <v>1.48</v>
      </c>
      <c r="K54">
        <f>VLOOKUP(H54,$A$1:F$161,K$2,0)</f>
        <v>1.53</v>
      </c>
      <c r="L54">
        <f>VLOOKUP(H54,$A$1:F$161,L$2,0)</f>
        <v>1.31</v>
      </c>
      <c r="M54">
        <f>VLOOKUP(H54,$A$1:F$161,M$2,0)</f>
        <v>1.2</v>
      </c>
    </row>
    <row r="55" spans="1:13" ht="24" customHeight="1" x14ac:dyDescent="0.25">
      <c r="A55" t="s">
        <v>54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55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3.02</v>
      </c>
      <c r="J56">
        <f>VLOOKUP(H56,$A$1:F$161,J$2,0)</f>
        <v>2.42</v>
      </c>
      <c r="K56">
        <f>VLOOKUP(H56,$A$1:F$161,K$2,0)</f>
        <v>2.81</v>
      </c>
      <c r="L56">
        <f>VLOOKUP(H56,$A$1:F$161,L$2,0)</f>
        <v>3.34</v>
      </c>
      <c r="M56">
        <f>VLOOKUP(H56,$A$1:F$161,M$2,0)</f>
        <v>3.52</v>
      </c>
    </row>
    <row r="57" spans="1:13" x14ac:dyDescent="0.25">
      <c r="A57" t="s">
        <v>56</v>
      </c>
      <c r="B57">
        <v>0.17</v>
      </c>
      <c r="C57">
        <v>0.15</v>
      </c>
      <c r="D57">
        <v>0</v>
      </c>
      <c r="E57">
        <v>0.02</v>
      </c>
      <c r="F57">
        <v>0.04</v>
      </c>
      <c r="H57" t="s">
        <v>83</v>
      </c>
      <c r="I57">
        <f>VLOOKUP(H57,$A$1:F$161,I$2,0)</f>
        <v>117.49</v>
      </c>
      <c r="J57">
        <f>VLOOKUP(H57,$A$1:F$161,J$2,0)</f>
        <v>99.02</v>
      </c>
      <c r="K57">
        <f>VLOOKUP(H57,$A$1:F$161,K$2,0)</f>
        <v>91.15</v>
      </c>
      <c r="L57">
        <f>VLOOKUP(H57,$A$1:F$161,L$2,0)</f>
        <v>94.42</v>
      </c>
      <c r="M57">
        <f>VLOOKUP(H57,$A$1:F$161,M$2,0)</f>
        <v>80.099999999999994</v>
      </c>
    </row>
    <row r="58" spans="1:13" ht="15" customHeight="1" x14ac:dyDescent="0.25">
      <c r="A58" t="s">
        <v>57</v>
      </c>
      <c r="H58" t="s">
        <v>84</v>
      </c>
      <c r="I58">
        <f>VLOOKUP(H58,$A$1:F$161,I$2,0)</f>
        <v>1663.92</v>
      </c>
      <c r="J58">
        <f>VLOOKUP(H58,$A$1:F$161,J$2,0)</f>
        <v>1408.57</v>
      </c>
      <c r="K58">
        <f>VLOOKUP(H58,$A$1:F$161,K$2,0)</f>
        <v>1406.66</v>
      </c>
      <c r="L58">
        <f>VLOOKUP(H58,$A$1:F$161,L$2,0)</f>
        <v>1200.74</v>
      </c>
      <c r="M58">
        <f>VLOOKUP(H58,$A$1:F$161,M$2,0)</f>
        <v>1200.71</v>
      </c>
    </row>
    <row r="59" spans="1:13" x14ac:dyDescent="0.25">
      <c r="A59" t="s">
        <v>58</v>
      </c>
      <c r="B59">
        <v>1.99</v>
      </c>
      <c r="C59">
        <v>1.99</v>
      </c>
      <c r="D59">
        <v>1.99</v>
      </c>
      <c r="E59">
        <v>1.99</v>
      </c>
      <c r="F59">
        <v>1.99</v>
      </c>
      <c r="H59" t="s">
        <v>85</v>
      </c>
      <c r="I59">
        <f>VLOOKUP(H59,$A$1:F$161,I$2,0)</f>
        <v>12.13</v>
      </c>
      <c r="J59">
        <f>VLOOKUP(H59,$A$1:F$161,J$2,0)</f>
        <v>143.01</v>
      </c>
      <c r="K59">
        <f>VLOOKUP(H59,$A$1:F$161,K$2,0)</f>
        <v>26.08</v>
      </c>
      <c r="L59">
        <f>VLOOKUP(H59,$A$1:F$161,L$2,0)</f>
        <v>16.329999999999998</v>
      </c>
      <c r="M59">
        <f>VLOOKUP(H59,$A$1:F$161,M$2,0)</f>
        <v>108.65</v>
      </c>
    </row>
    <row r="60" spans="1:13" ht="24" customHeight="1" x14ac:dyDescent="0.25">
      <c r="A60" t="s">
        <v>59</v>
      </c>
      <c r="H60" t="s">
        <v>87</v>
      </c>
      <c r="I60">
        <f>VLOOKUP(H60,$A$1:F$161,I$2,0)</f>
        <v>9.2799999999999994</v>
      </c>
      <c r="J60">
        <f>VLOOKUP(H60,$A$1:F$161,J$2,0)</f>
        <v>149.69</v>
      </c>
      <c r="K60">
        <f>VLOOKUP(H60,$A$1:F$161,K$2,0)</f>
        <v>26.08</v>
      </c>
      <c r="L60">
        <f>VLOOKUP(H60,$A$1:F$161,L$2,0)</f>
        <v>14.63</v>
      </c>
      <c r="M60">
        <f>VLOOKUP(H60,$A$1:F$161,M$2,0)</f>
        <v>108.65</v>
      </c>
    </row>
    <row r="61" spans="1:13" x14ac:dyDescent="0.25">
      <c r="A61" t="s">
        <v>60</v>
      </c>
      <c r="B61" t="s">
        <v>53</v>
      </c>
      <c r="C61" t="s">
        <v>53</v>
      </c>
      <c r="D61" t="s">
        <v>53</v>
      </c>
      <c r="E61" t="s">
        <v>53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61</v>
      </c>
      <c r="B62" t="s">
        <v>53</v>
      </c>
      <c r="C62" t="s">
        <v>53</v>
      </c>
      <c r="D62" t="s">
        <v>53</v>
      </c>
      <c r="E62">
        <v>0.03</v>
      </c>
      <c r="F62">
        <v>0.03</v>
      </c>
      <c r="H62" t="s">
        <v>89</v>
      </c>
      <c r="I62">
        <f>VLOOKUP(H62,$A$1:F$161,I$2,0)</f>
        <v>3.3</v>
      </c>
      <c r="J62">
        <f>VLOOKUP(H62,$A$1:F$161,J$2,0)</f>
        <v>36.5</v>
      </c>
      <c r="K62">
        <f>VLOOKUP(H62,$A$1:F$161,K$2,0)</f>
        <v>7</v>
      </c>
      <c r="L62">
        <f>VLOOKUP(H62,$A$1:F$161,L$2,0)</f>
        <v>6.25</v>
      </c>
      <c r="M62">
        <f>VLOOKUP(H62,$A$1:F$161,M$2,0)</f>
        <v>38</v>
      </c>
    </row>
    <row r="63" spans="1:13" ht="24" customHeight="1" x14ac:dyDescent="0.25">
      <c r="A63" t="s">
        <v>62</v>
      </c>
      <c r="H63" t="s">
        <v>90</v>
      </c>
      <c r="I63">
        <f>VLOOKUP(H63,$A$1:F$161,I$2,0)</f>
        <v>-0.59</v>
      </c>
      <c r="J63">
        <f>VLOOKUP(H63,$A$1:F$161,J$2,0)</f>
        <v>0.66</v>
      </c>
      <c r="K63">
        <f>VLOOKUP(H63,$A$1:F$161,K$2,0)</f>
        <v>0.37</v>
      </c>
      <c r="L63">
        <f>VLOOKUP(H63,$A$1:F$161,L$2,0)</f>
        <v>-0.69</v>
      </c>
      <c r="M63">
        <f>VLOOKUP(H63,$A$1:F$161,M$2,0)</f>
        <v>1.23</v>
      </c>
    </row>
    <row r="64" spans="1:13" x14ac:dyDescent="0.25">
      <c r="A64" t="s">
        <v>63</v>
      </c>
      <c r="B64" t="s">
        <v>53</v>
      </c>
      <c r="C64" t="s">
        <v>53</v>
      </c>
      <c r="D64" t="s">
        <v>53</v>
      </c>
      <c r="E64" t="s">
        <v>53</v>
      </c>
      <c r="F64" t="s">
        <v>53</v>
      </c>
      <c r="H64" t="s">
        <v>112</v>
      </c>
      <c r="I64">
        <f>VLOOKUP(H64,$A$1:F$161,I$2,0)</f>
        <v>0</v>
      </c>
      <c r="J64">
        <f>VLOOKUP(H64,$A$1:F$161,J$2,0)</f>
        <v>-0.4</v>
      </c>
      <c r="K64">
        <f>VLOOKUP(H64,$A$1:F$161,K$2,0)</f>
        <v>-0.19</v>
      </c>
      <c r="L64">
        <f>VLOOKUP(H64,$A$1:F$161,L$2,0)</f>
        <v>-0.35</v>
      </c>
      <c r="M64">
        <f>VLOOKUP(H64,$A$1:F$161,M$2,0)</f>
        <v>-0.21</v>
      </c>
    </row>
    <row r="65" spans="1:13" x14ac:dyDescent="0.25">
      <c r="A65" t="s">
        <v>64</v>
      </c>
      <c r="B65" t="s">
        <v>53</v>
      </c>
      <c r="C65" t="s">
        <v>53</v>
      </c>
      <c r="D65" t="s">
        <v>53</v>
      </c>
      <c r="E65" t="s">
        <v>53</v>
      </c>
      <c r="F65">
        <v>82.03</v>
      </c>
      <c r="H65" t="s">
        <v>91</v>
      </c>
      <c r="I65">
        <f>VLOOKUP(H65,$A$1:F$161,I$2,0)</f>
        <v>2.71</v>
      </c>
      <c r="J65">
        <f>VLOOKUP(H65,$A$1:F$161,J$2,0)</f>
        <v>36.76</v>
      </c>
      <c r="K65">
        <f>VLOOKUP(H65,$A$1:F$161,K$2,0)</f>
        <v>7.18</v>
      </c>
      <c r="L65">
        <f>VLOOKUP(H65,$A$1:F$161,L$2,0)</f>
        <v>5.2</v>
      </c>
      <c r="M65">
        <f>VLOOKUP(H65,$A$1:F$161,M$2,0)</f>
        <v>39.020000000000003</v>
      </c>
    </row>
    <row r="66" spans="1:13" x14ac:dyDescent="0.25">
      <c r="H66" t="s">
        <v>92</v>
      </c>
      <c r="I66">
        <f>VLOOKUP(H66,$A$1:F$161,I$2,0)</f>
        <v>6.57</v>
      </c>
      <c r="J66">
        <f>VLOOKUP(H66,$A$1:F$161,J$2,0)</f>
        <v>112.93</v>
      </c>
      <c r="K66">
        <f>VLOOKUP(H66,$A$1:F$161,K$2,0)</f>
        <v>18.899999999999999</v>
      </c>
      <c r="L66">
        <f>VLOOKUP(H66,$A$1:F$161,L$2,0)</f>
        <v>9.43</v>
      </c>
      <c r="M66">
        <f>VLOOKUP(H66,$A$1:F$161,M$2,0)</f>
        <v>69.63</v>
      </c>
    </row>
    <row r="67" spans="1:13" x14ac:dyDescent="0.25">
      <c r="H67" t="s">
        <v>93</v>
      </c>
      <c r="I67">
        <f>VLOOKUP(H67,$A$1:F$161,I$2,0)</f>
        <v>6.57</v>
      </c>
      <c r="J67">
        <f>VLOOKUP(H67,$A$1:F$161,J$2,0)</f>
        <v>112.93</v>
      </c>
      <c r="K67">
        <f>VLOOKUP(H67,$A$1:F$161,K$2,0)</f>
        <v>18.899999999999999</v>
      </c>
      <c r="L67">
        <f>VLOOKUP(H67,$A$1:F$161,L$2,0)</f>
        <v>9.43</v>
      </c>
      <c r="M67">
        <f>VLOOKUP(H67,$A$1:F$161,M$2,0)</f>
        <v>69.63</v>
      </c>
    </row>
    <row r="68" spans="1:13" x14ac:dyDescent="0.25">
      <c r="H68" t="s">
        <v>94</v>
      </c>
      <c r="I68">
        <f>VLOOKUP(H68,$A$1:F$161,I$2,0)</f>
        <v>6.57</v>
      </c>
      <c r="J68">
        <f>VLOOKUP(H68,$A$1:F$161,J$2,0)</f>
        <v>112.93</v>
      </c>
      <c r="K68">
        <f>VLOOKUP(H68,$A$1:F$161,K$2,0)</f>
        <v>18.899999999999999</v>
      </c>
      <c r="L68">
        <f>VLOOKUP(H68,$A$1:F$161,L$2,0)</f>
        <v>9.43</v>
      </c>
      <c r="M68">
        <f>VLOOKUP(H68,$A$1:F$161,M$2,0)</f>
        <v>69.63</v>
      </c>
    </row>
    <row r="69" spans="1:13" ht="15" customHeight="1" x14ac:dyDescent="0.25">
      <c r="A69" t="s">
        <v>65</v>
      </c>
      <c r="H69" t="s">
        <v>101</v>
      </c>
      <c r="I69">
        <f>VLOOKUP(H69,$A$1:F$161,I$2,0)</f>
        <v>27.2</v>
      </c>
      <c r="J69">
        <f>VLOOKUP(H69,$A$1:F$161,J$2,0)</f>
        <v>11.2</v>
      </c>
      <c r="K69">
        <f>VLOOKUP(H69,$A$1:F$161,K$2,0)</f>
        <v>5.79</v>
      </c>
      <c r="L69">
        <f>VLOOKUP(H69,$A$1:F$161,L$2,0)</f>
        <v>19.2</v>
      </c>
      <c r="M69">
        <f>VLOOKUP(H69,$A$1:F$161,M$2,0)</f>
        <v>9.6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</v>
      </c>
      <c r="L70">
        <f>VLOOKUP(H70,$A$1:F$161,L$2,0)</f>
        <v>3.95</v>
      </c>
      <c r="M70">
        <f>VLOOKUP(H70,$A$1:F$161,M$2,0)</f>
        <v>1.95</v>
      </c>
    </row>
    <row r="71" spans="1:13" x14ac:dyDescent="0.25">
      <c r="H71" t="s">
        <v>103</v>
      </c>
      <c r="I71">
        <f>VLOOKUP(H71,$A$1:F$161,I$2,0)</f>
        <v>200</v>
      </c>
      <c r="J71">
        <f>VLOOKUP(H71,$A$1:F$161,J$2,0)</f>
        <v>1000</v>
      </c>
      <c r="K71">
        <f>VLOOKUP(H71,$A$1:F$161,K$2,0)</f>
        <v>200</v>
      </c>
      <c r="L71">
        <f>VLOOKUP(H71,$A$1:F$161,L$2,0)</f>
        <v>150</v>
      </c>
      <c r="M71">
        <f>VLOOKUP(H71,$A$1:F$161,M$2,0)</f>
        <v>600</v>
      </c>
    </row>
    <row r="90" spans="1:6" x14ac:dyDescent="0.25">
      <c r="A90" t="s">
        <v>158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1670.06</v>
      </c>
      <c r="C97">
        <v>1543.26</v>
      </c>
      <c r="D97">
        <v>1428.52</v>
      </c>
      <c r="E97">
        <v>1209.4100000000001</v>
      </c>
      <c r="F97">
        <v>1304.17</v>
      </c>
    </row>
    <row r="98" spans="1:6" x14ac:dyDescent="0.25">
      <c r="A98" t="s">
        <v>70</v>
      </c>
      <c r="B98">
        <v>1670.06</v>
      </c>
      <c r="C98">
        <v>1543.26</v>
      </c>
      <c r="D98">
        <v>1428.52</v>
      </c>
      <c r="E98">
        <v>1209.4100000000001</v>
      </c>
      <c r="F98">
        <v>1304.17</v>
      </c>
    </row>
    <row r="99" spans="1:6" x14ac:dyDescent="0.25">
      <c r="A99" t="s">
        <v>72</v>
      </c>
      <c r="B99">
        <v>1670.06</v>
      </c>
      <c r="C99">
        <v>1543.26</v>
      </c>
      <c r="D99">
        <v>1428.52</v>
      </c>
      <c r="E99">
        <v>1209.4100000000001</v>
      </c>
      <c r="F99">
        <v>1304.17</v>
      </c>
    </row>
    <row r="100" spans="1:6" x14ac:dyDescent="0.25">
      <c r="A100" t="s">
        <v>73</v>
      </c>
      <c r="B100">
        <v>5.99</v>
      </c>
      <c r="C100">
        <v>8.31</v>
      </c>
      <c r="D100">
        <v>4.22</v>
      </c>
      <c r="E100">
        <v>7.66</v>
      </c>
      <c r="F100">
        <v>5.19</v>
      </c>
    </row>
    <row r="101" spans="1:6" x14ac:dyDescent="0.25">
      <c r="A101" t="s">
        <v>74</v>
      </c>
      <c r="B101">
        <v>1676.05</v>
      </c>
      <c r="C101">
        <v>1551.57</v>
      </c>
      <c r="D101">
        <v>1432.74</v>
      </c>
      <c r="E101">
        <v>1217.07</v>
      </c>
      <c r="F101">
        <v>1309.3599999999999</v>
      </c>
    </row>
    <row r="102" spans="1:6" ht="15" customHeight="1" x14ac:dyDescent="0.25">
      <c r="A102" t="s">
        <v>75</v>
      </c>
    </row>
    <row r="103" spans="1:6" x14ac:dyDescent="0.25">
      <c r="A103" t="s">
        <v>76</v>
      </c>
      <c r="B103">
        <v>1393.55</v>
      </c>
      <c r="C103">
        <v>1175.32</v>
      </c>
      <c r="D103">
        <v>1249.78</v>
      </c>
      <c r="E103">
        <v>1075.21</v>
      </c>
      <c r="F103">
        <v>960.9</v>
      </c>
    </row>
    <row r="104" spans="1:6" x14ac:dyDescent="0.25">
      <c r="A104" t="s">
        <v>77</v>
      </c>
      <c r="B104">
        <v>105.29</v>
      </c>
      <c r="C104">
        <v>66.36</v>
      </c>
      <c r="D104">
        <v>0</v>
      </c>
      <c r="E104">
        <v>0</v>
      </c>
      <c r="F104">
        <v>105.55</v>
      </c>
    </row>
    <row r="105" spans="1:6" x14ac:dyDescent="0.25">
      <c r="A105" t="s">
        <v>78</v>
      </c>
      <c r="B105">
        <v>-12.67</v>
      </c>
      <c r="C105">
        <v>10.97</v>
      </c>
      <c r="D105">
        <v>8.1</v>
      </c>
      <c r="E105">
        <v>-22.42</v>
      </c>
      <c r="F105">
        <v>2.67</v>
      </c>
    </row>
    <row r="106" spans="1:6" x14ac:dyDescent="0.25">
      <c r="A106" t="s">
        <v>79</v>
      </c>
      <c r="B106">
        <v>55.34</v>
      </c>
      <c r="C106">
        <v>52.99</v>
      </c>
      <c r="D106">
        <v>53.28</v>
      </c>
      <c r="E106">
        <v>48.87</v>
      </c>
      <c r="F106">
        <v>46.77</v>
      </c>
    </row>
    <row r="107" spans="1:6" x14ac:dyDescent="0.25">
      <c r="A107" t="s">
        <v>80</v>
      </c>
      <c r="B107">
        <v>1.9</v>
      </c>
      <c r="C107">
        <v>1.48</v>
      </c>
      <c r="D107">
        <v>1.53</v>
      </c>
      <c r="E107">
        <v>1.31</v>
      </c>
      <c r="F107">
        <v>1.2</v>
      </c>
    </row>
    <row r="108" spans="1:6" x14ac:dyDescent="0.25">
      <c r="A108" t="s">
        <v>82</v>
      </c>
      <c r="B108">
        <v>3.02</v>
      </c>
      <c r="C108">
        <v>2.42</v>
      </c>
      <c r="D108">
        <v>2.81</v>
      </c>
      <c r="E108">
        <v>3.34</v>
      </c>
      <c r="F108">
        <v>3.52</v>
      </c>
    </row>
    <row r="109" spans="1:6" x14ac:dyDescent="0.25">
      <c r="A109" t="s">
        <v>83</v>
      </c>
      <c r="B109">
        <v>117.49</v>
      </c>
      <c r="C109">
        <v>99.02</v>
      </c>
      <c r="D109">
        <v>91.15</v>
      </c>
      <c r="E109">
        <v>94.42</v>
      </c>
      <c r="F109">
        <v>80.099999999999994</v>
      </c>
    </row>
    <row r="110" spans="1:6" x14ac:dyDescent="0.25">
      <c r="A110" t="s">
        <v>84</v>
      </c>
      <c r="B110">
        <v>1663.92</v>
      </c>
      <c r="C110">
        <v>1408.57</v>
      </c>
      <c r="D110">
        <v>1406.66</v>
      </c>
      <c r="E110">
        <v>1200.74</v>
      </c>
      <c r="F110">
        <v>1200.71</v>
      </c>
    </row>
    <row r="111" spans="1:6" x14ac:dyDescent="0.25">
      <c r="B111">
        <v>44621</v>
      </c>
      <c r="C111">
        <v>44256</v>
      </c>
      <c r="D111">
        <v>43891</v>
      </c>
      <c r="E111">
        <v>43525</v>
      </c>
      <c r="F111">
        <v>43160</v>
      </c>
    </row>
    <row r="113" spans="1:6" x14ac:dyDescent="0.25">
      <c r="B113" t="s">
        <v>5</v>
      </c>
      <c r="C113" t="s">
        <v>5</v>
      </c>
      <c r="D113" t="s">
        <v>5</v>
      </c>
      <c r="E113" t="s">
        <v>5</v>
      </c>
      <c r="F113" t="s">
        <v>5</v>
      </c>
    </row>
    <row r="115" spans="1:6" x14ac:dyDescent="0.25">
      <c r="A115" t="s">
        <v>85</v>
      </c>
      <c r="B115">
        <v>12.13</v>
      </c>
      <c r="C115">
        <v>143.01</v>
      </c>
      <c r="D115">
        <v>26.08</v>
      </c>
      <c r="E115">
        <v>16.329999999999998</v>
      </c>
      <c r="F115">
        <v>108.65</v>
      </c>
    </row>
    <row r="116" spans="1:6" x14ac:dyDescent="0.25">
      <c r="A116" t="s">
        <v>86</v>
      </c>
      <c r="B116">
        <v>-2.85</v>
      </c>
      <c r="C116">
        <v>6.68</v>
      </c>
      <c r="D116">
        <v>0</v>
      </c>
      <c r="E116">
        <v>-1.71</v>
      </c>
      <c r="F116">
        <v>0</v>
      </c>
    </row>
    <row r="117" spans="1:6" x14ac:dyDescent="0.25">
      <c r="A117" t="s">
        <v>87</v>
      </c>
      <c r="B117">
        <v>9.2799999999999994</v>
      </c>
      <c r="C117">
        <v>149.69</v>
      </c>
      <c r="D117">
        <v>26.08</v>
      </c>
      <c r="E117">
        <v>14.63</v>
      </c>
      <c r="F117">
        <v>108.65</v>
      </c>
    </row>
    <row r="118" spans="1:6" ht="24" customHeight="1" x14ac:dyDescent="0.25">
      <c r="A118" t="s">
        <v>88</v>
      </c>
    </row>
    <row r="119" spans="1:6" x14ac:dyDescent="0.25">
      <c r="A119" t="s">
        <v>89</v>
      </c>
      <c r="B119">
        <v>3.3</v>
      </c>
      <c r="C119">
        <v>36.5</v>
      </c>
      <c r="D119">
        <v>7</v>
      </c>
      <c r="E119">
        <v>6.25</v>
      </c>
      <c r="F119">
        <v>38</v>
      </c>
    </row>
    <row r="120" spans="1:6" x14ac:dyDescent="0.25">
      <c r="A120" t="s">
        <v>90</v>
      </c>
      <c r="B120">
        <v>-0.59</v>
      </c>
      <c r="C120">
        <v>0.66</v>
      </c>
      <c r="D120">
        <v>0.37</v>
      </c>
      <c r="E120">
        <v>-0.69</v>
      </c>
      <c r="F120">
        <v>1.23</v>
      </c>
    </row>
    <row r="121" spans="1:6" x14ac:dyDescent="0.25">
      <c r="A121" t="s">
        <v>112</v>
      </c>
      <c r="B121">
        <v>0</v>
      </c>
      <c r="C121">
        <v>-0.4</v>
      </c>
      <c r="D121">
        <v>-0.19</v>
      </c>
      <c r="E121">
        <v>-0.35</v>
      </c>
      <c r="F121">
        <v>-0.21</v>
      </c>
    </row>
    <row r="122" spans="1:6" x14ac:dyDescent="0.25">
      <c r="A122" t="s">
        <v>91</v>
      </c>
      <c r="B122">
        <v>2.71</v>
      </c>
      <c r="C122">
        <v>36.76</v>
      </c>
      <c r="D122">
        <v>7.18</v>
      </c>
      <c r="E122">
        <v>5.2</v>
      </c>
      <c r="F122">
        <v>39.020000000000003</v>
      </c>
    </row>
    <row r="123" spans="1:6" x14ac:dyDescent="0.25">
      <c r="A123" t="s">
        <v>92</v>
      </c>
      <c r="B123">
        <v>6.57</v>
      </c>
      <c r="C123">
        <v>112.93</v>
      </c>
      <c r="D123">
        <v>18.899999999999999</v>
      </c>
      <c r="E123">
        <v>9.43</v>
      </c>
      <c r="F123">
        <v>69.63</v>
      </c>
    </row>
    <row r="124" spans="1:6" x14ac:dyDescent="0.25">
      <c r="A124" t="s">
        <v>93</v>
      </c>
      <c r="B124">
        <v>6.57</v>
      </c>
      <c r="C124">
        <v>112.93</v>
      </c>
      <c r="D124">
        <v>18.899999999999999</v>
      </c>
      <c r="E124">
        <v>9.43</v>
      </c>
      <c r="F124">
        <v>69.63</v>
      </c>
    </row>
    <row r="125" spans="1:6" x14ac:dyDescent="0.25">
      <c r="A125" t="s">
        <v>94</v>
      </c>
      <c r="B125">
        <v>6.57</v>
      </c>
      <c r="C125">
        <v>112.93</v>
      </c>
      <c r="D125">
        <v>18.899999999999999</v>
      </c>
      <c r="E125">
        <v>9.43</v>
      </c>
      <c r="F125">
        <v>69.63</v>
      </c>
    </row>
    <row r="126" spans="1:6" x14ac:dyDescent="0.25">
      <c r="B126">
        <v>44621</v>
      </c>
      <c r="C126">
        <v>44256</v>
      </c>
      <c r="D126">
        <v>43891</v>
      </c>
      <c r="E126">
        <v>43525</v>
      </c>
      <c r="F126">
        <v>43160</v>
      </c>
    </row>
    <row r="128" spans="1:6" x14ac:dyDescent="0.25">
      <c r="B128" t="s">
        <v>5</v>
      </c>
      <c r="C128" t="s">
        <v>5</v>
      </c>
      <c r="D128" t="s">
        <v>5</v>
      </c>
      <c r="E128" t="s">
        <v>5</v>
      </c>
      <c r="F128" t="s">
        <v>5</v>
      </c>
    </row>
    <row r="130" spans="1:6" ht="24" customHeight="1" x14ac:dyDescent="0.25">
      <c r="A130" t="s">
        <v>45</v>
      </c>
    </row>
    <row r="131" spans="1:6" ht="24" customHeight="1" x14ac:dyDescent="0.25">
      <c r="A131" t="s">
        <v>95</v>
      </c>
    </row>
    <row r="132" spans="1:6" x14ac:dyDescent="0.25">
      <c r="A132" t="s">
        <v>96</v>
      </c>
      <c r="B132">
        <v>20.54</v>
      </c>
      <c r="C132">
        <v>352.91</v>
      </c>
      <c r="D132">
        <v>59.06</v>
      </c>
      <c r="E132">
        <v>29.46</v>
      </c>
      <c r="F132">
        <v>217.58</v>
      </c>
    </row>
    <row r="133" spans="1:6" x14ac:dyDescent="0.25">
      <c r="A133" t="s">
        <v>97</v>
      </c>
      <c r="B133">
        <v>20.54</v>
      </c>
      <c r="C133">
        <v>352.91</v>
      </c>
      <c r="D133">
        <v>59.06</v>
      </c>
      <c r="E133">
        <v>29.46</v>
      </c>
      <c r="F133">
        <v>217.58</v>
      </c>
    </row>
    <row r="134" spans="1:6" ht="36" customHeight="1" x14ac:dyDescent="0.25">
      <c r="A134" t="s">
        <v>98</v>
      </c>
    </row>
    <row r="135" spans="1:6" x14ac:dyDescent="0.25">
      <c r="A135" t="s">
        <v>142</v>
      </c>
      <c r="B135">
        <v>284.45999999999998</v>
      </c>
      <c r="C135">
        <v>255.22</v>
      </c>
      <c r="D135">
        <v>165.37</v>
      </c>
      <c r="E135">
        <v>135.77000000000001</v>
      </c>
      <c r="F135">
        <v>105.91</v>
      </c>
    </row>
    <row r="136" spans="1:6" x14ac:dyDescent="0.25">
      <c r="A136" t="s">
        <v>143</v>
      </c>
      <c r="B136">
        <v>1109.0899999999999</v>
      </c>
      <c r="C136">
        <v>920.1</v>
      </c>
      <c r="D136">
        <v>1084.4100000000001</v>
      </c>
      <c r="E136">
        <v>939.44</v>
      </c>
      <c r="F136">
        <v>854.99</v>
      </c>
    </row>
    <row r="137" spans="1:6" ht="24" customHeight="1" x14ac:dyDescent="0.25">
      <c r="A137" t="s">
        <v>99</v>
      </c>
    </row>
    <row r="138" spans="1:6" x14ac:dyDescent="0.25">
      <c r="A138" t="s">
        <v>144</v>
      </c>
      <c r="B138">
        <v>0.03</v>
      </c>
      <c r="C138">
        <v>0.06</v>
      </c>
      <c r="D138">
        <v>0.01</v>
      </c>
      <c r="E138">
        <v>0.09</v>
      </c>
      <c r="F138">
        <v>0.08</v>
      </c>
    </row>
    <row r="139" spans="1:6" x14ac:dyDescent="0.25">
      <c r="A139" t="s">
        <v>145</v>
      </c>
      <c r="B139">
        <v>7.72</v>
      </c>
      <c r="C139">
        <v>6.35</v>
      </c>
      <c r="D139">
        <v>6.16</v>
      </c>
      <c r="E139">
        <v>6.33</v>
      </c>
      <c r="F139">
        <v>6.29</v>
      </c>
    </row>
    <row r="140" spans="1:6" ht="36" customHeight="1" x14ac:dyDescent="0.25">
      <c r="A140" t="s">
        <v>100</v>
      </c>
    </row>
    <row r="141" spans="1:6" x14ac:dyDescent="0.25">
      <c r="A141" t="s">
        <v>101</v>
      </c>
      <c r="B141">
        <v>27.2</v>
      </c>
      <c r="C141">
        <v>11.2</v>
      </c>
      <c r="D141">
        <v>5.79</v>
      </c>
      <c r="E141">
        <v>19.2</v>
      </c>
      <c r="F141">
        <v>9.6</v>
      </c>
    </row>
    <row r="142" spans="1:6" x14ac:dyDescent="0.25">
      <c r="A142" t="s">
        <v>102</v>
      </c>
      <c r="B142">
        <v>0</v>
      </c>
      <c r="C142">
        <v>0</v>
      </c>
      <c r="D142">
        <v>0</v>
      </c>
      <c r="E142">
        <v>3.95</v>
      </c>
      <c r="F142">
        <v>1.95</v>
      </c>
    </row>
    <row r="143" spans="1:6" x14ac:dyDescent="0.25">
      <c r="A143" t="s">
        <v>103</v>
      </c>
      <c r="B143">
        <v>200</v>
      </c>
      <c r="C143">
        <v>1000</v>
      </c>
      <c r="D143">
        <v>200</v>
      </c>
      <c r="E143">
        <v>150</v>
      </c>
      <c r="F143">
        <v>600</v>
      </c>
    </row>
    <row r="147" spans="1:1" ht="15" customHeight="1" x14ac:dyDescent="0.25">
      <c r="A147" t="s">
        <v>65</v>
      </c>
    </row>
  </sheetData>
  <hyperlinks>
    <hyperlink ref="B1" r:id="rId1" display="javascript:void(0);" xr:uid="{97DAB9BD-7762-4ACE-A393-C73CE125B879}"/>
    <hyperlink ref="B90" r:id="rId2" display="javascript:void(0);" xr:uid="{CD0AD2B6-1B3B-41F1-8EB5-8DCABF417B31}"/>
  </hyperlinks>
  <pageMargins left="0.7" right="0.7" top="0.75" bottom="0.75" header="0.3" footer="0.3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B05E-DD60-43F7-9623-37ED2D8D055A}">
  <sheetPr codeName="Sheet27"/>
  <dimension ref="A1:M131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159</v>
      </c>
      <c r="B1" t="s">
        <v>1</v>
      </c>
      <c r="H1" t="str">
        <f>A1</f>
        <v>Milkfood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4.8899999999999997</v>
      </c>
      <c r="J4">
        <f>VLOOKUP(H4,$A$1:F$161,J$2,0)</f>
        <v>4.8899999999999997</v>
      </c>
      <c r="K4">
        <f>VLOOKUP(H4,$A$1:F$161,K$2,0)</f>
        <v>4.8899999999999997</v>
      </c>
      <c r="L4">
        <f>VLOOKUP(H4,$A$1:F$161,L$2,0)</f>
        <v>4.8899999999999997</v>
      </c>
      <c r="M4">
        <f>VLOOKUP(H4,$A$1:F$161,M$2,0)</f>
        <v>4.8899999999999997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4.8899999999999997</v>
      </c>
      <c r="J5">
        <f>VLOOKUP(H5,$A$1:F$161,J$2,0)</f>
        <v>4.8899999999999997</v>
      </c>
      <c r="K5">
        <f>VLOOKUP(H5,$A$1:F$161,K$2,0)</f>
        <v>4.8899999999999997</v>
      </c>
      <c r="L5">
        <f>VLOOKUP(H5,$A$1:F$161,L$2,0)</f>
        <v>4.8899999999999997</v>
      </c>
      <c r="M5">
        <f>VLOOKUP(H5,$A$1:F$161,M$2,0)</f>
        <v>4.8899999999999997</v>
      </c>
    </row>
    <row r="6" spans="1:13" x14ac:dyDescent="0.25">
      <c r="H6" t="s">
        <v>10</v>
      </c>
      <c r="I6">
        <f>VLOOKUP(H6,$A$1:F$161,I$2,0)</f>
        <v>117.79</v>
      </c>
      <c r="J6">
        <f>VLOOKUP(H6,$A$1:F$161,J$2,0)</f>
        <v>114.15</v>
      </c>
      <c r="K6">
        <f>VLOOKUP(H6,$A$1:F$161,K$2,0)</f>
        <v>111.8</v>
      </c>
      <c r="L6">
        <f>VLOOKUP(H6,$A$1:F$161,L$2,0)</f>
        <v>103.4</v>
      </c>
      <c r="M6">
        <f>VLOOKUP(H6,$A$1:F$161,M$2,0)</f>
        <v>93.31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117.79</v>
      </c>
      <c r="J7">
        <f>VLOOKUP(H7,$A$1:F$161,J$2,0)</f>
        <v>114.15</v>
      </c>
      <c r="K7">
        <f>VLOOKUP(H7,$A$1:F$161,K$2,0)</f>
        <v>111.8</v>
      </c>
      <c r="L7">
        <f>VLOOKUP(H7,$A$1:F$161,L$2,0)</f>
        <v>103.4</v>
      </c>
      <c r="M7">
        <f>VLOOKUP(H7,$A$1:F$161,M$2,0)</f>
        <v>93.31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122.68</v>
      </c>
      <c r="J8">
        <f>VLOOKUP(H8,$A$1:F$161,J$2,0)</f>
        <v>119.04</v>
      </c>
      <c r="K8">
        <f>VLOOKUP(H8,$A$1:F$161,K$2,0)</f>
        <v>116.69</v>
      </c>
      <c r="L8">
        <f>VLOOKUP(H8,$A$1:F$161,L$2,0)</f>
        <v>108.29</v>
      </c>
      <c r="M8">
        <f>VLOOKUP(H8,$A$1:F$161,M$2,0)</f>
        <v>98.2</v>
      </c>
    </row>
    <row r="9" spans="1:13" x14ac:dyDescent="0.25">
      <c r="A9" t="s">
        <v>8</v>
      </c>
      <c r="B9">
        <v>4.8899999999999997</v>
      </c>
      <c r="C9">
        <v>4.8899999999999997</v>
      </c>
      <c r="D9">
        <v>4.8899999999999997</v>
      </c>
      <c r="E9">
        <v>4.8899999999999997</v>
      </c>
      <c r="F9">
        <v>4.8899999999999997</v>
      </c>
      <c r="H9" t="s">
        <v>14</v>
      </c>
      <c r="I9">
        <f>VLOOKUP(H9,$A$1:F$161,I$2,0)</f>
        <v>17.52</v>
      </c>
      <c r="J9">
        <f>VLOOKUP(H9,$A$1:F$161,J$2,0)</f>
        <v>15.77</v>
      </c>
      <c r="K9">
        <f>VLOOKUP(H9,$A$1:F$161,K$2,0)</f>
        <v>11.62</v>
      </c>
      <c r="L9">
        <f>VLOOKUP(H9,$A$1:F$161,L$2,0)</f>
        <v>9.33</v>
      </c>
      <c r="M9">
        <f>VLOOKUP(H9,$A$1:F$161,M$2,0)</f>
        <v>12.25</v>
      </c>
    </row>
    <row r="10" spans="1:13" x14ac:dyDescent="0.25">
      <c r="A10" t="s">
        <v>9</v>
      </c>
      <c r="B10">
        <v>4.8899999999999997</v>
      </c>
      <c r="C10">
        <v>4.8899999999999997</v>
      </c>
      <c r="D10">
        <v>4.8899999999999997</v>
      </c>
      <c r="E10">
        <v>4.8899999999999997</v>
      </c>
      <c r="F10">
        <v>4.8899999999999997</v>
      </c>
      <c r="H10" t="s">
        <v>16</v>
      </c>
      <c r="I10">
        <f>VLOOKUP(H10,$A$1:F$161,I$2,0)</f>
        <v>78.849999999999994</v>
      </c>
      <c r="J10">
        <f>VLOOKUP(H10,$A$1:F$161,J$2,0)</f>
        <v>73.38</v>
      </c>
      <c r="K10">
        <f>VLOOKUP(H10,$A$1:F$161,K$2,0)</f>
        <v>62.23</v>
      </c>
      <c r="L10">
        <f>VLOOKUP(H10,$A$1:F$161,L$2,0)</f>
        <v>58.27</v>
      </c>
      <c r="M10">
        <f>VLOOKUP(H10,$A$1:F$161,M$2,0)</f>
        <v>47.04</v>
      </c>
    </row>
    <row r="11" spans="1:13" x14ac:dyDescent="0.25">
      <c r="A11" t="s">
        <v>10</v>
      </c>
      <c r="B11">
        <v>117.79</v>
      </c>
      <c r="C11">
        <v>114.15</v>
      </c>
      <c r="D11">
        <v>111.8</v>
      </c>
      <c r="E11">
        <v>103.4</v>
      </c>
      <c r="F11">
        <v>93.31</v>
      </c>
      <c r="H11" t="s">
        <v>17</v>
      </c>
      <c r="I11">
        <f>VLOOKUP(H11,$A$1:F$161,I$2,0)</f>
        <v>2</v>
      </c>
      <c r="J11">
        <f>VLOOKUP(H11,$A$1:F$161,J$2,0)</f>
        <v>1.74</v>
      </c>
      <c r="K11">
        <f>VLOOKUP(H11,$A$1:F$161,K$2,0)</f>
        <v>2.06</v>
      </c>
      <c r="L11">
        <f>VLOOKUP(H11,$A$1:F$161,L$2,0)</f>
        <v>2.0699999999999998</v>
      </c>
      <c r="M11">
        <f>VLOOKUP(H11,$A$1:F$161,M$2,0)</f>
        <v>1.9</v>
      </c>
    </row>
    <row r="12" spans="1:13" x14ac:dyDescent="0.25">
      <c r="A12" t="s">
        <v>11</v>
      </c>
      <c r="B12">
        <v>117.79</v>
      </c>
      <c r="C12">
        <v>114.15</v>
      </c>
      <c r="D12">
        <v>111.8</v>
      </c>
      <c r="E12">
        <v>103.4</v>
      </c>
      <c r="F12">
        <v>93.31</v>
      </c>
      <c r="H12" t="s">
        <v>18</v>
      </c>
      <c r="I12">
        <f>VLOOKUP(H12,$A$1:F$161,I$2,0)</f>
        <v>107.14</v>
      </c>
      <c r="J12">
        <f>VLOOKUP(H12,$A$1:F$161,J$2,0)</f>
        <v>100.87</v>
      </c>
      <c r="K12">
        <f>VLOOKUP(H12,$A$1:F$161,K$2,0)</f>
        <v>85.17</v>
      </c>
      <c r="L12">
        <f>VLOOKUP(H12,$A$1:F$161,L$2,0)</f>
        <v>75.61</v>
      </c>
      <c r="M12">
        <f>VLOOKUP(H12,$A$1:F$161,M$2,0)</f>
        <v>63.98</v>
      </c>
    </row>
    <row r="13" spans="1:13" x14ac:dyDescent="0.25">
      <c r="A13" t="s">
        <v>12</v>
      </c>
      <c r="B13">
        <v>122.68</v>
      </c>
      <c r="C13">
        <v>119.04</v>
      </c>
      <c r="D13">
        <v>116.69</v>
      </c>
      <c r="E13">
        <v>108.29</v>
      </c>
      <c r="F13">
        <v>98.2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15.61</v>
      </c>
      <c r="J14">
        <f>VLOOKUP(H14,$A$1:F$161,J$2,0)</f>
        <v>27.98</v>
      </c>
      <c r="K14">
        <f>VLOOKUP(H14,$A$1:F$161,K$2,0)</f>
        <v>31.44</v>
      </c>
      <c r="L14">
        <f>VLOOKUP(H14,$A$1:F$161,L$2,0)</f>
        <v>44.48</v>
      </c>
      <c r="M14">
        <f>VLOOKUP(H14,$A$1:F$161,M$2,0)</f>
        <v>32.700000000000003</v>
      </c>
    </row>
    <row r="15" spans="1:13" x14ac:dyDescent="0.25">
      <c r="A15" t="s">
        <v>14</v>
      </c>
      <c r="B15">
        <v>17.52</v>
      </c>
      <c r="C15">
        <v>15.77</v>
      </c>
      <c r="D15">
        <v>11.62</v>
      </c>
      <c r="E15">
        <v>9.33</v>
      </c>
      <c r="F15">
        <v>12.25</v>
      </c>
      <c r="H15" t="s">
        <v>22</v>
      </c>
      <c r="I15">
        <f>VLOOKUP(H15,$A$1:F$161,I$2,0)</f>
        <v>2.38</v>
      </c>
      <c r="J15">
        <f>VLOOKUP(H15,$A$1:F$161,J$2,0)</f>
        <v>13.22</v>
      </c>
      <c r="K15">
        <f>VLOOKUP(H15,$A$1:F$161,K$2,0)</f>
        <v>16.7</v>
      </c>
      <c r="L15">
        <f>VLOOKUP(H15,$A$1:F$161,L$2,0)</f>
        <v>11.7</v>
      </c>
      <c r="M15">
        <f>VLOOKUP(H15,$A$1:F$161,M$2,0)</f>
        <v>12.97</v>
      </c>
    </row>
    <row r="16" spans="1:13" x14ac:dyDescent="0.25">
      <c r="A16" t="s">
        <v>15</v>
      </c>
      <c r="B16">
        <v>8.77</v>
      </c>
      <c r="C16">
        <v>9.98</v>
      </c>
      <c r="D16">
        <v>9.26</v>
      </c>
      <c r="E16">
        <v>5.94</v>
      </c>
      <c r="F16">
        <v>2.79</v>
      </c>
      <c r="H16" t="s">
        <v>23</v>
      </c>
      <c r="I16">
        <f>VLOOKUP(H16,$A$1:F$161,I$2,0)</f>
        <v>1.4</v>
      </c>
      <c r="J16">
        <f>VLOOKUP(H16,$A$1:F$161,J$2,0)</f>
        <v>1.72</v>
      </c>
      <c r="K16">
        <f>VLOOKUP(H16,$A$1:F$161,K$2,0)</f>
        <v>1.3</v>
      </c>
      <c r="L16">
        <f>VLOOKUP(H16,$A$1:F$161,L$2,0)</f>
        <v>0.94</v>
      </c>
      <c r="M16">
        <f>VLOOKUP(H16,$A$1:F$161,M$2,0)</f>
        <v>0.72</v>
      </c>
    </row>
    <row r="17" spans="1:13" x14ac:dyDescent="0.25">
      <c r="A17" t="s">
        <v>16</v>
      </c>
      <c r="B17">
        <v>78.849999999999994</v>
      </c>
      <c r="C17">
        <v>73.38</v>
      </c>
      <c r="D17">
        <v>62.23</v>
      </c>
      <c r="E17">
        <v>58.27</v>
      </c>
      <c r="F17">
        <v>47.04</v>
      </c>
      <c r="H17" t="s">
        <v>24</v>
      </c>
      <c r="I17">
        <f>VLOOKUP(H17,$A$1:F$161,I$2,0)</f>
        <v>74.430000000000007</v>
      </c>
      <c r="J17">
        <f>VLOOKUP(H17,$A$1:F$161,J$2,0)</f>
        <v>89.58</v>
      </c>
      <c r="K17">
        <f>VLOOKUP(H17,$A$1:F$161,K$2,0)</f>
        <v>98.32</v>
      </c>
      <c r="L17">
        <f>VLOOKUP(H17,$A$1:F$161,L$2,0)</f>
        <v>98.69</v>
      </c>
      <c r="M17">
        <f>VLOOKUP(H17,$A$1:F$161,M$2,0)</f>
        <v>97.07</v>
      </c>
    </row>
    <row r="18" spans="1:13" x14ac:dyDescent="0.25">
      <c r="A18" t="s">
        <v>17</v>
      </c>
      <c r="B18">
        <v>2</v>
      </c>
      <c r="C18">
        <v>1.74</v>
      </c>
      <c r="D18">
        <v>2.06</v>
      </c>
      <c r="E18">
        <v>2.0699999999999998</v>
      </c>
      <c r="F18">
        <v>1.9</v>
      </c>
      <c r="H18" t="s">
        <v>25</v>
      </c>
      <c r="I18">
        <f>VLOOKUP(H18,$A$1:F$161,I$2,0)</f>
        <v>304.25</v>
      </c>
      <c r="J18">
        <f>VLOOKUP(H18,$A$1:F$161,J$2,0)</f>
        <v>309.49</v>
      </c>
      <c r="K18">
        <f>VLOOKUP(H18,$A$1:F$161,K$2,0)</f>
        <v>300.18</v>
      </c>
      <c r="L18">
        <f>VLOOKUP(H18,$A$1:F$161,L$2,0)</f>
        <v>282.58999999999997</v>
      </c>
      <c r="M18">
        <f>VLOOKUP(H18,$A$1:F$161,M$2,0)</f>
        <v>259.25</v>
      </c>
    </row>
    <row r="19" spans="1:13" x14ac:dyDescent="0.25">
      <c r="A19" t="s">
        <v>18</v>
      </c>
      <c r="B19">
        <v>107.14</v>
      </c>
      <c r="C19">
        <v>100.87</v>
      </c>
      <c r="D19">
        <v>85.17</v>
      </c>
      <c r="E19">
        <v>75.61</v>
      </c>
      <c r="F19">
        <v>63.98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55.04</v>
      </c>
      <c r="C21">
        <v>46.66</v>
      </c>
      <c r="D21">
        <v>48.88</v>
      </c>
      <c r="E21">
        <v>41.57</v>
      </c>
      <c r="F21">
        <v>50.68</v>
      </c>
      <c r="H21" t="s">
        <v>28</v>
      </c>
      <c r="I21">
        <f>VLOOKUP(H21,$A$1:F$161,I$2,0)</f>
        <v>182.45</v>
      </c>
      <c r="J21">
        <f>VLOOKUP(H21,$A$1:F$161,J$2,0)</f>
        <v>180.92</v>
      </c>
      <c r="K21">
        <f>VLOOKUP(H21,$A$1:F$161,K$2,0)</f>
        <v>180.91</v>
      </c>
      <c r="L21">
        <f>VLOOKUP(H21,$A$1:F$161,L$2,0)</f>
        <v>166.21</v>
      </c>
      <c r="M21">
        <f>VLOOKUP(H21,$A$1:F$161,M$2,0)</f>
        <v>163.32</v>
      </c>
    </row>
    <row r="22" spans="1:13" x14ac:dyDescent="0.25">
      <c r="A22" t="s">
        <v>21</v>
      </c>
      <c r="B22">
        <v>15.61</v>
      </c>
      <c r="C22">
        <v>27.98</v>
      </c>
      <c r="D22">
        <v>31.44</v>
      </c>
      <c r="E22">
        <v>44.48</v>
      </c>
      <c r="F22">
        <v>32.700000000000003</v>
      </c>
      <c r="H22" t="s">
        <v>29</v>
      </c>
      <c r="I22">
        <f>VLOOKUP(H22,$A$1:F$161,I$2,0)</f>
        <v>4.7</v>
      </c>
      <c r="J22">
        <f>VLOOKUP(H22,$A$1:F$161,J$2,0)</f>
        <v>1.56</v>
      </c>
      <c r="K22">
        <f>VLOOKUP(H22,$A$1:F$161,K$2,0)</f>
        <v>1.63</v>
      </c>
      <c r="L22">
        <f>VLOOKUP(H22,$A$1:F$161,L$2,0)</f>
        <v>1.73</v>
      </c>
      <c r="M22">
        <f>VLOOKUP(H22,$A$1:F$161,M$2,0)</f>
        <v>1.49</v>
      </c>
    </row>
    <row r="23" spans="1:13" x14ac:dyDescent="0.25">
      <c r="A23" t="s">
        <v>22</v>
      </c>
      <c r="B23">
        <v>2.38</v>
      </c>
      <c r="C23">
        <v>13.22</v>
      </c>
      <c r="D23">
        <v>16.7</v>
      </c>
      <c r="E23">
        <v>11.7</v>
      </c>
      <c r="F23">
        <v>12.97</v>
      </c>
      <c r="H23" t="s">
        <v>30</v>
      </c>
      <c r="I23">
        <f>VLOOKUP(H23,$A$1:F$161,I$2,0)</f>
        <v>189.17</v>
      </c>
      <c r="J23">
        <f>VLOOKUP(H23,$A$1:F$161,J$2,0)</f>
        <v>185.53</v>
      </c>
      <c r="K23">
        <f>VLOOKUP(H23,$A$1:F$161,K$2,0)</f>
        <v>186.5</v>
      </c>
      <c r="L23">
        <f>VLOOKUP(H23,$A$1:F$161,L$2,0)</f>
        <v>170.13</v>
      </c>
      <c r="M23">
        <f>VLOOKUP(H23,$A$1:F$161,M$2,0)</f>
        <v>166.76</v>
      </c>
    </row>
    <row r="24" spans="1:13" x14ac:dyDescent="0.25">
      <c r="A24" t="s">
        <v>23</v>
      </c>
      <c r="B24">
        <v>1.4</v>
      </c>
      <c r="C24">
        <v>1.72</v>
      </c>
      <c r="D24">
        <v>1.3</v>
      </c>
      <c r="E24">
        <v>0.94</v>
      </c>
      <c r="F24">
        <v>0.72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24</v>
      </c>
      <c r="B25">
        <v>74.430000000000007</v>
      </c>
      <c r="C25">
        <v>89.58</v>
      </c>
      <c r="D25">
        <v>98.32</v>
      </c>
      <c r="E25">
        <v>98.69</v>
      </c>
      <c r="F25">
        <v>97.07</v>
      </c>
      <c r="H25" t="s">
        <v>33</v>
      </c>
      <c r="I25">
        <f>VLOOKUP(H25,$A$1:F$161,I$2,0)</f>
        <v>0</v>
      </c>
      <c r="J25">
        <f>VLOOKUP(H25,$A$1:F$161,J$2,0)</f>
        <v>1.1399999999999999</v>
      </c>
      <c r="K25">
        <f>VLOOKUP(H25,$A$1:F$161,K$2,0)</f>
        <v>1.06</v>
      </c>
      <c r="L25">
        <f>VLOOKUP(H25,$A$1:F$161,L$2,0)</f>
        <v>1.1599999999999999</v>
      </c>
      <c r="M25">
        <f>VLOOKUP(H25,$A$1:F$161,M$2,0)</f>
        <v>1.1499999999999999</v>
      </c>
    </row>
    <row r="26" spans="1:13" x14ac:dyDescent="0.25">
      <c r="A26" t="s">
        <v>25</v>
      </c>
      <c r="B26">
        <v>304.25</v>
      </c>
      <c r="C26">
        <v>309.49</v>
      </c>
      <c r="D26">
        <v>300.18</v>
      </c>
      <c r="E26">
        <v>282.58999999999997</v>
      </c>
      <c r="F26">
        <v>259.25</v>
      </c>
      <c r="H26" t="s">
        <v>34</v>
      </c>
      <c r="I26">
        <f>VLOOKUP(H26,$A$1:F$161,I$2,0)</f>
        <v>12.89</v>
      </c>
      <c r="J26">
        <f>VLOOKUP(H26,$A$1:F$161,J$2,0)</f>
        <v>11.7</v>
      </c>
      <c r="K26">
        <f>VLOOKUP(H26,$A$1:F$161,K$2,0)</f>
        <v>11.1</v>
      </c>
      <c r="L26">
        <f>VLOOKUP(H26,$A$1:F$161,L$2,0)</f>
        <v>4.78</v>
      </c>
      <c r="M26">
        <f>VLOOKUP(H26,$A$1:F$161,M$2,0)</f>
        <v>2.17</v>
      </c>
    </row>
    <row r="27" spans="1:13" x14ac:dyDescent="0.25">
      <c r="A27" t="s">
        <v>26</v>
      </c>
      <c r="H27" t="s">
        <v>35</v>
      </c>
      <c r="I27">
        <f>VLOOKUP(H27,$A$1:F$161,I$2,0)</f>
        <v>202.09</v>
      </c>
      <c r="J27">
        <f>VLOOKUP(H27,$A$1:F$161,J$2,0)</f>
        <v>198.4</v>
      </c>
      <c r="K27">
        <f>VLOOKUP(H27,$A$1:F$161,K$2,0)</f>
        <v>198.69</v>
      </c>
      <c r="L27">
        <f>VLOOKUP(H27,$A$1:F$161,L$2,0)</f>
        <v>176.09</v>
      </c>
      <c r="M27">
        <f>VLOOKUP(H27,$A$1:F$161,M$2,0)</f>
        <v>170.1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182.45</v>
      </c>
      <c r="C29">
        <v>180.92</v>
      </c>
      <c r="D29">
        <v>180.91</v>
      </c>
      <c r="E29">
        <v>166.21</v>
      </c>
      <c r="F29">
        <v>163.32</v>
      </c>
      <c r="H29" t="s">
        <v>38</v>
      </c>
      <c r="I29">
        <f>VLOOKUP(H29,$A$1:F$161,I$2,0)</f>
        <v>19.760000000000002</v>
      </c>
      <c r="J29">
        <f>VLOOKUP(H29,$A$1:F$161,J$2,0)</f>
        <v>32.81</v>
      </c>
      <c r="K29">
        <f>VLOOKUP(H29,$A$1:F$161,K$2,0)</f>
        <v>58.57</v>
      </c>
      <c r="L29">
        <f>VLOOKUP(H29,$A$1:F$161,L$2,0)</f>
        <v>68.09</v>
      </c>
      <c r="M29">
        <f>VLOOKUP(H29,$A$1:F$161,M$2,0)</f>
        <v>74.55</v>
      </c>
    </row>
    <row r="30" spans="1:13" x14ac:dyDescent="0.25">
      <c r="A30" t="s">
        <v>106</v>
      </c>
      <c r="B30">
        <v>0</v>
      </c>
      <c r="C30">
        <v>0.66</v>
      </c>
      <c r="D30">
        <v>1.66</v>
      </c>
      <c r="E30">
        <v>0</v>
      </c>
      <c r="F30">
        <v>0</v>
      </c>
      <c r="H30" t="s">
        <v>39</v>
      </c>
      <c r="I30">
        <f>VLOOKUP(H30,$A$1:F$161,I$2,0)</f>
        <v>57.51</v>
      </c>
      <c r="J30">
        <f>VLOOKUP(H30,$A$1:F$161,J$2,0)</f>
        <v>53.27</v>
      </c>
      <c r="K30">
        <f>VLOOKUP(H30,$A$1:F$161,K$2,0)</f>
        <v>32.86</v>
      </c>
      <c r="L30">
        <f>VLOOKUP(H30,$A$1:F$161,L$2,0)</f>
        <v>21.99</v>
      </c>
      <c r="M30">
        <f>VLOOKUP(H30,$A$1:F$161,M$2,0)</f>
        <v>4.8600000000000003</v>
      </c>
    </row>
    <row r="31" spans="1:13" x14ac:dyDescent="0.25">
      <c r="A31" t="s">
        <v>29</v>
      </c>
      <c r="B31">
        <v>4.7</v>
      </c>
      <c r="C31">
        <v>1.56</v>
      </c>
      <c r="D31">
        <v>1.63</v>
      </c>
      <c r="E31">
        <v>1.73</v>
      </c>
      <c r="F31">
        <v>1.49</v>
      </c>
      <c r="H31" t="s">
        <v>40</v>
      </c>
      <c r="I31">
        <f>VLOOKUP(H31,$A$1:F$161,I$2,0)</f>
        <v>1.4</v>
      </c>
      <c r="J31">
        <f>VLOOKUP(H31,$A$1:F$161,J$2,0)</f>
        <v>0.92</v>
      </c>
      <c r="K31">
        <f>VLOOKUP(H31,$A$1:F$161,K$2,0)</f>
        <v>2.58</v>
      </c>
      <c r="L31">
        <f>VLOOKUP(H31,$A$1:F$161,L$2,0)</f>
        <v>4.6100000000000003</v>
      </c>
      <c r="M31">
        <f>VLOOKUP(H31,$A$1:F$161,M$2,0)</f>
        <v>0.75</v>
      </c>
    </row>
    <row r="32" spans="1:13" x14ac:dyDescent="0.25">
      <c r="A32" t="s">
        <v>121</v>
      </c>
      <c r="B32">
        <v>2.02</v>
      </c>
      <c r="C32">
        <v>2.39</v>
      </c>
      <c r="D32">
        <v>2.2999999999999998</v>
      </c>
      <c r="E32">
        <v>2.19</v>
      </c>
      <c r="F32">
        <v>1.95</v>
      </c>
      <c r="H32" t="s">
        <v>41</v>
      </c>
      <c r="I32">
        <f>VLOOKUP(H32,$A$1:F$161,I$2,0)</f>
        <v>0</v>
      </c>
      <c r="J32">
        <f>VLOOKUP(H32,$A$1:F$161,J$2,0)</f>
        <v>0.16</v>
      </c>
      <c r="K32">
        <f>VLOOKUP(H32,$A$1:F$161,K$2,0)</f>
        <v>0.33</v>
      </c>
      <c r="L32">
        <f>VLOOKUP(H32,$A$1:F$161,L$2,0)</f>
        <v>0.8</v>
      </c>
      <c r="M32">
        <f>VLOOKUP(H32,$A$1:F$161,M$2,0)</f>
        <v>1.63</v>
      </c>
    </row>
    <row r="33" spans="1:13" x14ac:dyDescent="0.25">
      <c r="A33" t="s">
        <v>30</v>
      </c>
      <c r="B33">
        <v>189.17</v>
      </c>
      <c r="C33">
        <v>185.53</v>
      </c>
      <c r="D33">
        <v>186.5</v>
      </c>
      <c r="E33">
        <v>170.13</v>
      </c>
      <c r="F33">
        <v>166.76</v>
      </c>
      <c r="H33" t="s">
        <v>42</v>
      </c>
      <c r="I33">
        <f>VLOOKUP(H33,$A$1:F$161,I$2,0)</f>
        <v>23.49</v>
      </c>
      <c r="J33">
        <f>VLOOKUP(H33,$A$1:F$161,J$2,0)</f>
        <v>23.93</v>
      </c>
      <c r="K33">
        <f>VLOOKUP(H33,$A$1:F$161,K$2,0)</f>
        <v>7.15</v>
      </c>
      <c r="L33">
        <f>VLOOKUP(H33,$A$1:F$161,L$2,0)</f>
        <v>11.01</v>
      </c>
      <c r="M33">
        <f>VLOOKUP(H33,$A$1:F$161,M$2,0)</f>
        <v>7.36</v>
      </c>
    </row>
    <row r="34" spans="1:13" x14ac:dyDescent="0.25">
      <c r="A34" t="s">
        <v>31</v>
      </c>
      <c r="B34">
        <v>0.03</v>
      </c>
      <c r="C34">
        <v>0.03</v>
      </c>
      <c r="D34">
        <v>0.03</v>
      </c>
      <c r="E34">
        <v>0.02</v>
      </c>
      <c r="F34">
        <v>0.02</v>
      </c>
      <c r="H34" t="s">
        <v>43</v>
      </c>
      <c r="I34">
        <f>VLOOKUP(H34,$A$1:F$161,I$2,0)</f>
        <v>102.16</v>
      </c>
      <c r="J34">
        <f>VLOOKUP(H34,$A$1:F$161,J$2,0)</f>
        <v>111.09</v>
      </c>
      <c r="K34">
        <f>VLOOKUP(H34,$A$1:F$161,K$2,0)</f>
        <v>101.49</v>
      </c>
      <c r="L34">
        <f>VLOOKUP(H34,$A$1:F$161,L$2,0)</f>
        <v>106.5</v>
      </c>
      <c r="M34">
        <f>VLOOKUP(H34,$A$1:F$161,M$2,0)</f>
        <v>89.15</v>
      </c>
    </row>
    <row r="35" spans="1:13" x14ac:dyDescent="0.25">
      <c r="A35" t="s">
        <v>33</v>
      </c>
      <c r="B35">
        <v>0</v>
      </c>
      <c r="C35">
        <v>1.1399999999999999</v>
      </c>
      <c r="D35">
        <v>1.06</v>
      </c>
      <c r="E35">
        <v>1.1599999999999999</v>
      </c>
      <c r="F35">
        <v>1.1499999999999999</v>
      </c>
      <c r="H35" t="s">
        <v>44</v>
      </c>
      <c r="I35">
        <f>VLOOKUP(H35,$A$1:F$161,I$2,0)</f>
        <v>304.25</v>
      </c>
      <c r="J35">
        <f>VLOOKUP(H35,$A$1:F$161,J$2,0)</f>
        <v>309.49</v>
      </c>
      <c r="K35">
        <f>VLOOKUP(H35,$A$1:F$161,K$2,0)</f>
        <v>300.18</v>
      </c>
      <c r="L35">
        <f>VLOOKUP(H35,$A$1:F$161,L$2,0)</f>
        <v>282.58999999999997</v>
      </c>
      <c r="M35">
        <f>VLOOKUP(H35,$A$1:F$161,M$2,0)</f>
        <v>259.25</v>
      </c>
    </row>
    <row r="36" spans="1:13" x14ac:dyDescent="0.25">
      <c r="A36" t="s">
        <v>34</v>
      </c>
      <c r="B36">
        <v>12.89</v>
      </c>
      <c r="C36">
        <v>11.7</v>
      </c>
      <c r="D36">
        <v>11.1</v>
      </c>
      <c r="E36">
        <v>4.78</v>
      </c>
      <c r="F36">
        <v>2.17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202.09</v>
      </c>
      <c r="C37">
        <v>198.4</v>
      </c>
      <c r="D37">
        <v>198.69</v>
      </c>
      <c r="E37">
        <v>176.09</v>
      </c>
      <c r="F37">
        <v>170.1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0</v>
      </c>
      <c r="J38">
        <f>VLOOKUP(H38,$A$1:F$161,J$2,0)</f>
        <v>0</v>
      </c>
      <c r="K38">
        <f>VLOOKUP(H38,$A$1:F$161,K$2,0)</f>
        <v>0.71</v>
      </c>
      <c r="L38">
        <f>VLOOKUP(H38,$A$1:F$161,L$2,0)</f>
        <v>3.41</v>
      </c>
      <c r="M38">
        <f>VLOOKUP(H38,$A$1:F$161,M$2,0)</f>
        <v>0</v>
      </c>
    </row>
    <row r="39" spans="1:13" x14ac:dyDescent="0.25">
      <c r="A39" t="s">
        <v>38</v>
      </c>
      <c r="B39">
        <v>19.760000000000002</v>
      </c>
      <c r="C39">
        <v>32.81</v>
      </c>
      <c r="D39">
        <v>58.57</v>
      </c>
      <c r="E39">
        <v>68.09</v>
      </c>
      <c r="F39">
        <v>74.55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39</v>
      </c>
      <c r="B40">
        <v>57.51</v>
      </c>
      <c r="C40">
        <v>53.27</v>
      </c>
      <c r="D40">
        <v>32.86</v>
      </c>
      <c r="E40">
        <v>21.99</v>
      </c>
      <c r="F40">
        <v>4.8600000000000003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40</v>
      </c>
      <c r="B41">
        <v>1.4</v>
      </c>
      <c r="C41">
        <v>0.92</v>
      </c>
      <c r="D41">
        <v>2.58</v>
      </c>
      <c r="E41">
        <v>4.6100000000000003</v>
      </c>
      <c r="F41">
        <v>0.75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41</v>
      </c>
      <c r="B42">
        <v>0</v>
      </c>
      <c r="C42">
        <v>0.16</v>
      </c>
      <c r="D42">
        <v>0.33</v>
      </c>
      <c r="E42">
        <v>0.8</v>
      </c>
      <c r="F42">
        <v>1.63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42</v>
      </c>
      <c r="B43">
        <v>23.49</v>
      </c>
      <c r="C43">
        <v>23.93</v>
      </c>
      <c r="D43">
        <v>7.15</v>
      </c>
      <c r="E43">
        <v>11.01</v>
      </c>
      <c r="F43">
        <v>7.36</v>
      </c>
      <c r="H43" t="s">
        <v>68</v>
      </c>
      <c r="I43">
        <f>VLOOKUP(H43,$A$1:F$161,I$2,0)</f>
        <v>305.57</v>
      </c>
      <c r="J43">
        <f>VLOOKUP(H43,$A$1:F$161,J$2,0)</f>
        <v>360.79</v>
      </c>
      <c r="K43">
        <f>VLOOKUP(H43,$A$1:F$161,K$2,0)</f>
        <v>540.66</v>
      </c>
      <c r="L43">
        <f>VLOOKUP(H43,$A$1:F$161,L$2,0)</f>
        <v>524.01</v>
      </c>
      <c r="M43">
        <f>VLOOKUP(H43,$A$1:F$161,M$2,0)</f>
        <v>479.92</v>
      </c>
    </row>
    <row r="44" spans="1:13" x14ac:dyDescent="0.25">
      <c r="A44" t="s">
        <v>43</v>
      </c>
      <c r="B44">
        <v>102.16</v>
      </c>
      <c r="C44">
        <v>111.09</v>
      </c>
      <c r="D44">
        <v>101.49</v>
      </c>
      <c r="E44">
        <v>106.5</v>
      </c>
      <c r="F44">
        <v>89.15</v>
      </c>
      <c r="H44" t="s">
        <v>70</v>
      </c>
      <c r="I44">
        <f>VLOOKUP(H44,$A$1:F$161,I$2,0)</f>
        <v>305.57</v>
      </c>
      <c r="J44">
        <f>VLOOKUP(H44,$A$1:F$161,J$2,0)</f>
        <v>360.79</v>
      </c>
      <c r="K44">
        <f>VLOOKUP(H44,$A$1:F$161,K$2,0)</f>
        <v>540.66</v>
      </c>
      <c r="L44">
        <f>VLOOKUP(H44,$A$1:F$161,L$2,0)</f>
        <v>524.01</v>
      </c>
      <c r="M44">
        <f>VLOOKUP(H44,$A$1:F$161,M$2,0)</f>
        <v>479.92</v>
      </c>
    </row>
    <row r="45" spans="1:13" x14ac:dyDescent="0.25">
      <c r="A45" t="s">
        <v>44</v>
      </c>
      <c r="B45">
        <v>304.25</v>
      </c>
      <c r="C45">
        <v>309.49</v>
      </c>
      <c r="D45">
        <v>300.18</v>
      </c>
      <c r="E45">
        <v>282.58999999999997</v>
      </c>
      <c r="F45">
        <v>259.25</v>
      </c>
      <c r="H45" t="s">
        <v>71</v>
      </c>
      <c r="I45">
        <f>VLOOKUP(H45,$A$1:F$161,I$2,0)</f>
        <v>10.63</v>
      </c>
      <c r="J45">
        <f>VLOOKUP(H45,$A$1:F$161,J$2,0)</f>
        <v>7.12</v>
      </c>
      <c r="K45">
        <f>VLOOKUP(H45,$A$1:F$161,K$2,0)</f>
        <v>10.75</v>
      </c>
      <c r="L45">
        <f>VLOOKUP(H45,$A$1:F$161,L$2,0)</f>
        <v>6.58</v>
      </c>
      <c r="M45">
        <f>VLOOKUP(H45,$A$1:F$161,M$2,0)</f>
        <v>11.01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316.2</v>
      </c>
      <c r="J46">
        <f>VLOOKUP(H46,$A$1:F$161,J$2,0)</f>
        <v>367.91</v>
      </c>
      <c r="K46">
        <f>VLOOKUP(H46,$A$1:F$161,K$2,0)</f>
        <v>551.41</v>
      </c>
      <c r="L46">
        <f>VLOOKUP(H46,$A$1:F$161,L$2,0)</f>
        <v>530.59</v>
      </c>
      <c r="M46">
        <f>VLOOKUP(H46,$A$1:F$161,M$2,0)</f>
        <v>490.93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3.15</v>
      </c>
      <c r="J47">
        <f>VLOOKUP(H47,$A$1:F$161,J$2,0)</f>
        <v>0.39</v>
      </c>
      <c r="K47">
        <f>VLOOKUP(H47,$A$1:F$161,K$2,0)</f>
        <v>0.61</v>
      </c>
      <c r="L47">
        <f>VLOOKUP(H47,$A$1:F$161,L$2,0)</f>
        <v>0.31</v>
      </c>
      <c r="M47">
        <f>VLOOKUP(H47,$A$1:F$161,M$2,0)</f>
        <v>0.2</v>
      </c>
    </row>
    <row r="48" spans="1:13" x14ac:dyDescent="0.25">
      <c r="A48" t="s">
        <v>47</v>
      </c>
      <c r="B48">
        <v>0</v>
      </c>
      <c r="C48">
        <v>0</v>
      </c>
      <c r="D48">
        <v>0.71</v>
      </c>
      <c r="E48">
        <v>3.41</v>
      </c>
      <c r="F48">
        <v>0</v>
      </c>
      <c r="H48" t="s">
        <v>74</v>
      </c>
      <c r="I48">
        <f>VLOOKUP(H48,$A$1:F$161,I$2,0)</f>
        <v>319.35000000000002</v>
      </c>
      <c r="J48">
        <f>VLOOKUP(H48,$A$1:F$161,J$2,0)</f>
        <v>368.3</v>
      </c>
      <c r="K48">
        <f>VLOOKUP(H48,$A$1:F$161,K$2,0)</f>
        <v>552.02</v>
      </c>
      <c r="L48">
        <f>VLOOKUP(H48,$A$1:F$161,L$2,0)</f>
        <v>530.9</v>
      </c>
      <c r="M48">
        <f>VLOOKUP(H48,$A$1:F$161,M$2,0)</f>
        <v>491.13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49</v>
      </c>
      <c r="H50" t="s">
        <v>76</v>
      </c>
      <c r="I50">
        <f>VLOOKUP(H50,$A$1:F$161,I$2,0)</f>
        <v>244.29</v>
      </c>
      <c r="J50">
        <f>VLOOKUP(H50,$A$1:F$161,J$2,0)</f>
        <v>283.17</v>
      </c>
      <c r="K50">
        <f>VLOOKUP(H50,$A$1:F$161,K$2,0)</f>
        <v>472.05</v>
      </c>
      <c r="L50">
        <f>VLOOKUP(H50,$A$1:F$161,L$2,0)</f>
        <v>451.78</v>
      </c>
      <c r="M50">
        <f>VLOOKUP(H50,$A$1:F$161,M$2,0)</f>
        <v>427.58</v>
      </c>
    </row>
    <row r="51" spans="1:13" ht="48" customHeight="1" x14ac:dyDescent="0.25">
      <c r="A51" t="s">
        <v>51</v>
      </c>
      <c r="H51" t="s">
        <v>77</v>
      </c>
      <c r="I51" t="e">
        <f>VLOOKUP(H51,$A$1:F$161,I$2,0)</f>
        <v>#N/A</v>
      </c>
      <c r="J51" t="e">
        <f>VLOOKUP(H51,$A$1:F$161,J$2,0)</f>
        <v>#N/A</v>
      </c>
      <c r="K51" t="e">
        <f>VLOOKUP(H51,$A$1:F$161,K$2,0)</f>
        <v>#N/A</v>
      </c>
      <c r="L51" t="e">
        <f>VLOOKUP(H51,$A$1:F$161,L$2,0)</f>
        <v>#N/A</v>
      </c>
      <c r="M51" t="e">
        <f>VLOOKUP(H51,$A$1:F$161,M$2,0)</f>
        <v>#N/A</v>
      </c>
    </row>
    <row r="52" spans="1:13" x14ac:dyDescent="0.25">
      <c r="A52" t="s">
        <v>52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14.44</v>
      </c>
      <c r="J52">
        <f>VLOOKUP(H52,$A$1:F$161,J$2,0)</f>
        <v>24.68</v>
      </c>
      <c r="K52">
        <f>VLOOKUP(H52,$A$1:F$161,K$2,0)</f>
        <v>7.45</v>
      </c>
      <c r="L52">
        <f>VLOOKUP(H52,$A$1:F$161,L$2,0)</f>
        <v>6.51</v>
      </c>
      <c r="M52">
        <f>VLOOKUP(H52,$A$1:F$161,M$2,0)</f>
        <v>1.03</v>
      </c>
    </row>
    <row r="53" spans="1:13" ht="24" customHeight="1" x14ac:dyDescent="0.25">
      <c r="A53" t="s">
        <v>54</v>
      </c>
      <c r="H53" t="s">
        <v>79</v>
      </c>
      <c r="I53">
        <f>VLOOKUP(H53,$A$1:F$161,I$2,0)</f>
        <v>22.73</v>
      </c>
      <c r="J53">
        <f>VLOOKUP(H53,$A$1:F$161,J$2,0)</f>
        <v>21.31</v>
      </c>
      <c r="K53">
        <f>VLOOKUP(H53,$A$1:F$161,K$2,0)</f>
        <v>20.85</v>
      </c>
      <c r="L53">
        <f>VLOOKUP(H53,$A$1:F$161,L$2,0)</f>
        <v>20.170000000000002</v>
      </c>
      <c r="M53">
        <f>VLOOKUP(H53,$A$1:F$161,M$2,0)</f>
        <v>14.97</v>
      </c>
    </row>
    <row r="54" spans="1:13" x14ac:dyDescent="0.25">
      <c r="A54" t="s">
        <v>55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7.32</v>
      </c>
      <c r="J54">
        <f>VLOOKUP(H54,$A$1:F$161,J$2,0)</f>
        <v>8.2100000000000009</v>
      </c>
      <c r="K54">
        <f>VLOOKUP(H54,$A$1:F$161,K$2,0)</f>
        <v>8.4</v>
      </c>
      <c r="L54">
        <f>VLOOKUP(H54,$A$1:F$161,L$2,0)</f>
        <v>7.88</v>
      </c>
      <c r="M54">
        <f>VLOOKUP(H54,$A$1:F$161,M$2,0)</f>
        <v>10.47</v>
      </c>
    </row>
    <row r="55" spans="1:13" x14ac:dyDescent="0.25">
      <c r="A55" t="s">
        <v>56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15" customHeight="1" x14ac:dyDescent="0.25">
      <c r="A56" t="s">
        <v>57</v>
      </c>
      <c r="H56" t="s">
        <v>82</v>
      </c>
      <c r="I56">
        <f>VLOOKUP(H56,$A$1:F$161,I$2,0)</f>
        <v>6.54</v>
      </c>
      <c r="J56">
        <f>VLOOKUP(H56,$A$1:F$161,J$2,0)</f>
        <v>8.75</v>
      </c>
      <c r="K56">
        <f>VLOOKUP(H56,$A$1:F$161,K$2,0)</f>
        <v>8.11</v>
      </c>
      <c r="L56">
        <f>VLOOKUP(H56,$A$1:F$161,L$2,0)</f>
        <v>6.83</v>
      </c>
      <c r="M56">
        <f>VLOOKUP(H56,$A$1:F$161,M$2,0)</f>
        <v>6.35</v>
      </c>
    </row>
    <row r="57" spans="1:13" x14ac:dyDescent="0.25">
      <c r="A57" t="s">
        <v>58</v>
      </c>
      <c r="B57">
        <v>3.01</v>
      </c>
      <c r="C57">
        <v>3.01</v>
      </c>
      <c r="D57">
        <v>3.01</v>
      </c>
      <c r="E57">
        <v>3.01</v>
      </c>
      <c r="F57">
        <v>3.01</v>
      </c>
      <c r="H57" t="s">
        <v>83</v>
      </c>
      <c r="I57">
        <f>VLOOKUP(H57,$A$1:F$161,I$2,0)</f>
        <v>21.72</v>
      </c>
      <c r="J57">
        <f>VLOOKUP(H57,$A$1:F$161,J$2,0)</f>
        <v>18.920000000000002</v>
      </c>
      <c r="K57">
        <f>VLOOKUP(H57,$A$1:F$161,K$2,0)</f>
        <v>26.39</v>
      </c>
      <c r="L57">
        <f>VLOOKUP(H57,$A$1:F$161,L$2,0)</f>
        <v>24.37</v>
      </c>
      <c r="M57">
        <f>VLOOKUP(H57,$A$1:F$161,M$2,0)</f>
        <v>21.03</v>
      </c>
    </row>
    <row r="58" spans="1:13" ht="24" customHeight="1" x14ac:dyDescent="0.25">
      <c r="A58" t="s">
        <v>59</v>
      </c>
      <c r="H58" t="s">
        <v>84</v>
      </c>
      <c r="I58">
        <f>VLOOKUP(H58,$A$1:F$161,I$2,0)</f>
        <v>317.04000000000002</v>
      </c>
      <c r="J58">
        <f>VLOOKUP(H58,$A$1:F$161,J$2,0)</f>
        <v>365.04</v>
      </c>
      <c r="K58">
        <f>VLOOKUP(H58,$A$1:F$161,K$2,0)</f>
        <v>543.25</v>
      </c>
      <c r="L58">
        <f>VLOOKUP(H58,$A$1:F$161,L$2,0)</f>
        <v>517.54</v>
      </c>
      <c r="M58">
        <f>VLOOKUP(H58,$A$1:F$161,M$2,0)</f>
        <v>481.43</v>
      </c>
    </row>
    <row r="59" spans="1:13" x14ac:dyDescent="0.25">
      <c r="A59" t="s">
        <v>60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2.31</v>
      </c>
      <c r="J59">
        <f>VLOOKUP(H59,$A$1:F$161,J$2,0)</f>
        <v>3.26</v>
      </c>
      <c r="K59">
        <f>VLOOKUP(H59,$A$1:F$161,K$2,0)</f>
        <v>8.77</v>
      </c>
      <c r="L59">
        <f>VLOOKUP(H59,$A$1:F$161,L$2,0)</f>
        <v>13.36</v>
      </c>
      <c r="M59">
        <f>VLOOKUP(H59,$A$1:F$161,M$2,0)</f>
        <v>9.6999999999999993</v>
      </c>
    </row>
    <row r="60" spans="1:13" x14ac:dyDescent="0.25">
      <c r="A60" t="s">
        <v>61</v>
      </c>
      <c r="B60">
        <v>0.03</v>
      </c>
      <c r="C60">
        <v>0.03</v>
      </c>
      <c r="D60">
        <v>0.03</v>
      </c>
      <c r="E60">
        <v>0.02</v>
      </c>
      <c r="F60">
        <v>0.02</v>
      </c>
      <c r="H60" t="s">
        <v>87</v>
      </c>
      <c r="I60">
        <f>VLOOKUP(H60,$A$1:F$161,I$2,0)</f>
        <v>2.31</v>
      </c>
      <c r="J60">
        <f>VLOOKUP(H60,$A$1:F$161,J$2,0)</f>
        <v>3.26</v>
      </c>
      <c r="K60">
        <f>VLOOKUP(H60,$A$1:F$161,K$2,0)</f>
        <v>8.77</v>
      </c>
      <c r="L60">
        <f>VLOOKUP(H60,$A$1:F$161,L$2,0)</f>
        <v>13.36</v>
      </c>
      <c r="M60">
        <f>VLOOKUP(H60,$A$1:F$161,M$2,0)</f>
        <v>9.6999999999999993</v>
      </c>
    </row>
    <row r="61" spans="1:13" ht="24" customHeight="1" x14ac:dyDescent="0.25">
      <c r="A61" t="s">
        <v>62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63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0.52</v>
      </c>
      <c r="J62">
        <f>VLOOKUP(H62,$A$1:F$161,J$2,0)</f>
        <v>0.71</v>
      </c>
      <c r="K62">
        <f>VLOOKUP(H62,$A$1:F$161,K$2,0)</f>
        <v>2.13</v>
      </c>
      <c r="L62">
        <f>VLOOKUP(H62,$A$1:F$161,L$2,0)</f>
        <v>2.95</v>
      </c>
      <c r="M62">
        <f>VLOOKUP(H62,$A$1:F$161,M$2,0)</f>
        <v>1.89</v>
      </c>
    </row>
    <row r="63" spans="1:13" x14ac:dyDescent="0.25">
      <c r="A63" t="s">
        <v>64</v>
      </c>
      <c r="B63" t="s">
        <v>53</v>
      </c>
      <c r="C63" t="s">
        <v>53</v>
      </c>
      <c r="D63" t="s">
        <v>53</v>
      </c>
      <c r="E63" t="s">
        <v>53</v>
      </c>
      <c r="F63" t="s">
        <v>53</v>
      </c>
      <c r="H63" t="s">
        <v>90</v>
      </c>
      <c r="I63">
        <f>VLOOKUP(H63,$A$1:F$161,I$2,0)</f>
        <v>-1.21</v>
      </c>
      <c r="J63">
        <f>VLOOKUP(H63,$A$1:F$161,J$2,0)</f>
        <v>0.72</v>
      </c>
      <c r="K63">
        <f>VLOOKUP(H63,$A$1:F$161,K$2,0)</f>
        <v>3.33</v>
      </c>
      <c r="L63">
        <f>VLOOKUP(H63,$A$1:F$161,L$2,0)</f>
        <v>3.23</v>
      </c>
      <c r="M63">
        <f>VLOOKUP(H63,$A$1:F$161,M$2,0)</f>
        <v>-0.35</v>
      </c>
    </row>
    <row r="64" spans="1:13" x14ac:dyDescent="0.25">
      <c r="H64" t="s">
        <v>112</v>
      </c>
      <c r="I64">
        <f>VLOOKUP(H64,$A$1:F$161,I$2,0)</f>
        <v>0.11</v>
      </c>
      <c r="J64">
        <f>VLOOKUP(H64,$A$1:F$161,J$2,0)</f>
        <v>0.02</v>
      </c>
      <c r="K64">
        <f>VLOOKUP(H64,$A$1:F$161,K$2,0)</f>
        <v>7.0000000000000007E-2</v>
      </c>
      <c r="L64">
        <f>VLOOKUP(H64,$A$1:F$161,L$2,0)</f>
        <v>0.17</v>
      </c>
      <c r="M64">
        <f>VLOOKUP(H64,$A$1:F$161,M$2,0)</f>
        <v>0</v>
      </c>
    </row>
    <row r="65" spans="1:13" x14ac:dyDescent="0.25">
      <c r="H65" t="s">
        <v>91</v>
      </c>
      <c r="I65">
        <f>VLOOKUP(H65,$A$1:F$161,I$2,0)</f>
        <v>-1.18</v>
      </c>
      <c r="J65">
        <f>VLOOKUP(H65,$A$1:F$161,J$2,0)</f>
        <v>0.82</v>
      </c>
      <c r="K65">
        <f>VLOOKUP(H65,$A$1:F$161,K$2,0)</f>
        <v>0.38</v>
      </c>
      <c r="L65">
        <f>VLOOKUP(H65,$A$1:F$161,L$2,0)</f>
        <v>3.13</v>
      </c>
      <c r="M65">
        <f>VLOOKUP(H65,$A$1:F$161,M$2,0)</f>
        <v>1.54</v>
      </c>
    </row>
    <row r="66" spans="1:13" x14ac:dyDescent="0.25">
      <c r="H66" t="s">
        <v>92</v>
      </c>
      <c r="I66">
        <f>VLOOKUP(H66,$A$1:F$161,I$2,0)</f>
        <v>3.49</v>
      </c>
      <c r="J66">
        <f>VLOOKUP(H66,$A$1:F$161,J$2,0)</f>
        <v>2.44</v>
      </c>
      <c r="K66">
        <f>VLOOKUP(H66,$A$1:F$161,K$2,0)</f>
        <v>8.39</v>
      </c>
      <c r="L66">
        <f>VLOOKUP(H66,$A$1:F$161,L$2,0)</f>
        <v>10.23</v>
      </c>
      <c r="M66">
        <f>VLOOKUP(H66,$A$1:F$161,M$2,0)</f>
        <v>8.16</v>
      </c>
    </row>
    <row r="67" spans="1:13" ht="15" customHeight="1" x14ac:dyDescent="0.25">
      <c r="A67" t="s">
        <v>65</v>
      </c>
      <c r="H67" t="s">
        <v>93</v>
      </c>
      <c r="I67">
        <f>VLOOKUP(H67,$A$1:F$161,I$2,0)</f>
        <v>3.49</v>
      </c>
      <c r="J67">
        <f>VLOOKUP(H67,$A$1:F$161,J$2,0)</f>
        <v>2.44</v>
      </c>
      <c r="K67">
        <f>VLOOKUP(H67,$A$1:F$161,K$2,0)</f>
        <v>8.39</v>
      </c>
      <c r="L67">
        <f>VLOOKUP(H67,$A$1:F$161,L$2,0)</f>
        <v>10.23</v>
      </c>
      <c r="M67">
        <f>VLOOKUP(H67,$A$1:F$161,M$2,0)</f>
        <v>8.16</v>
      </c>
    </row>
    <row r="68" spans="1:13" x14ac:dyDescent="0.25">
      <c r="H68" t="s">
        <v>94</v>
      </c>
      <c r="I68">
        <f>VLOOKUP(H68,$A$1:F$161,I$2,0)</f>
        <v>3.49</v>
      </c>
      <c r="J68">
        <f>VLOOKUP(H68,$A$1:F$161,J$2,0)</f>
        <v>2.44</v>
      </c>
      <c r="K68">
        <f>VLOOKUP(H68,$A$1:F$161,K$2,0)</f>
        <v>8.39</v>
      </c>
      <c r="L68">
        <f>VLOOKUP(H68,$A$1:F$161,L$2,0)</f>
        <v>10.23</v>
      </c>
      <c r="M68">
        <f>VLOOKUP(H68,$A$1:F$161,M$2,0)</f>
        <v>8.16</v>
      </c>
    </row>
    <row r="69" spans="1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1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159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305.57</v>
      </c>
      <c r="C97">
        <v>360.79</v>
      </c>
      <c r="D97">
        <v>540.66</v>
      </c>
      <c r="E97">
        <v>524.01</v>
      </c>
      <c r="F97">
        <v>479.92</v>
      </c>
    </row>
    <row r="98" spans="1:6" x14ac:dyDescent="0.25">
      <c r="A98" t="s">
        <v>70</v>
      </c>
      <c r="B98">
        <v>305.57</v>
      </c>
      <c r="C98">
        <v>360.79</v>
      </c>
      <c r="D98">
        <v>540.66</v>
      </c>
      <c r="E98">
        <v>524.01</v>
      </c>
      <c r="F98">
        <v>479.92</v>
      </c>
    </row>
    <row r="99" spans="1:6" x14ac:dyDescent="0.25">
      <c r="A99" t="s">
        <v>71</v>
      </c>
      <c r="B99">
        <v>10.63</v>
      </c>
      <c r="C99">
        <v>7.12</v>
      </c>
      <c r="D99">
        <v>10.75</v>
      </c>
      <c r="E99">
        <v>6.58</v>
      </c>
      <c r="F99">
        <v>11.01</v>
      </c>
    </row>
    <row r="100" spans="1:6" x14ac:dyDescent="0.25">
      <c r="A100" t="s">
        <v>72</v>
      </c>
      <c r="B100">
        <v>316.2</v>
      </c>
      <c r="C100">
        <v>367.91</v>
      </c>
      <c r="D100">
        <v>551.41</v>
      </c>
      <c r="E100">
        <v>530.59</v>
      </c>
      <c r="F100">
        <v>490.93</v>
      </c>
    </row>
    <row r="101" spans="1:6" x14ac:dyDescent="0.25">
      <c r="A101" t="s">
        <v>73</v>
      </c>
      <c r="B101">
        <v>3.15</v>
      </c>
      <c r="C101">
        <v>0.39</v>
      </c>
      <c r="D101">
        <v>0.61</v>
      </c>
      <c r="E101">
        <v>0.31</v>
      </c>
      <c r="F101">
        <v>0.2</v>
      </c>
    </row>
    <row r="102" spans="1:6" x14ac:dyDescent="0.25">
      <c r="A102" t="s">
        <v>74</v>
      </c>
      <c r="B102">
        <v>319.35000000000002</v>
      </c>
      <c r="C102">
        <v>368.3</v>
      </c>
      <c r="D102">
        <v>552.02</v>
      </c>
      <c r="E102">
        <v>530.9</v>
      </c>
      <c r="F102">
        <v>491.13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244.29</v>
      </c>
      <c r="C104">
        <v>283.17</v>
      </c>
      <c r="D104">
        <v>472.05</v>
      </c>
      <c r="E104">
        <v>451.78</v>
      </c>
      <c r="F104">
        <v>427.58</v>
      </c>
    </row>
    <row r="105" spans="1:6" x14ac:dyDescent="0.25">
      <c r="A105" t="s">
        <v>78</v>
      </c>
      <c r="B105">
        <v>14.44</v>
      </c>
      <c r="C105">
        <v>24.68</v>
      </c>
      <c r="D105">
        <v>7.45</v>
      </c>
      <c r="E105">
        <v>6.51</v>
      </c>
      <c r="F105">
        <v>1.03</v>
      </c>
    </row>
    <row r="106" spans="1:6" x14ac:dyDescent="0.25">
      <c r="A106" t="s">
        <v>79</v>
      </c>
      <c r="B106">
        <v>22.73</v>
      </c>
      <c r="C106">
        <v>21.31</v>
      </c>
      <c r="D106">
        <v>20.85</v>
      </c>
      <c r="E106">
        <v>20.170000000000002</v>
      </c>
      <c r="F106">
        <v>14.97</v>
      </c>
    </row>
    <row r="107" spans="1:6" x14ac:dyDescent="0.25">
      <c r="A107" t="s">
        <v>80</v>
      </c>
      <c r="B107">
        <v>7.32</v>
      </c>
      <c r="C107">
        <v>8.2100000000000009</v>
      </c>
      <c r="D107">
        <v>8.4</v>
      </c>
      <c r="E107">
        <v>7.88</v>
      </c>
      <c r="F107">
        <v>10.47</v>
      </c>
    </row>
    <row r="108" spans="1:6" x14ac:dyDescent="0.25">
      <c r="A108" t="s">
        <v>82</v>
      </c>
      <c r="B108">
        <v>6.54</v>
      </c>
      <c r="C108">
        <v>8.75</v>
      </c>
      <c r="D108">
        <v>8.11</v>
      </c>
      <c r="E108">
        <v>6.83</v>
      </c>
      <c r="F108">
        <v>6.35</v>
      </c>
    </row>
    <row r="109" spans="1:6" x14ac:dyDescent="0.25">
      <c r="A109" t="s">
        <v>83</v>
      </c>
      <c r="B109">
        <v>21.72</v>
      </c>
      <c r="C109">
        <v>18.920000000000002</v>
      </c>
      <c r="D109">
        <v>26.39</v>
      </c>
      <c r="E109">
        <v>24.37</v>
      </c>
      <c r="F109">
        <v>21.03</v>
      </c>
    </row>
    <row r="110" spans="1:6" x14ac:dyDescent="0.25">
      <c r="A110" t="s">
        <v>84</v>
      </c>
      <c r="B110">
        <v>317.04000000000002</v>
      </c>
      <c r="C110">
        <v>365.04</v>
      </c>
      <c r="D110">
        <v>543.25</v>
      </c>
      <c r="E110">
        <v>517.54</v>
      </c>
      <c r="F110">
        <v>481.43</v>
      </c>
    </row>
    <row r="111" spans="1:6" x14ac:dyDescent="0.25">
      <c r="A111" t="s">
        <v>85</v>
      </c>
      <c r="B111">
        <v>2.31</v>
      </c>
      <c r="C111">
        <v>3.26</v>
      </c>
      <c r="D111">
        <v>8.77</v>
      </c>
      <c r="E111">
        <v>13.36</v>
      </c>
      <c r="F111">
        <v>9.6999999999999993</v>
      </c>
    </row>
    <row r="112" spans="1:6" x14ac:dyDescent="0.25">
      <c r="A112" t="s">
        <v>87</v>
      </c>
      <c r="B112">
        <v>2.31</v>
      </c>
      <c r="C112">
        <v>3.26</v>
      </c>
      <c r="D112">
        <v>8.77</v>
      </c>
      <c r="E112">
        <v>13.36</v>
      </c>
      <c r="F112">
        <v>9.6999999999999993</v>
      </c>
    </row>
    <row r="113" spans="1:6" ht="24" customHeight="1" x14ac:dyDescent="0.25">
      <c r="A113" t="s">
        <v>88</v>
      </c>
    </row>
    <row r="114" spans="1:6" x14ac:dyDescent="0.25">
      <c r="A114" t="s">
        <v>89</v>
      </c>
      <c r="B114">
        <v>0.52</v>
      </c>
      <c r="C114">
        <v>0.71</v>
      </c>
      <c r="D114">
        <v>2.13</v>
      </c>
      <c r="E114">
        <v>2.95</v>
      </c>
      <c r="F114">
        <v>1.89</v>
      </c>
    </row>
    <row r="115" spans="1:6" x14ac:dyDescent="0.25">
      <c r="A115" t="s">
        <v>160</v>
      </c>
      <c r="B115">
        <v>0.6</v>
      </c>
      <c r="C115">
        <v>0.63</v>
      </c>
      <c r="D115">
        <v>5.15</v>
      </c>
      <c r="E115">
        <v>3.22</v>
      </c>
      <c r="F115">
        <v>0</v>
      </c>
    </row>
    <row r="116" spans="1:6" x14ac:dyDescent="0.25">
      <c r="A116" t="s">
        <v>90</v>
      </c>
      <c r="B116">
        <v>-1.21</v>
      </c>
      <c r="C116">
        <v>0.72</v>
      </c>
      <c r="D116">
        <v>3.33</v>
      </c>
      <c r="E116">
        <v>3.23</v>
      </c>
      <c r="F116">
        <v>-0.35</v>
      </c>
    </row>
    <row r="117" spans="1:6" x14ac:dyDescent="0.25">
      <c r="A117" t="s">
        <v>112</v>
      </c>
      <c r="B117">
        <v>0.11</v>
      </c>
      <c r="C117">
        <v>0.02</v>
      </c>
      <c r="D117">
        <v>7.0000000000000007E-2</v>
      </c>
      <c r="E117">
        <v>0.17</v>
      </c>
      <c r="F117">
        <v>0</v>
      </c>
    </row>
    <row r="118" spans="1:6" x14ac:dyDescent="0.25">
      <c r="A118" t="s">
        <v>91</v>
      </c>
      <c r="B118">
        <v>-1.18</v>
      </c>
      <c r="C118">
        <v>0.82</v>
      </c>
      <c r="D118">
        <v>0.38</v>
      </c>
      <c r="E118">
        <v>3.13</v>
      </c>
      <c r="F118">
        <v>1.54</v>
      </c>
    </row>
    <row r="119" spans="1:6" x14ac:dyDescent="0.25">
      <c r="A119" t="s">
        <v>92</v>
      </c>
      <c r="B119">
        <v>3.49</v>
      </c>
      <c r="C119">
        <v>2.44</v>
      </c>
      <c r="D119">
        <v>8.39</v>
      </c>
      <c r="E119">
        <v>10.23</v>
      </c>
      <c r="F119">
        <v>8.16</v>
      </c>
    </row>
    <row r="120" spans="1:6" x14ac:dyDescent="0.25">
      <c r="A120" t="s">
        <v>93</v>
      </c>
      <c r="B120">
        <v>3.49</v>
      </c>
      <c r="C120">
        <v>2.44</v>
      </c>
      <c r="D120">
        <v>8.39</v>
      </c>
      <c r="E120">
        <v>10.23</v>
      </c>
      <c r="F120">
        <v>8.16</v>
      </c>
    </row>
    <row r="121" spans="1:6" x14ac:dyDescent="0.25">
      <c r="A121" t="s">
        <v>94</v>
      </c>
      <c r="B121">
        <v>3.49</v>
      </c>
      <c r="C121">
        <v>2.44</v>
      </c>
      <c r="D121">
        <v>8.39</v>
      </c>
      <c r="E121">
        <v>10.23</v>
      </c>
      <c r="F121">
        <v>8.16</v>
      </c>
    </row>
    <row r="122" spans="1:6" x14ac:dyDescent="0.25">
      <c r="A122" t="s">
        <v>113</v>
      </c>
      <c r="B122">
        <v>3.49</v>
      </c>
      <c r="C122">
        <v>2.44</v>
      </c>
      <c r="D122">
        <v>8.39</v>
      </c>
      <c r="E122">
        <v>10.23</v>
      </c>
      <c r="F122">
        <v>8.16</v>
      </c>
    </row>
    <row r="123" spans="1:6" ht="24" customHeight="1" x14ac:dyDescent="0.25">
      <c r="A123" t="s">
        <v>45</v>
      </c>
    </row>
    <row r="124" spans="1:6" ht="24" customHeight="1" x14ac:dyDescent="0.25">
      <c r="A124" t="s">
        <v>95</v>
      </c>
    </row>
    <row r="125" spans="1:6" x14ac:dyDescent="0.25">
      <c r="A125" t="s">
        <v>96</v>
      </c>
      <c r="B125">
        <v>7</v>
      </c>
      <c r="C125">
        <v>5</v>
      </c>
      <c r="D125">
        <v>17</v>
      </c>
      <c r="E125">
        <v>21</v>
      </c>
      <c r="F125">
        <v>17</v>
      </c>
    </row>
    <row r="126" spans="1:6" x14ac:dyDescent="0.25">
      <c r="A126" t="s">
        <v>97</v>
      </c>
      <c r="B126">
        <v>7</v>
      </c>
      <c r="C126">
        <v>5</v>
      </c>
      <c r="D126">
        <v>17</v>
      </c>
      <c r="E126">
        <v>21</v>
      </c>
      <c r="F126">
        <v>17</v>
      </c>
    </row>
    <row r="127" spans="1:6" ht="36" customHeight="1" x14ac:dyDescent="0.25">
      <c r="A127" t="s">
        <v>100</v>
      </c>
    </row>
    <row r="131" spans="1:1" ht="15" customHeight="1" x14ac:dyDescent="0.25">
      <c r="A131" t="s">
        <v>65</v>
      </c>
    </row>
  </sheetData>
  <hyperlinks>
    <hyperlink ref="B1" r:id="rId1" display="javascript:void(0);" xr:uid="{50444111-7D95-4466-AE58-C5C57AA26070}"/>
    <hyperlink ref="B90" r:id="rId2" display="javascript:void(0);" xr:uid="{F8336822-86D3-4519-B7B2-B28A8CF151FA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689A4-1455-4D87-A21F-191C39F29915}">
  <sheetPr codeName="Sheet28"/>
  <dimension ref="A1:M138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161</v>
      </c>
      <c r="B1" t="s">
        <v>1</v>
      </c>
      <c r="H1" t="str">
        <f>A1</f>
        <v>Lotus Chocolate Company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12.84</v>
      </c>
      <c r="J4">
        <f>VLOOKUP(H4,$A$1:F$161,J$2,0)</f>
        <v>12.84</v>
      </c>
      <c r="K4">
        <f>VLOOKUP(H4,$A$1:F$161,K$2,0)</f>
        <v>12.84</v>
      </c>
      <c r="L4">
        <f>VLOOKUP(H4,$A$1:F$161,L$2,0)</f>
        <v>12.84</v>
      </c>
      <c r="M4">
        <f>VLOOKUP(H4,$A$1:F$161,M$2,0)</f>
        <v>12.84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20.23</v>
      </c>
      <c r="J5">
        <f>VLOOKUP(H5,$A$1:F$161,J$2,0)</f>
        <v>20.23</v>
      </c>
      <c r="K5">
        <f>VLOOKUP(H5,$A$1:F$161,K$2,0)</f>
        <v>20.23</v>
      </c>
      <c r="L5">
        <f>VLOOKUP(H5,$A$1:F$161,L$2,0)</f>
        <v>20.23</v>
      </c>
      <c r="M5">
        <f>VLOOKUP(H5,$A$1:F$161,M$2,0)</f>
        <v>20.23</v>
      </c>
    </row>
    <row r="6" spans="1:13" x14ac:dyDescent="0.25">
      <c r="H6" t="s">
        <v>10</v>
      </c>
      <c r="I6">
        <f>VLOOKUP(H6,$A$1:F$161,I$2,0)</f>
        <v>-12.42</v>
      </c>
      <c r="J6">
        <f>VLOOKUP(H6,$A$1:F$161,J$2,0)</f>
        <v>-18.43</v>
      </c>
      <c r="K6">
        <f>VLOOKUP(H6,$A$1:F$161,K$2,0)</f>
        <v>-20.2</v>
      </c>
      <c r="L6">
        <f>VLOOKUP(H6,$A$1:F$161,L$2,0)</f>
        <v>-21.13</v>
      </c>
      <c r="M6">
        <f>VLOOKUP(H6,$A$1:F$161,M$2,0)</f>
        <v>-22.45</v>
      </c>
    </row>
    <row r="7" spans="1:13" ht="24" customHeight="1" x14ac:dyDescent="0.25">
      <c r="A7" t="s">
        <v>6</v>
      </c>
      <c r="H7" t="s">
        <v>11</v>
      </c>
      <c r="I7">
        <f>VLOOKUP(H7,$A$1:F$161,I$2,0)</f>
        <v>-12.42</v>
      </c>
      <c r="J7">
        <f>VLOOKUP(H7,$A$1:F$161,J$2,0)</f>
        <v>-18.43</v>
      </c>
      <c r="K7">
        <f>VLOOKUP(H7,$A$1:F$161,K$2,0)</f>
        <v>-20.2</v>
      </c>
      <c r="L7">
        <f>VLOOKUP(H7,$A$1:F$161,L$2,0)</f>
        <v>-21.13</v>
      </c>
      <c r="M7">
        <f>VLOOKUP(H7,$A$1:F$161,M$2,0)</f>
        <v>-22.45</v>
      </c>
    </row>
    <row r="8" spans="1:13" ht="24" customHeight="1" x14ac:dyDescent="0.25">
      <c r="A8" t="s">
        <v>7</v>
      </c>
      <c r="H8" t="s">
        <v>12</v>
      </c>
      <c r="I8">
        <f>VLOOKUP(H8,$A$1:F$161,I$2,0)</f>
        <v>7.81</v>
      </c>
      <c r="J8">
        <f>VLOOKUP(H8,$A$1:F$161,J$2,0)</f>
        <v>1.8</v>
      </c>
      <c r="K8">
        <f>VLOOKUP(H8,$A$1:F$161,K$2,0)</f>
        <v>0.03</v>
      </c>
      <c r="L8">
        <f>VLOOKUP(H8,$A$1:F$161,L$2,0)</f>
        <v>-0.89</v>
      </c>
      <c r="M8">
        <f>VLOOKUP(H8,$A$1:F$161,M$2,0)</f>
        <v>-2.2200000000000002</v>
      </c>
    </row>
    <row r="9" spans="1:13" x14ac:dyDescent="0.25">
      <c r="A9" t="s">
        <v>8</v>
      </c>
      <c r="B9">
        <v>12.84</v>
      </c>
      <c r="C9">
        <v>12.84</v>
      </c>
      <c r="D9">
        <v>12.84</v>
      </c>
      <c r="E9">
        <v>12.84</v>
      </c>
      <c r="F9">
        <v>12.84</v>
      </c>
      <c r="H9" t="s">
        <v>14</v>
      </c>
      <c r="I9">
        <f>VLOOKUP(H9,$A$1:F$161,I$2,0)</f>
        <v>5.96</v>
      </c>
      <c r="J9">
        <f>VLOOKUP(H9,$A$1:F$161,J$2,0)</f>
        <v>11.63</v>
      </c>
      <c r="K9">
        <f>VLOOKUP(H9,$A$1:F$161,K$2,0)</f>
        <v>12.99</v>
      </c>
      <c r="L9">
        <f>VLOOKUP(H9,$A$1:F$161,L$2,0)</f>
        <v>14.7</v>
      </c>
      <c r="M9">
        <f>VLOOKUP(H9,$A$1:F$161,M$2,0)</f>
        <v>16.63</v>
      </c>
    </row>
    <row r="10" spans="1:13" x14ac:dyDescent="0.25">
      <c r="A10" t="s">
        <v>117</v>
      </c>
      <c r="B10">
        <v>7.4</v>
      </c>
      <c r="C10">
        <v>7.4</v>
      </c>
      <c r="D10">
        <v>7.4</v>
      </c>
      <c r="E10">
        <v>7.4</v>
      </c>
      <c r="F10">
        <v>7.4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9</v>
      </c>
      <c r="B11">
        <v>20.23</v>
      </c>
      <c r="C11">
        <v>20.23</v>
      </c>
      <c r="D11">
        <v>20.23</v>
      </c>
      <c r="E11">
        <v>20.23</v>
      </c>
      <c r="F11">
        <v>20.23</v>
      </c>
      <c r="H11" t="s">
        <v>17</v>
      </c>
      <c r="I11">
        <f>VLOOKUP(H11,$A$1:F$161,I$2,0)</f>
        <v>0.52</v>
      </c>
      <c r="J11">
        <f>VLOOKUP(H11,$A$1:F$161,J$2,0)</f>
        <v>0.45</v>
      </c>
      <c r="K11">
        <f>VLOOKUP(H11,$A$1:F$161,K$2,0)</f>
        <v>0.28999999999999998</v>
      </c>
      <c r="L11">
        <f>VLOOKUP(H11,$A$1:F$161,L$2,0)</f>
        <v>0.25</v>
      </c>
      <c r="M11">
        <f>VLOOKUP(H11,$A$1:F$161,M$2,0)</f>
        <v>0.17</v>
      </c>
    </row>
    <row r="12" spans="1:13" x14ac:dyDescent="0.25">
      <c r="A12" t="s">
        <v>10</v>
      </c>
      <c r="B12">
        <v>-12.42</v>
      </c>
      <c r="C12">
        <v>-18.43</v>
      </c>
      <c r="D12">
        <v>-20.2</v>
      </c>
      <c r="E12">
        <v>-21.13</v>
      </c>
      <c r="F12">
        <v>-22.45</v>
      </c>
      <c r="H12" t="s">
        <v>18</v>
      </c>
      <c r="I12">
        <f>VLOOKUP(H12,$A$1:F$161,I$2,0)</f>
        <v>6.48</v>
      </c>
      <c r="J12">
        <f>VLOOKUP(H12,$A$1:F$161,J$2,0)</f>
        <v>12.08</v>
      </c>
      <c r="K12">
        <f>VLOOKUP(H12,$A$1:F$161,K$2,0)</f>
        <v>13.28</v>
      </c>
      <c r="L12">
        <f>VLOOKUP(H12,$A$1:F$161,L$2,0)</f>
        <v>14.95</v>
      </c>
      <c r="M12">
        <f>VLOOKUP(H12,$A$1:F$161,M$2,0)</f>
        <v>16.8</v>
      </c>
    </row>
    <row r="13" spans="1:13" x14ac:dyDescent="0.25">
      <c r="A13" t="s">
        <v>11</v>
      </c>
      <c r="B13">
        <v>-12.42</v>
      </c>
      <c r="C13">
        <v>-18.43</v>
      </c>
      <c r="D13">
        <v>-20.2</v>
      </c>
      <c r="E13">
        <v>-21.13</v>
      </c>
      <c r="F13">
        <v>-22.45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7.81</v>
      </c>
      <c r="C14">
        <v>1.8</v>
      </c>
      <c r="D14">
        <v>0.03</v>
      </c>
      <c r="E14">
        <v>-0.89</v>
      </c>
      <c r="F14">
        <v>-2.2200000000000002</v>
      </c>
      <c r="H14" t="s">
        <v>21</v>
      </c>
      <c r="I14">
        <f>VLOOKUP(H14,$A$1:F$161,I$2,0)</f>
        <v>5.41</v>
      </c>
      <c r="J14">
        <f>VLOOKUP(H14,$A$1:F$161,J$2,0)</f>
        <v>3.55</v>
      </c>
      <c r="K14">
        <f>VLOOKUP(H14,$A$1:F$161,K$2,0)</f>
        <v>5.99</v>
      </c>
      <c r="L14">
        <f>VLOOKUP(H14,$A$1:F$161,L$2,0)</f>
        <v>5.55</v>
      </c>
      <c r="M14">
        <f>VLOOKUP(H14,$A$1:F$161,M$2,0)</f>
        <v>5.61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0.12</v>
      </c>
      <c r="J15">
        <f>VLOOKUP(H15,$A$1:F$161,J$2,0)</f>
        <v>0.3</v>
      </c>
      <c r="K15">
        <f>VLOOKUP(H15,$A$1:F$161,K$2,0)</f>
        <v>0.44</v>
      </c>
      <c r="L15">
        <f>VLOOKUP(H15,$A$1:F$161,L$2,0)</f>
        <v>0.56000000000000005</v>
      </c>
      <c r="M15">
        <f>VLOOKUP(H15,$A$1:F$161,M$2,0)</f>
        <v>1.77</v>
      </c>
    </row>
    <row r="16" spans="1:13" x14ac:dyDescent="0.25">
      <c r="A16" t="s">
        <v>14</v>
      </c>
      <c r="B16">
        <v>5.96</v>
      </c>
      <c r="C16">
        <v>11.63</v>
      </c>
      <c r="D16">
        <v>12.99</v>
      </c>
      <c r="E16">
        <v>14.7</v>
      </c>
      <c r="F16">
        <v>16.63</v>
      </c>
      <c r="H16" t="s">
        <v>23</v>
      </c>
      <c r="I16" t="e">
        <f>VLOOKUP(H16,$A$1:F$161,I$2,0)</f>
        <v>#N/A</v>
      </c>
      <c r="J16" t="e">
        <f>VLOOKUP(H16,$A$1:F$161,J$2,0)</f>
        <v>#N/A</v>
      </c>
      <c r="K16" t="e">
        <f>VLOOKUP(H16,$A$1:F$161,K$2,0)</f>
        <v>#N/A</v>
      </c>
      <c r="L16" t="e">
        <f>VLOOKUP(H16,$A$1:F$161,L$2,0)</f>
        <v>#N/A</v>
      </c>
      <c r="M16" t="e">
        <f>VLOOKUP(H16,$A$1:F$161,M$2,0)</f>
        <v>#N/A</v>
      </c>
    </row>
    <row r="17" spans="1:13" x14ac:dyDescent="0.25">
      <c r="A17" t="s">
        <v>17</v>
      </c>
      <c r="B17">
        <v>0.52</v>
      </c>
      <c r="C17">
        <v>0.45</v>
      </c>
      <c r="D17">
        <v>0.28999999999999998</v>
      </c>
      <c r="E17">
        <v>0.25</v>
      </c>
      <c r="F17">
        <v>0.17</v>
      </c>
      <c r="H17" t="s">
        <v>24</v>
      </c>
      <c r="I17">
        <f>VLOOKUP(H17,$A$1:F$161,I$2,0)</f>
        <v>13.17</v>
      </c>
      <c r="J17">
        <f>VLOOKUP(H17,$A$1:F$161,J$2,0)</f>
        <v>8.41</v>
      </c>
      <c r="K17">
        <f>VLOOKUP(H17,$A$1:F$161,K$2,0)</f>
        <v>7.74</v>
      </c>
      <c r="L17">
        <f>VLOOKUP(H17,$A$1:F$161,L$2,0)</f>
        <v>7.04</v>
      </c>
      <c r="M17">
        <f>VLOOKUP(H17,$A$1:F$161,M$2,0)</f>
        <v>7.68</v>
      </c>
    </row>
    <row r="18" spans="1:13" x14ac:dyDescent="0.25">
      <c r="A18" t="s">
        <v>18</v>
      </c>
      <c r="B18">
        <v>6.48</v>
      </c>
      <c r="C18">
        <v>12.08</v>
      </c>
      <c r="D18">
        <v>13.28</v>
      </c>
      <c r="E18">
        <v>14.95</v>
      </c>
      <c r="F18">
        <v>16.8</v>
      </c>
      <c r="H18" t="s">
        <v>25</v>
      </c>
      <c r="I18">
        <f>VLOOKUP(H18,$A$1:F$161,I$2,0)</f>
        <v>27.46</v>
      </c>
      <c r="J18">
        <f>VLOOKUP(H18,$A$1:F$161,J$2,0)</f>
        <v>22.3</v>
      </c>
      <c r="K18">
        <f>VLOOKUP(H18,$A$1:F$161,K$2,0)</f>
        <v>21.05</v>
      </c>
      <c r="L18">
        <f>VLOOKUP(H18,$A$1:F$161,L$2,0)</f>
        <v>21.1</v>
      </c>
      <c r="M18">
        <f>VLOOKUP(H18,$A$1:F$161,M$2,0)</f>
        <v>22.27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7.64</v>
      </c>
      <c r="C20">
        <v>4.57</v>
      </c>
      <c r="D20">
        <v>1.31</v>
      </c>
      <c r="E20">
        <v>0.93</v>
      </c>
      <c r="F20">
        <v>0.31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5.41</v>
      </c>
      <c r="C21">
        <v>3.55</v>
      </c>
      <c r="D21">
        <v>5.99</v>
      </c>
      <c r="E21">
        <v>5.55</v>
      </c>
      <c r="F21">
        <v>5.61</v>
      </c>
      <c r="H21" t="s">
        <v>28</v>
      </c>
      <c r="I21">
        <f>VLOOKUP(H21,$A$1:F$161,I$2,0)</f>
        <v>1.6</v>
      </c>
      <c r="J21">
        <f>VLOOKUP(H21,$A$1:F$161,J$2,0)</f>
        <v>1.49</v>
      </c>
      <c r="K21">
        <f>VLOOKUP(H21,$A$1:F$161,K$2,0)</f>
        <v>2.11</v>
      </c>
      <c r="L21">
        <f>VLOOKUP(H21,$A$1:F$161,L$2,0)</f>
        <v>2.76</v>
      </c>
      <c r="M21">
        <f>VLOOKUP(H21,$A$1:F$161,M$2,0)</f>
        <v>3.41</v>
      </c>
    </row>
    <row r="22" spans="1:13" x14ac:dyDescent="0.25">
      <c r="A22" t="s">
        <v>22</v>
      </c>
      <c r="B22">
        <v>0.12</v>
      </c>
      <c r="C22">
        <v>0.3</v>
      </c>
      <c r="D22">
        <v>0.44</v>
      </c>
      <c r="E22">
        <v>0.56000000000000005</v>
      </c>
      <c r="F22">
        <v>1.77</v>
      </c>
      <c r="H22" t="s">
        <v>29</v>
      </c>
      <c r="I22">
        <f>VLOOKUP(H22,$A$1:F$161,I$2,0)</f>
        <v>0</v>
      </c>
      <c r="J22">
        <f>VLOOKUP(H22,$A$1:F$161,J$2,0)</f>
        <v>0.01</v>
      </c>
      <c r="K22">
        <f>VLOOKUP(H22,$A$1:F$161,K$2,0)</f>
        <v>0.01</v>
      </c>
      <c r="L22">
        <f>VLOOKUP(H22,$A$1:F$161,L$2,0)</f>
        <v>0.01</v>
      </c>
      <c r="M22">
        <f>VLOOKUP(H22,$A$1:F$161,M$2,0)</f>
        <v>0.01</v>
      </c>
    </row>
    <row r="23" spans="1:13" x14ac:dyDescent="0.25">
      <c r="A23" t="s">
        <v>24</v>
      </c>
      <c r="B23">
        <v>13.17</v>
      </c>
      <c r="C23">
        <v>8.41</v>
      </c>
      <c r="D23">
        <v>7.74</v>
      </c>
      <c r="E23">
        <v>7.04</v>
      </c>
      <c r="F23">
        <v>7.68</v>
      </c>
      <c r="H23" t="s">
        <v>30</v>
      </c>
      <c r="I23">
        <f>VLOOKUP(H23,$A$1:F$161,I$2,0)</f>
        <v>1.6</v>
      </c>
      <c r="J23">
        <f>VLOOKUP(H23,$A$1:F$161,J$2,0)</f>
        <v>1.5</v>
      </c>
      <c r="K23">
        <f>VLOOKUP(H23,$A$1:F$161,K$2,0)</f>
        <v>2.13</v>
      </c>
      <c r="L23">
        <f>VLOOKUP(H23,$A$1:F$161,L$2,0)</f>
        <v>2.79</v>
      </c>
      <c r="M23">
        <f>VLOOKUP(H23,$A$1:F$161,M$2,0)</f>
        <v>3.43</v>
      </c>
    </row>
    <row r="24" spans="1:13" x14ac:dyDescent="0.25">
      <c r="A24" t="s">
        <v>25</v>
      </c>
      <c r="B24">
        <v>27.46</v>
      </c>
      <c r="C24">
        <v>22.3</v>
      </c>
      <c r="D24">
        <v>21.05</v>
      </c>
      <c r="E24">
        <v>21.1</v>
      </c>
      <c r="F24">
        <v>22.27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26</v>
      </c>
      <c r="H25" t="s">
        <v>33</v>
      </c>
      <c r="I25">
        <f>VLOOKUP(H25,$A$1:F$161,I$2,0)</f>
        <v>0.35</v>
      </c>
      <c r="J25">
        <f>VLOOKUP(H25,$A$1:F$161,J$2,0)</f>
        <v>0.45</v>
      </c>
      <c r="K25">
        <f>VLOOKUP(H25,$A$1:F$161,K$2,0)</f>
        <v>0.45</v>
      </c>
      <c r="L25">
        <f>VLOOKUP(H25,$A$1:F$161,L$2,0)</f>
        <v>0.45</v>
      </c>
      <c r="M25">
        <f>VLOOKUP(H25,$A$1:F$161,M$2,0)</f>
        <v>0.46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1.27</v>
      </c>
      <c r="J26">
        <f>VLOOKUP(H26,$A$1:F$161,J$2,0)</f>
        <v>1.19</v>
      </c>
      <c r="K26">
        <f>VLOOKUP(H26,$A$1:F$161,K$2,0)</f>
        <v>0.41</v>
      </c>
      <c r="L26">
        <f>VLOOKUP(H26,$A$1:F$161,L$2,0)</f>
        <v>0.41</v>
      </c>
      <c r="M26">
        <f>VLOOKUP(H26,$A$1:F$161,M$2,0)</f>
        <v>0.41</v>
      </c>
    </row>
    <row r="27" spans="1:13" x14ac:dyDescent="0.25">
      <c r="A27" t="s">
        <v>28</v>
      </c>
      <c r="B27">
        <v>1.6</v>
      </c>
      <c r="C27">
        <v>1.49</v>
      </c>
      <c r="D27">
        <v>2.11</v>
      </c>
      <c r="E27">
        <v>2.76</v>
      </c>
      <c r="F27">
        <v>3.41</v>
      </c>
      <c r="H27" t="s">
        <v>35</v>
      </c>
      <c r="I27">
        <f>VLOOKUP(H27,$A$1:F$161,I$2,0)</f>
        <v>3.22</v>
      </c>
      <c r="J27">
        <f>VLOOKUP(H27,$A$1:F$161,J$2,0)</f>
        <v>3.14</v>
      </c>
      <c r="K27">
        <f>VLOOKUP(H27,$A$1:F$161,K$2,0)</f>
        <v>2.98</v>
      </c>
      <c r="L27">
        <f>VLOOKUP(H27,$A$1:F$161,L$2,0)</f>
        <v>3.64</v>
      </c>
      <c r="M27">
        <f>VLOOKUP(H27,$A$1:F$161,M$2,0)</f>
        <v>4.3</v>
      </c>
    </row>
    <row r="28" spans="1:13" x14ac:dyDescent="0.25">
      <c r="A28" t="s">
        <v>106</v>
      </c>
      <c r="B28">
        <v>0</v>
      </c>
      <c r="C28">
        <v>0</v>
      </c>
      <c r="D28">
        <v>0.01</v>
      </c>
      <c r="E28">
        <v>0.01</v>
      </c>
      <c r="F28">
        <v>0.01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29</v>
      </c>
      <c r="B29">
        <v>0</v>
      </c>
      <c r="C29">
        <v>0.01</v>
      </c>
      <c r="D29">
        <v>0.01</v>
      </c>
      <c r="E29">
        <v>0.01</v>
      </c>
      <c r="F29">
        <v>0.01</v>
      </c>
      <c r="H29" t="s">
        <v>38</v>
      </c>
      <c r="I29">
        <f>VLOOKUP(H29,$A$1:F$161,I$2,0)</f>
        <v>12.66</v>
      </c>
      <c r="J29">
        <f>VLOOKUP(H29,$A$1:F$161,J$2,0)</f>
        <v>9.2100000000000009</v>
      </c>
      <c r="K29">
        <f>VLOOKUP(H29,$A$1:F$161,K$2,0)</f>
        <v>9.01</v>
      </c>
      <c r="L29">
        <f>VLOOKUP(H29,$A$1:F$161,L$2,0)</f>
        <v>10.11</v>
      </c>
      <c r="M29">
        <f>VLOOKUP(H29,$A$1:F$161,M$2,0)</f>
        <v>8.77</v>
      </c>
    </row>
    <row r="30" spans="1:13" x14ac:dyDescent="0.25">
      <c r="A30" t="s">
        <v>30</v>
      </c>
      <c r="B30">
        <v>1.6</v>
      </c>
      <c r="C30">
        <v>1.5</v>
      </c>
      <c r="D30">
        <v>2.13</v>
      </c>
      <c r="E30">
        <v>2.79</v>
      </c>
      <c r="F30">
        <v>3.43</v>
      </c>
      <c r="H30" t="s">
        <v>39</v>
      </c>
      <c r="I30">
        <f>VLOOKUP(H30,$A$1:F$161,I$2,0)</f>
        <v>8.18</v>
      </c>
      <c r="J30">
        <f>VLOOKUP(H30,$A$1:F$161,J$2,0)</f>
        <v>8.27</v>
      </c>
      <c r="K30">
        <f>VLOOKUP(H30,$A$1:F$161,K$2,0)</f>
        <v>6.34</v>
      </c>
      <c r="L30">
        <f>VLOOKUP(H30,$A$1:F$161,L$2,0)</f>
        <v>6.41</v>
      </c>
      <c r="M30">
        <f>VLOOKUP(H30,$A$1:F$161,M$2,0)</f>
        <v>7.22</v>
      </c>
    </row>
    <row r="31" spans="1:13" x14ac:dyDescent="0.25">
      <c r="A31" t="s">
        <v>33</v>
      </c>
      <c r="B31">
        <v>0.35</v>
      </c>
      <c r="C31">
        <v>0.45</v>
      </c>
      <c r="D31">
        <v>0.45</v>
      </c>
      <c r="E31">
        <v>0.45</v>
      </c>
      <c r="F31">
        <v>0.46</v>
      </c>
      <c r="H31" t="s">
        <v>40</v>
      </c>
      <c r="I31">
        <f>VLOOKUP(H31,$A$1:F$161,I$2,0)</f>
        <v>0.36</v>
      </c>
      <c r="J31">
        <f>VLOOKUP(H31,$A$1:F$161,J$2,0)</f>
        <v>0.94</v>
      </c>
      <c r="K31">
        <f>VLOOKUP(H31,$A$1:F$161,K$2,0)</f>
        <v>1.51</v>
      </c>
      <c r="L31">
        <f>VLOOKUP(H31,$A$1:F$161,L$2,0)</f>
        <v>0.5</v>
      </c>
      <c r="M31">
        <f>VLOOKUP(H31,$A$1:F$161,M$2,0)</f>
        <v>1.2</v>
      </c>
    </row>
    <row r="32" spans="1:13" x14ac:dyDescent="0.25">
      <c r="A32" t="s">
        <v>34</v>
      </c>
      <c r="B32">
        <v>1.27</v>
      </c>
      <c r="C32">
        <v>1.19</v>
      </c>
      <c r="D32">
        <v>0.41</v>
      </c>
      <c r="E32">
        <v>0.41</v>
      </c>
      <c r="F32">
        <v>0.41</v>
      </c>
      <c r="H32" t="s">
        <v>41</v>
      </c>
      <c r="I32">
        <f>VLOOKUP(H32,$A$1:F$161,I$2,0)</f>
        <v>0.01</v>
      </c>
      <c r="J32">
        <f>VLOOKUP(H32,$A$1:F$161,J$2,0)</f>
        <v>0.35</v>
      </c>
      <c r="K32">
        <f>VLOOKUP(H32,$A$1:F$161,K$2,0)</f>
        <v>0.42</v>
      </c>
      <c r="L32">
        <f>VLOOKUP(H32,$A$1:F$161,L$2,0)</f>
        <v>0.19</v>
      </c>
      <c r="M32">
        <f>VLOOKUP(H32,$A$1:F$161,M$2,0)</f>
        <v>0.33</v>
      </c>
    </row>
    <row r="33" spans="1:13" x14ac:dyDescent="0.25">
      <c r="A33" t="s">
        <v>35</v>
      </c>
      <c r="B33">
        <v>3.22</v>
      </c>
      <c r="C33">
        <v>3.14</v>
      </c>
      <c r="D33">
        <v>2.98</v>
      </c>
      <c r="E33">
        <v>3.64</v>
      </c>
      <c r="F33">
        <v>4.3</v>
      </c>
      <c r="H33" t="s">
        <v>42</v>
      </c>
      <c r="I33">
        <f>VLOOKUP(H33,$A$1:F$161,I$2,0)</f>
        <v>3.02</v>
      </c>
      <c r="J33">
        <f>VLOOKUP(H33,$A$1:F$161,J$2,0)</f>
        <v>0.39</v>
      </c>
      <c r="K33">
        <f>VLOOKUP(H33,$A$1:F$161,K$2,0)</f>
        <v>0.8</v>
      </c>
      <c r="L33">
        <f>VLOOKUP(H33,$A$1:F$161,L$2,0)</f>
        <v>0.25</v>
      </c>
      <c r="M33">
        <f>VLOOKUP(H33,$A$1:F$161,M$2,0)</f>
        <v>0.44</v>
      </c>
    </row>
    <row r="34" spans="1:13" ht="15" customHeight="1" x14ac:dyDescent="0.25">
      <c r="A34" t="s">
        <v>36</v>
      </c>
      <c r="H34" t="s">
        <v>43</v>
      </c>
      <c r="I34">
        <f>VLOOKUP(H34,$A$1:F$161,I$2,0)</f>
        <v>24.24</v>
      </c>
      <c r="J34">
        <f>VLOOKUP(H34,$A$1:F$161,J$2,0)</f>
        <v>19.16</v>
      </c>
      <c r="K34">
        <f>VLOOKUP(H34,$A$1:F$161,K$2,0)</f>
        <v>18.07</v>
      </c>
      <c r="L34">
        <f>VLOOKUP(H34,$A$1:F$161,L$2,0)</f>
        <v>17.46</v>
      </c>
      <c r="M34">
        <f>VLOOKUP(H34,$A$1:F$161,M$2,0)</f>
        <v>17.97</v>
      </c>
    </row>
    <row r="35" spans="1:13" x14ac:dyDescent="0.25">
      <c r="A35" t="s">
        <v>38</v>
      </c>
      <c r="B35">
        <v>12.66</v>
      </c>
      <c r="C35">
        <v>9.2100000000000009</v>
      </c>
      <c r="D35">
        <v>9.01</v>
      </c>
      <c r="E35">
        <v>10.11</v>
      </c>
      <c r="F35">
        <v>8.77</v>
      </c>
      <c r="H35" t="s">
        <v>44</v>
      </c>
      <c r="I35">
        <f>VLOOKUP(H35,$A$1:F$161,I$2,0)</f>
        <v>27.46</v>
      </c>
      <c r="J35">
        <f>VLOOKUP(H35,$A$1:F$161,J$2,0)</f>
        <v>22.3</v>
      </c>
      <c r="K35">
        <f>VLOOKUP(H35,$A$1:F$161,K$2,0)</f>
        <v>21.05</v>
      </c>
      <c r="L35">
        <f>VLOOKUP(H35,$A$1:F$161,L$2,0)</f>
        <v>21.1</v>
      </c>
      <c r="M35">
        <f>VLOOKUP(H35,$A$1:F$161,M$2,0)</f>
        <v>22.27</v>
      </c>
    </row>
    <row r="36" spans="1:13" x14ac:dyDescent="0.25">
      <c r="A36" t="s">
        <v>39</v>
      </c>
      <c r="B36">
        <v>8.18</v>
      </c>
      <c r="C36">
        <v>8.27</v>
      </c>
      <c r="D36">
        <v>6.34</v>
      </c>
      <c r="E36">
        <v>6.41</v>
      </c>
      <c r="F36">
        <v>7.22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40</v>
      </c>
      <c r="B37">
        <v>0.36</v>
      </c>
      <c r="C37">
        <v>0.94</v>
      </c>
      <c r="D37">
        <v>1.51</v>
      </c>
      <c r="E37">
        <v>0.5</v>
      </c>
      <c r="F37">
        <v>1.2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41</v>
      </c>
      <c r="B38">
        <v>0.01</v>
      </c>
      <c r="C38">
        <v>0.35</v>
      </c>
      <c r="D38">
        <v>0.42</v>
      </c>
      <c r="E38">
        <v>0.19</v>
      </c>
      <c r="F38">
        <v>0.33</v>
      </c>
      <c r="H38" t="s">
        <v>47</v>
      </c>
      <c r="I38">
        <f>VLOOKUP(H38,$A$1:F$161,I$2,0)</f>
        <v>13.05</v>
      </c>
      <c r="J38">
        <f>VLOOKUP(H38,$A$1:F$161,J$2,0)</f>
        <v>13.05</v>
      </c>
      <c r="K38">
        <f>VLOOKUP(H38,$A$1:F$161,K$2,0)</f>
        <v>13.05</v>
      </c>
      <c r="L38">
        <f>VLOOKUP(H38,$A$1:F$161,L$2,0)</f>
        <v>13.05</v>
      </c>
      <c r="M38">
        <f>VLOOKUP(H38,$A$1:F$161,M$2,0)</f>
        <v>0</v>
      </c>
    </row>
    <row r="39" spans="1:13" x14ac:dyDescent="0.25">
      <c r="A39" t="s">
        <v>42</v>
      </c>
      <c r="B39">
        <v>3.02</v>
      </c>
      <c r="C39">
        <v>0.39</v>
      </c>
      <c r="D39">
        <v>0.8</v>
      </c>
      <c r="E39">
        <v>0.25</v>
      </c>
      <c r="F39">
        <v>0.44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43</v>
      </c>
      <c r="B40">
        <v>24.24</v>
      </c>
      <c r="C40">
        <v>19.16</v>
      </c>
      <c r="D40">
        <v>18.07</v>
      </c>
      <c r="E40">
        <v>17.46</v>
      </c>
      <c r="F40">
        <v>17.97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44</v>
      </c>
      <c r="B41">
        <v>27.46</v>
      </c>
      <c r="C41">
        <v>22.3</v>
      </c>
      <c r="D41">
        <v>21.05</v>
      </c>
      <c r="E41">
        <v>21.1</v>
      </c>
      <c r="F41">
        <v>22.27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ht="24" customHeight="1" x14ac:dyDescent="0.25">
      <c r="A42" t="s">
        <v>45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ht="36" customHeight="1" x14ac:dyDescent="0.25">
      <c r="A43" t="s">
        <v>46</v>
      </c>
      <c r="H43" t="s">
        <v>68</v>
      </c>
      <c r="I43">
        <f>VLOOKUP(H43,$A$1:F$161,I$2,0)</f>
        <v>86.97</v>
      </c>
      <c r="J43">
        <f>VLOOKUP(H43,$A$1:F$161,J$2,0)</f>
        <v>47.87</v>
      </c>
      <c r="K43">
        <f>VLOOKUP(H43,$A$1:F$161,K$2,0)</f>
        <v>69.89</v>
      </c>
      <c r="L43">
        <f>VLOOKUP(H43,$A$1:F$161,L$2,0)</f>
        <v>65.69</v>
      </c>
      <c r="M43">
        <f>VLOOKUP(H43,$A$1:F$161,M$2,0)</f>
        <v>58.68</v>
      </c>
    </row>
    <row r="44" spans="1:13" x14ac:dyDescent="0.25">
      <c r="A44" t="s">
        <v>47</v>
      </c>
      <c r="B44">
        <v>13.05</v>
      </c>
      <c r="C44">
        <v>13.05</v>
      </c>
      <c r="D44">
        <v>13.05</v>
      </c>
      <c r="E44">
        <v>13.05</v>
      </c>
      <c r="F44">
        <v>0</v>
      </c>
      <c r="H44" t="s">
        <v>70</v>
      </c>
      <c r="I44">
        <f>VLOOKUP(H44,$A$1:F$161,I$2,0)</f>
        <v>86.97</v>
      </c>
      <c r="J44">
        <f>VLOOKUP(H44,$A$1:F$161,J$2,0)</f>
        <v>47.87</v>
      </c>
      <c r="K44">
        <f>VLOOKUP(H44,$A$1:F$161,K$2,0)</f>
        <v>69.89</v>
      </c>
      <c r="L44">
        <f>VLOOKUP(H44,$A$1:F$161,L$2,0)</f>
        <v>65.69</v>
      </c>
      <c r="M44">
        <f>VLOOKUP(H44,$A$1:F$161,M$2,0)</f>
        <v>56.92</v>
      </c>
    </row>
    <row r="45" spans="1:13" ht="24" customHeight="1" x14ac:dyDescent="0.25">
      <c r="A45" t="s">
        <v>48</v>
      </c>
      <c r="H45" t="s">
        <v>71</v>
      </c>
      <c r="I45" t="e">
        <f>VLOOKUP(H45,$A$1:F$161,I$2,0)</f>
        <v>#N/A</v>
      </c>
      <c r="J45" t="e">
        <f>VLOOKUP(H45,$A$1:F$161,J$2,0)</f>
        <v>#N/A</v>
      </c>
      <c r="K45" t="e">
        <f>VLOOKUP(H45,$A$1:F$161,K$2,0)</f>
        <v>#N/A</v>
      </c>
      <c r="L45" t="e">
        <f>VLOOKUP(H45,$A$1:F$161,L$2,0)</f>
        <v>#N/A</v>
      </c>
      <c r="M45" t="e">
        <f>VLOOKUP(H45,$A$1:F$161,M$2,0)</f>
        <v>#N/A</v>
      </c>
    </row>
    <row r="46" spans="1:13" ht="24" customHeight="1" x14ac:dyDescent="0.25">
      <c r="A46" t="s">
        <v>49</v>
      </c>
      <c r="H46" t="s">
        <v>72</v>
      </c>
      <c r="I46">
        <f>VLOOKUP(H46,$A$1:F$161,I$2,0)</f>
        <v>86.97</v>
      </c>
      <c r="J46">
        <f>VLOOKUP(H46,$A$1:F$161,J$2,0)</f>
        <v>47.87</v>
      </c>
      <c r="K46">
        <f>VLOOKUP(H46,$A$1:F$161,K$2,0)</f>
        <v>69.89</v>
      </c>
      <c r="L46">
        <f>VLOOKUP(H46,$A$1:F$161,L$2,0)</f>
        <v>65.69</v>
      </c>
      <c r="M46">
        <f>VLOOKUP(H46,$A$1:F$161,M$2,0)</f>
        <v>56.92</v>
      </c>
    </row>
    <row r="47" spans="1:13" x14ac:dyDescent="0.25">
      <c r="A47" t="s">
        <v>50</v>
      </c>
      <c r="B47">
        <v>11.54</v>
      </c>
      <c r="C47">
        <v>4.93</v>
      </c>
      <c r="D47">
        <v>5.55</v>
      </c>
      <c r="E47">
        <v>2.46</v>
      </c>
      <c r="F47">
        <v>0</v>
      </c>
      <c r="H47" t="s">
        <v>73</v>
      </c>
      <c r="I47">
        <f>VLOOKUP(H47,$A$1:F$161,I$2,0)</f>
        <v>0.2</v>
      </c>
      <c r="J47">
        <f>VLOOKUP(H47,$A$1:F$161,J$2,0)</f>
        <v>0.06</v>
      </c>
      <c r="K47">
        <f>VLOOKUP(H47,$A$1:F$161,K$2,0)</f>
        <v>0.05</v>
      </c>
      <c r="L47">
        <f>VLOOKUP(H47,$A$1:F$161,L$2,0)</f>
        <v>7.0000000000000007E-2</v>
      </c>
      <c r="M47">
        <f>VLOOKUP(H47,$A$1:F$161,M$2,0)</f>
        <v>0.02</v>
      </c>
    </row>
    <row r="48" spans="1:13" ht="48" customHeight="1" x14ac:dyDescent="0.25">
      <c r="A48" t="s">
        <v>51</v>
      </c>
      <c r="H48" t="s">
        <v>74</v>
      </c>
      <c r="I48">
        <f>VLOOKUP(H48,$A$1:F$161,I$2,0)</f>
        <v>87.18</v>
      </c>
      <c r="J48">
        <f>VLOOKUP(H48,$A$1:F$161,J$2,0)</f>
        <v>47.93</v>
      </c>
      <c r="K48">
        <f>VLOOKUP(H48,$A$1:F$161,K$2,0)</f>
        <v>69.94</v>
      </c>
      <c r="L48">
        <f>VLOOKUP(H48,$A$1:F$161,L$2,0)</f>
        <v>65.760000000000005</v>
      </c>
      <c r="M48">
        <f>VLOOKUP(H48,$A$1:F$161,M$2,0)</f>
        <v>56.94</v>
      </c>
    </row>
    <row r="49" spans="1:13" x14ac:dyDescent="0.25">
      <c r="A49" t="s">
        <v>52</v>
      </c>
      <c r="B49" t="s">
        <v>53</v>
      </c>
      <c r="C49" t="s">
        <v>53</v>
      </c>
      <c r="D49" t="s">
        <v>53</v>
      </c>
      <c r="E49" t="s">
        <v>53</v>
      </c>
      <c r="F49" t="s">
        <v>53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54</v>
      </c>
      <c r="H50" t="s">
        <v>76</v>
      </c>
      <c r="I50">
        <f>VLOOKUP(H50,$A$1:F$161,I$2,0)</f>
        <v>71.849999999999994</v>
      </c>
      <c r="J50">
        <f>VLOOKUP(H50,$A$1:F$161,J$2,0)</f>
        <v>38.799999999999997</v>
      </c>
      <c r="K50">
        <f>VLOOKUP(H50,$A$1:F$161,K$2,0)</f>
        <v>59.17</v>
      </c>
      <c r="L50">
        <f>VLOOKUP(H50,$A$1:F$161,L$2,0)</f>
        <v>57.15</v>
      </c>
      <c r="M50">
        <f>VLOOKUP(H50,$A$1:F$161,M$2,0)</f>
        <v>42.89</v>
      </c>
    </row>
    <row r="51" spans="1:13" x14ac:dyDescent="0.25">
      <c r="A51" t="s">
        <v>55</v>
      </c>
      <c r="B51" t="s">
        <v>53</v>
      </c>
      <c r="C51" t="s">
        <v>53</v>
      </c>
      <c r="D51" t="s">
        <v>53</v>
      </c>
      <c r="E51" t="s">
        <v>53</v>
      </c>
      <c r="F51" t="s">
        <v>53</v>
      </c>
      <c r="H51" t="s">
        <v>77</v>
      </c>
      <c r="I51" t="e">
        <f>VLOOKUP(H51,$A$1:F$161,I$2,0)</f>
        <v>#N/A</v>
      </c>
      <c r="J51" t="e">
        <f>VLOOKUP(H51,$A$1:F$161,J$2,0)</f>
        <v>#N/A</v>
      </c>
      <c r="K51" t="e">
        <f>VLOOKUP(H51,$A$1:F$161,K$2,0)</f>
        <v>#N/A</v>
      </c>
      <c r="L51" t="e">
        <f>VLOOKUP(H51,$A$1:F$161,L$2,0)</f>
        <v>#N/A</v>
      </c>
      <c r="M51" t="e">
        <f>VLOOKUP(H51,$A$1:F$161,M$2,0)</f>
        <v>#N/A</v>
      </c>
    </row>
    <row r="52" spans="1:13" x14ac:dyDescent="0.25">
      <c r="A52" t="s">
        <v>56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-0.9</v>
      </c>
      <c r="J52">
        <f>VLOOKUP(H52,$A$1:F$161,J$2,0)</f>
        <v>0.42</v>
      </c>
      <c r="K52">
        <f>VLOOKUP(H52,$A$1:F$161,K$2,0)</f>
        <v>0.69</v>
      </c>
      <c r="L52">
        <f>VLOOKUP(H52,$A$1:F$161,L$2,0)</f>
        <v>-1.94</v>
      </c>
      <c r="M52">
        <f>VLOOKUP(H52,$A$1:F$161,M$2,0)</f>
        <v>2.14</v>
      </c>
    </row>
    <row r="53" spans="1:13" ht="15" customHeight="1" x14ac:dyDescent="0.25">
      <c r="A53" t="s">
        <v>57</v>
      </c>
      <c r="H53" t="s">
        <v>79</v>
      </c>
      <c r="I53">
        <f>VLOOKUP(H53,$A$1:F$161,I$2,0)</f>
        <v>2.74</v>
      </c>
      <c r="J53">
        <f>VLOOKUP(H53,$A$1:F$161,J$2,0)</f>
        <v>1.99</v>
      </c>
      <c r="K53">
        <f>VLOOKUP(H53,$A$1:F$161,K$2,0)</f>
        <v>2.5</v>
      </c>
      <c r="L53">
        <f>VLOOKUP(H53,$A$1:F$161,L$2,0)</f>
        <v>3.07</v>
      </c>
      <c r="M53">
        <f>VLOOKUP(H53,$A$1:F$161,M$2,0)</f>
        <v>2.86</v>
      </c>
    </row>
    <row r="54" spans="1:13" x14ac:dyDescent="0.25">
      <c r="A54" t="s">
        <v>58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0.31</v>
      </c>
      <c r="J54">
        <f>VLOOKUP(H54,$A$1:F$161,J$2,0)</f>
        <v>0.2</v>
      </c>
      <c r="K54">
        <f>VLOOKUP(H54,$A$1:F$161,K$2,0)</f>
        <v>0.2</v>
      </c>
      <c r="L54">
        <f>VLOOKUP(H54,$A$1:F$161,L$2,0)</f>
        <v>0.15</v>
      </c>
      <c r="M54">
        <f>VLOOKUP(H54,$A$1:F$161,M$2,0)</f>
        <v>0.66</v>
      </c>
    </row>
    <row r="55" spans="1:13" ht="24" customHeight="1" x14ac:dyDescent="0.25">
      <c r="A55" t="s">
        <v>59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60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0.22</v>
      </c>
      <c r="J56">
        <f>VLOOKUP(H56,$A$1:F$161,J$2,0)</f>
        <v>0.62</v>
      </c>
      <c r="K56">
        <f>VLOOKUP(H56,$A$1:F$161,K$2,0)</f>
        <v>0.65</v>
      </c>
      <c r="L56">
        <f>VLOOKUP(H56,$A$1:F$161,L$2,0)</f>
        <v>0.65</v>
      </c>
      <c r="M56">
        <f>VLOOKUP(H56,$A$1:F$161,M$2,0)</f>
        <v>0.8</v>
      </c>
    </row>
    <row r="57" spans="1:13" x14ac:dyDescent="0.25">
      <c r="A57" t="s">
        <v>61</v>
      </c>
      <c r="B57" t="s">
        <v>53</v>
      </c>
      <c r="C57" t="s">
        <v>53</v>
      </c>
      <c r="D57" t="s">
        <v>53</v>
      </c>
      <c r="E57" t="s">
        <v>53</v>
      </c>
      <c r="F57" t="s">
        <v>53</v>
      </c>
      <c r="H57" t="s">
        <v>83</v>
      </c>
      <c r="I57">
        <f>VLOOKUP(H57,$A$1:F$161,I$2,0)</f>
        <v>3.11</v>
      </c>
      <c r="J57">
        <f>VLOOKUP(H57,$A$1:F$161,J$2,0)</f>
        <v>1.63</v>
      </c>
      <c r="K57">
        <f>VLOOKUP(H57,$A$1:F$161,K$2,0)</f>
        <v>2.19</v>
      </c>
      <c r="L57">
        <f>VLOOKUP(H57,$A$1:F$161,L$2,0)</f>
        <v>1.82</v>
      </c>
      <c r="M57">
        <f>VLOOKUP(H57,$A$1:F$161,M$2,0)</f>
        <v>2.4300000000000002</v>
      </c>
    </row>
    <row r="58" spans="1:13" ht="24" customHeight="1" x14ac:dyDescent="0.25">
      <c r="A58" t="s">
        <v>62</v>
      </c>
      <c r="H58" t="s">
        <v>84</v>
      </c>
      <c r="I58">
        <f>VLOOKUP(H58,$A$1:F$161,I$2,0)</f>
        <v>81.16</v>
      </c>
      <c r="J58">
        <f>VLOOKUP(H58,$A$1:F$161,J$2,0)</f>
        <v>46.3</v>
      </c>
      <c r="K58">
        <f>VLOOKUP(H58,$A$1:F$161,K$2,0)</f>
        <v>69.17</v>
      </c>
      <c r="L58">
        <f>VLOOKUP(H58,$A$1:F$161,L$2,0)</f>
        <v>64.55</v>
      </c>
      <c r="M58">
        <f>VLOOKUP(H58,$A$1:F$161,M$2,0)</f>
        <v>55.68</v>
      </c>
    </row>
    <row r="59" spans="1:13" x14ac:dyDescent="0.25">
      <c r="A59" t="s">
        <v>63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6.01</v>
      </c>
      <c r="J59">
        <f>VLOOKUP(H59,$A$1:F$161,J$2,0)</f>
        <v>1.63</v>
      </c>
      <c r="K59">
        <f>VLOOKUP(H59,$A$1:F$161,K$2,0)</f>
        <v>0.77</v>
      </c>
      <c r="L59">
        <f>VLOOKUP(H59,$A$1:F$161,L$2,0)</f>
        <v>1.21</v>
      </c>
      <c r="M59">
        <f>VLOOKUP(H59,$A$1:F$161,M$2,0)</f>
        <v>1.26</v>
      </c>
    </row>
    <row r="60" spans="1:13" x14ac:dyDescent="0.25">
      <c r="A60" t="s">
        <v>64</v>
      </c>
      <c r="B60" t="s">
        <v>53</v>
      </c>
      <c r="C60" t="s">
        <v>53</v>
      </c>
      <c r="D60" t="s">
        <v>53</v>
      </c>
      <c r="E60" t="s">
        <v>53</v>
      </c>
      <c r="F60" t="s">
        <v>53</v>
      </c>
      <c r="H60" t="s">
        <v>87</v>
      </c>
      <c r="I60">
        <f>VLOOKUP(H60,$A$1:F$161,I$2,0)</f>
        <v>6.01</v>
      </c>
      <c r="J60">
        <f>VLOOKUP(H60,$A$1:F$161,J$2,0)</f>
        <v>1.63</v>
      </c>
      <c r="K60">
        <f>VLOOKUP(H60,$A$1:F$161,K$2,0)</f>
        <v>0.77</v>
      </c>
      <c r="L60">
        <f>VLOOKUP(H60,$A$1:F$161,L$2,0)</f>
        <v>1.21</v>
      </c>
      <c r="M60">
        <f>VLOOKUP(H60,$A$1:F$161,M$2,0)</f>
        <v>1.26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 t="e">
        <f>VLOOKUP(H62,$A$1:F$161,I$2,0)</f>
        <v>#N/A</v>
      </c>
      <c r="J62" t="e">
        <f>VLOOKUP(H62,$A$1:F$161,J$2,0)</f>
        <v>#N/A</v>
      </c>
      <c r="K62" t="e">
        <f>VLOOKUP(H62,$A$1:F$161,K$2,0)</f>
        <v>#N/A</v>
      </c>
      <c r="L62" t="e">
        <f>VLOOKUP(H62,$A$1:F$161,L$2,0)</f>
        <v>#N/A</v>
      </c>
      <c r="M62" t="e">
        <f>VLOOKUP(H62,$A$1:F$161,M$2,0)</f>
        <v>#N/A</v>
      </c>
    </row>
    <row r="63" spans="1:13" x14ac:dyDescent="0.25">
      <c r="H63" t="s">
        <v>90</v>
      </c>
      <c r="I63">
        <f>VLOOKUP(H63,$A$1:F$161,I$2,0)</f>
        <v>0</v>
      </c>
      <c r="J63">
        <f>VLOOKUP(H63,$A$1:F$161,J$2,0)</f>
        <v>-0.09</v>
      </c>
      <c r="K63">
        <f>VLOOKUP(H63,$A$1:F$161,K$2,0)</f>
        <v>-0.11</v>
      </c>
      <c r="L63">
        <f>VLOOKUP(H63,$A$1:F$161,L$2,0)</f>
        <v>-0.12</v>
      </c>
      <c r="M63">
        <f>VLOOKUP(H63,$A$1:F$161,M$2,0)</f>
        <v>0.33</v>
      </c>
    </row>
    <row r="64" spans="1:13" ht="15" customHeight="1" x14ac:dyDescent="0.25">
      <c r="A64" t="s">
        <v>65</v>
      </c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0</v>
      </c>
      <c r="J65">
        <f>VLOOKUP(H65,$A$1:F$161,J$2,0)</f>
        <v>-0.09</v>
      </c>
      <c r="K65">
        <f>VLOOKUP(H65,$A$1:F$161,K$2,0)</f>
        <v>-0.11</v>
      </c>
      <c r="L65">
        <f>VLOOKUP(H65,$A$1:F$161,L$2,0)</f>
        <v>-0.12</v>
      </c>
      <c r="M65">
        <f>VLOOKUP(H65,$A$1:F$161,M$2,0)</f>
        <v>0.33</v>
      </c>
    </row>
    <row r="66" spans="8:13" x14ac:dyDescent="0.25">
      <c r="H66" t="s">
        <v>92</v>
      </c>
      <c r="I66">
        <f>VLOOKUP(H66,$A$1:F$161,I$2,0)</f>
        <v>6.01</v>
      </c>
      <c r="J66">
        <f>VLOOKUP(H66,$A$1:F$161,J$2,0)</f>
        <v>1.72</v>
      </c>
      <c r="K66">
        <f>VLOOKUP(H66,$A$1:F$161,K$2,0)</f>
        <v>0.88</v>
      </c>
      <c r="L66">
        <f>VLOOKUP(H66,$A$1:F$161,L$2,0)</f>
        <v>1.33</v>
      </c>
      <c r="M66">
        <f>VLOOKUP(H66,$A$1:F$161,M$2,0)</f>
        <v>0.93</v>
      </c>
    </row>
    <row r="67" spans="8:13" x14ac:dyDescent="0.25">
      <c r="H67" t="s">
        <v>93</v>
      </c>
      <c r="I67">
        <f>VLOOKUP(H67,$A$1:F$161,I$2,0)</f>
        <v>6.01</v>
      </c>
      <c r="J67">
        <f>VLOOKUP(H67,$A$1:F$161,J$2,0)</f>
        <v>1.72</v>
      </c>
      <c r="K67">
        <f>VLOOKUP(H67,$A$1:F$161,K$2,0)</f>
        <v>0.88</v>
      </c>
      <c r="L67">
        <f>VLOOKUP(H67,$A$1:F$161,L$2,0)</f>
        <v>1.33</v>
      </c>
      <c r="M67">
        <f>VLOOKUP(H67,$A$1:F$161,M$2,0)</f>
        <v>0.93</v>
      </c>
    </row>
    <row r="68" spans="8:13" x14ac:dyDescent="0.25">
      <c r="H68" t="s">
        <v>94</v>
      </c>
      <c r="I68">
        <f>VLOOKUP(H68,$A$1:F$161,I$2,0)</f>
        <v>6.01</v>
      </c>
      <c r="J68">
        <f>VLOOKUP(H68,$A$1:F$161,J$2,0)</f>
        <v>1.72</v>
      </c>
      <c r="K68">
        <f>VLOOKUP(H68,$A$1:F$161,K$2,0)</f>
        <v>0.88</v>
      </c>
      <c r="L68">
        <f>VLOOKUP(H68,$A$1:F$161,L$2,0)</f>
        <v>1.33</v>
      </c>
      <c r="M68">
        <f>VLOOKUP(H68,$A$1:F$161,M$2,0)</f>
        <v>0.93</v>
      </c>
    </row>
    <row r="69" spans="8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8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161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86.97</v>
      </c>
      <c r="C97">
        <v>47.87</v>
      </c>
      <c r="D97">
        <v>69.89</v>
      </c>
      <c r="E97">
        <v>65.69</v>
      </c>
      <c r="F97">
        <v>58.68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1.76</v>
      </c>
    </row>
    <row r="99" spans="1:6" x14ac:dyDescent="0.25">
      <c r="A99" t="s">
        <v>70</v>
      </c>
      <c r="B99">
        <v>86.97</v>
      </c>
      <c r="C99">
        <v>47.87</v>
      </c>
      <c r="D99">
        <v>69.89</v>
      </c>
      <c r="E99">
        <v>65.69</v>
      </c>
      <c r="F99">
        <v>56.92</v>
      </c>
    </row>
    <row r="100" spans="1:6" x14ac:dyDescent="0.25">
      <c r="A100" t="s">
        <v>72</v>
      </c>
      <c r="B100">
        <v>86.97</v>
      </c>
      <c r="C100">
        <v>47.87</v>
      </c>
      <c r="D100">
        <v>69.89</v>
      </c>
      <c r="E100">
        <v>65.69</v>
      </c>
      <c r="F100">
        <v>56.92</v>
      </c>
    </row>
    <row r="101" spans="1:6" x14ac:dyDescent="0.25">
      <c r="A101" t="s">
        <v>73</v>
      </c>
      <c r="B101">
        <v>0.2</v>
      </c>
      <c r="C101">
        <v>0.06</v>
      </c>
      <c r="D101">
        <v>0.05</v>
      </c>
      <c r="E101">
        <v>7.0000000000000007E-2</v>
      </c>
      <c r="F101">
        <v>0.02</v>
      </c>
    </row>
    <row r="102" spans="1:6" x14ac:dyDescent="0.25">
      <c r="A102" t="s">
        <v>74</v>
      </c>
      <c r="B102">
        <v>87.18</v>
      </c>
      <c r="C102">
        <v>47.93</v>
      </c>
      <c r="D102">
        <v>69.94</v>
      </c>
      <c r="E102">
        <v>65.760000000000005</v>
      </c>
      <c r="F102">
        <v>56.94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71.849999999999994</v>
      </c>
      <c r="C104">
        <v>38.799999999999997</v>
      </c>
      <c r="D104">
        <v>59.17</v>
      </c>
      <c r="E104">
        <v>57.15</v>
      </c>
      <c r="F104">
        <v>42.89</v>
      </c>
    </row>
    <row r="105" spans="1:6" x14ac:dyDescent="0.25">
      <c r="A105" t="s">
        <v>111</v>
      </c>
      <c r="B105">
        <v>3.84</v>
      </c>
      <c r="C105">
        <v>2.64</v>
      </c>
      <c r="D105">
        <v>3.78</v>
      </c>
      <c r="E105">
        <v>3.66</v>
      </c>
      <c r="F105">
        <v>3.89</v>
      </c>
    </row>
    <row r="106" spans="1:6" x14ac:dyDescent="0.25">
      <c r="A106" t="s">
        <v>78</v>
      </c>
      <c r="B106">
        <v>-0.9</v>
      </c>
      <c r="C106">
        <v>0.42</v>
      </c>
      <c r="D106">
        <v>0.69</v>
      </c>
      <c r="E106">
        <v>-1.94</v>
      </c>
      <c r="F106">
        <v>2.14</v>
      </c>
    </row>
    <row r="107" spans="1:6" x14ac:dyDescent="0.25">
      <c r="A107" t="s">
        <v>79</v>
      </c>
      <c r="B107">
        <v>2.74</v>
      </c>
      <c r="C107">
        <v>1.99</v>
      </c>
      <c r="D107">
        <v>2.5</v>
      </c>
      <c r="E107">
        <v>3.07</v>
      </c>
      <c r="F107">
        <v>2.86</v>
      </c>
    </row>
    <row r="108" spans="1:6" x14ac:dyDescent="0.25">
      <c r="A108" t="s">
        <v>80</v>
      </c>
      <c r="B108">
        <v>0.31</v>
      </c>
      <c r="C108">
        <v>0.2</v>
      </c>
      <c r="D108">
        <v>0.2</v>
      </c>
      <c r="E108">
        <v>0.15</v>
      </c>
      <c r="F108">
        <v>0.66</v>
      </c>
    </row>
    <row r="109" spans="1:6" x14ac:dyDescent="0.25">
      <c r="A109" t="s">
        <v>82</v>
      </c>
      <c r="B109">
        <v>0.22</v>
      </c>
      <c r="C109">
        <v>0.62</v>
      </c>
      <c r="D109">
        <v>0.65</v>
      </c>
      <c r="E109">
        <v>0.65</v>
      </c>
      <c r="F109">
        <v>0.8</v>
      </c>
    </row>
    <row r="110" spans="1:6" x14ac:dyDescent="0.25">
      <c r="A110" t="s">
        <v>83</v>
      </c>
      <c r="B110">
        <v>3.11</v>
      </c>
      <c r="C110">
        <v>1.63</v>
      </c>
      <c r="D110">
        <v>2.19</v>
      </c>
      <c r="E110">
        <v>1.82</v>
      </c>
      <c r="F110">
        <v>2.4300000000000002</v>
      </c>
    </row>
    <row r="111" spans="1:6" x14ac:dyDescent="0.25">
      <c r="A111" t="s">
        <v>84</v>
      </c>
      <c r="B111">
        <v>81.16</v>
      </c>
      <c r="C111">
        <v>46.3</v>
      </c>
      <c r="D111">
        <v>69.17</v>
      </c>
      <c r="E111">
        <v>64.55</v>
      </c>
      <c r="F111">
        <v>55.68</v>
      </c>
    </row>
    <row r="112" spans="1:6" x14ac:dyDescent="0.25">
      <c r="B112">
        <v>44621</v>
      </c>
      <c r="C112">
        <v>44256</v>
      </c>
      <c r="D112">
        <v>43891</v>
      </c>
      <c r="E112">
        <v>43525</v>
      </c>
      <c r="F112">
        <v>43160</v>
      </c>
    </row>
    <row r="114" spans="1:6" x14ac:dyDescent="0.25">
      <c r="B114" t="s">
        <v>5</v>
      </c>
      <c r="C114" t="s">
        <v>5</v>
      </c>
      <c r="D114" t="s">
        <v>5</v>
      </c>
      <c r="E114" t="s">
        <v>5</v>
      </c>
      <c r="F114" t="s">
        <v>5</v>
      </c>
    </row>
    <row r="116" spans="1:6" x14ac:dyDescent="0.25">
      <c r="A116" t="s">
        <v>85</v>
      </c>
      <c r="B116">
        <v>6.01</v>
      </c>
      <c r="C116">
        <v>1.63</v>
      </c>
      <c r="D116">
        <v>0.77</v>
      </c>
      <c r="E116">
        <v>1.21</v>
      </c>
      <c r="F116">
        <v>1.26</v>
      </c>
    </row>
    <row r="117" spans="1:6" x14ac:dyDescent="0.25">
      <c r="A117" t="s">
        <v>87</v>
      </c>
      <c r="B117">
        <v>6.01</v>
      </c>
      <c r="C117">
        <v>1.63</v>
      </c>
      <c r="D117">
        <v>0.77</v>
      </c>
      <c r="E117">
        <v>1.21</v>
      </c>
      <c r="F117">
        <v>1.26</v>
      </c>
    </row>
    <row r="118" spans="1:6" ht="24" customHeight="1" x14ac:dyDescent="0.25">
      <c r="A118" t="s">
        <v>88</v>
      </c>
    </row>
    <row r="119" spans="1:6" x14ac:dyDescent="0.25">
      <c r="A119" t="s">
        <v>90</v>
      </c>
      <c r="B119">
        <v>0</v>
      </c>
      <c r="C119">
        <v>-0.09</v>
      </c>
      <c r="D119">
        <v>-0.11</v>
      </c>
      <c r="E119">
        <v>-0.12</v>
      </c>
      <c r="F119">
        <v>0.33</v>
      </c>
    </row>
    <row r="120" spans="1:6" x14ac:dyDescent="0.25">
      <c r="A120" t="s">
        <v>91</v>
      </c>
      <c r="B120">
        <v>0</v>
      </c>
      <c r="C120">
        <v>-0.09</v>
      </c>
      <c r="D120">
        <v>-0.11</v>
      </c>
      <c r="E120">
        <v>-0.12</v>
      </c>
      <c r="F120">
        <v>0.33</v>
      </c>
    </row>
    <row r="121" spans="1:6" x14ac:dyDescent="0.25">
      <c r="A121" t="s">
        <v>92</v>
      </c>
      <c r="B121">
        <v>6.01</v>
      </c>
      <c r="C121">
        <v>1.72</v>
      </c>
      <c r="D121">
        <v>0.88</v>
      </c>
      <c r="E121">
        <v>1.33</v>
      </c>
      <c r="F121">
        <v>0.93</v>
      </c>
    </row>
    <row r="122" spans="1:6" x14ac:dyDescent="0.25">
      <c r="A122" t="s">
        <v>93</v>
      </c>
      <c r="B122">
        <v>6.01</v>
      </c>
      <c r="C122">
        <v>1.72</v>
      </c>
      <c r="D122">
        <v>0.88</v>
      </c>
      <c r="E122">
        <v>1.33</v>
      </c>
      <c r="F122">
        <v>0.93</v>
      </c>
    </row>
    <row r="123" spans="1:6" x14ac:dyDescent="0.25">
      <c r="A123" t="s">
        <v>94</v>
      </c>
      <c r="B123">
        <v>6.01</v>
      </c>
      <c r="C123">
        <v>1.72</v>
      </c>
      <c r="D123">
        <v>0.88</v>
      </c>
      <c r="E123">
        <v>1.33</v>
      </c>
      <c r="F123">
        <v>0.93</v>
      </c>
    </row>
    <row r="124" spans="1:6" x14ac:dyDescent="0.25">
      <c r="B124">
        <v>44621</v>
      </c>
      <c r="C124">
        <v>44256</v>
      </c>
      <c r="D124">
        <v>43891</v>
      </c>
      <c r="E124">
        <v>43525</v>
      </c>
      <c r="F124">
        <v>43160</v>
      </c>
    </row>
    <row r="126" spans="1:6" x14ac:dyDescent="0.25">
      <c r="B126" t="s">
        <v>5</v>
      </c>
      <c r="C126" t="s">
        <v>5</v>
      </c>
      <c r="D126" t="s">
        <v>5</v>
      </c>
      <c r="E126" t="s">
        <v>5</v>
      </c>
      <c r="F126" t="s">
        <v>5</v>
      </c>
    </row>
    <row r="128" spans="1:6" ht="24" customHeight="1" x14ac:dyDescent="0.25">
      <c r="A128" t="s">
        <v>45</v>
      </c>
    </row>
    <row r="129" spans="1:6" ht="24" customHeight="1" x14ac:dyDescent="0.25">
      <c r="A129" t="s">
        <v>95</v>
      </c>
    </row>
    <row r="130" spans="1:6" x14ac:dyDescent="0.25">
      <c r="A130" t="s">
        <v>96</v>
      </c>
      <c r="B130">
        <v>4.68</v>
      </c>
      <c r="C130">
        <v>1.34</v>
      </c>
      <c r="D130">
        <v>0.69</v>
      </c>
      <c r="E130">
        <v>1.04</v>
      </c>
      <c r="F130">
        <v>0.75</v>
      </c>
    </row>
    <row r="131" spans="1:6" x14ac:dyDescent="0.25">
      <c r="A131" t="s">
        <v>97</v>
      </c>
      <c r="B131">
        <v>4.68</v>
      </c>
      <c r="C131">
        <v>1.34</v>
      </c>
      <c r="D131">
        <v>0.69</v>
      </c>
      <c r="E131">
        <v>1.04</v>
      </c>
      <c r="F131">
        <v>0.75</v>
      </c>
    </row>
    <row r="132" spans="1:6" ht="36" customHeight="1" x14ac:dyDescent="0.25">
      <c r="A132" t="s">
        <v>98</v>
      </c>
    </row>
    <row r="133" spans="1:6" ht="24" customHeight="1" x14ac:dyDescent="0.25">
      <c r="A133" t="s">
        <v>99</v>
      </c>
    </row>
    <row r="134" spans="1:6" ht="36" customHeight="1" x14ac:dyDescent="0.25">
      <c r="A134" t="s">
        <v>100</v>
      </c>
    </row>
    <row r="138" spans="1:6" ht="15" customHeight="1" x14ac:dyDescent="0.25">
      <c r="A138" t="s">
        <v>65</v>
      </c>
    </row>
  </sheetData>
  <hyperlinks>
    <hyperlink ref="B1" r:id="rId1" display="javascript:void(0);" xr:uid="{AC92D1AB-B394-442E-A8F4-8BD13F412274}"/>
    <hyperlink ref="B90" r:id="rId2" display="javascript:void(0);" xr:uid="{488A2E17-8264-4B42-9DD7-E2AC250E80ED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7C98B-D64B-49BB-831B-E6014CEE3DD6}">
  <sheetPr codeName="Sheet29"/>
  <dimension ref="A1:M135"/>
  <sheetViews>
    <sheetView workbookViewId="0">
      <selection activeCell="H9" sqref="H9"/>
    </sheetView>
  </sheetViews>
  <sheetFormatPr defaultRowHeight="15" x14ac:dyDescent="0.25"/>
  <cols>
    <col min="1" max="1" width="55.28515625" bestFit="1" customWidth="1"/>
    <col min="8" max="8" width="55.28515625" bestFit="1" customWidth="1"/>
  </cols>
  <sheetData>
    <row r="1" spans="1:13" x14ac:dyDescent="0.25">
      <c r="A1" t="s">
        <v>162</v>
      </c>
      <c r="B1" t="s">
        <v>1</v>
      </c>
      <c r="H1" t="str">
        <f>A1</f>
        <v>Avanti Feeds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13.62</v>
      </c>
      <c r="J4">
        <f>VLOOKUP(H4,$A$1:F$161,J$2,0)</f>
        <v>13.62</v>
      </c>
      <c r="K4">
        <f>VLOOKUP(H4,$A$1:F$161,K$2,0)</f>
        <v>13.62</v>
      </c>
      <c r="L4">
        <f>VLOOKUP(H4,$A$1:F$161,L$2,0)</f>
        <v>13.62</v>
      </c>
      <c r="M4">
        <f>VLOOKUP(H4,$A$1:F$161,M$2,0)</f>
        <v>13.62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13.62</v>
      </c>
      <c r="J5">
        <f>VLOOKUP(H5,$A$1:F$161,J$2,0)</f>
        <v>13.62</v>
      </c>
      <c r="K5">
        <f>VLOOKUP(H5,$A$1:F$161,K$2,0)</f>
        <v>13.62</v>
      </c>
      <c r="L5">
        <f>VLOOKUP(H5,$A$1:F$161,L$2,0)</f>
        <v>13.62</v>
      </c>
      <c r="M5">
        <f>VLOOKUP(H5,$A$1:F$161,M$2,0)</f>
        <v>13.62</v>
      </c>
    </row>
    <row r="6" spans="1:13" x14ac:dyDescent="0.25">
      <c r="H6" t="s">
        <v>10</v>
      </c>
      <c r="I6">
        <f>VLOOKUP(H6,$A$1:F$161,I$2,0)</f>
        <v>1881.78</v>
      </c>
      <c r="J6">
        <f>VLOOKUP(H6,$A$1:F$161,J$2,0)</f>
        <v>1747.59</v>
      </c>
      <c r="K6">
        <f>VLOOKUP(H6,$A$1:F$161,K$2,0)</f>
        <v>1747.59</v>
      </c>
      <c r="L6">
        <f>VLOOKUP(H6,$A$1:F$161,L$2,0)</f>
        <v>1390.06</v>
      </c>
      <c r="M6">
        <f>VLOOKUP(H6,$A$1:F$161,M$2,0)</f>
        <v>1192.3399999999999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1881.78</v>
      </c>
      <c r="J7">
        <f>VLOOKUP(H7,$A$1:F$161,J$2,0)</f>
        <v>1747.59</v>
      </c>
      <c r="K7">
        <f>VLOOKUP(H7,$A$1:F$161,K$2,0)</f>
        <v>1747.59</v>
      </c>
      <c r="L7">
        <f>VLOOKUP(H7,$A$1:F$161,L$2,0)</f>
        <v>1390.06</v>
      </c>
      <c r="M7">
        <f>VLOOKUP(H7,$A$1:F$161,M$2,0)</f>
        <v>1192.3399999999999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1895.4</v>
      </c>
      <c r="J8">
        <f>VLOOKUP(H8,$A$1:F$161,J$2,0)</f>
        <v>1761.22</v>
      </c>
      <c r="K8">
        <f>VLOOKUP(H8,$A$1:F$161,K$2,0)</f>
        <v>1761.22</v>
      </c>
      <c r="L8">
        <f>VLOOKUP(H8,$A$1:F$161,L$2,0)</f>
        <v>1403.69</v>
      </c>
      <c r="M8">
        <f>VLOOKUP(H8,$A$1:F$161,M$2,0)</f>
        <v>1205.97</v>
      </c>
    </row>
    <row r="9" spans="1:13" x14ac:dyDescent="0.25">
      <c r="A9" t="s">
        <v>8</v>
      </c>
      <c r="B9">
        <v>13.62</v>
      </c>
      <c r="C9">
        <v>13.62</v>
      </c>
      <c r="D9">
        <v>13.62</v>
      </c>
      <c r="E9">
        <v>13.62</v>
      </c>
      <c r="F9">
        <v>13.62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0.16</v>
      </c>
      <c r="M9">
        <f>VLOOKUP(H9,$A$1:F$161,M$2,0)</f>
        <v>1.06</v>
      </c>
    </row>
    <row r="10" spans="1:13" x14ac:dyDescent="0.25">
      <c r="A10" t="s">
        <v>9</v>
      </c>
      <c r="B10">
        <v>13.62</v>
      </c>
      <c r="C10">
        <v>13.62</v>
      </c>
      <c r="D10">
        <v>13.62</v>
      </c>
      <c r="E10">
        <v>13.62</v>
      </c>
      <c r="F10">
        <v>13.62</v>
      </c>
      <c r="H10" t="s">
        <v>16</v>
      </c>
      <c r="I10">
        <f>VLOOKUP(H10,$A$1:F$161,I$2,0)</f>
        <v>16.96</v>
      </c>
      <c r="J10">
        <f>VLOOKUP(H10,$A$1:F$161,J$2,0)</f>
        <v>19.32</v>
      </c>
      <c r="K10">
        <f>VLOOKUP(H10,$A$1:F$161,K$2,0)</f>
        <v>19.32</v>
      </c>
      <c r="L10">
        <f>VLOOKUP(H10,$A$1:F$161,L$2,0)</f>
        <v>15.52</v>
      </c>
      <c r="M10">
        <f>VLOOKUP(H10,$A$1:F$161,M$2,0)</f>
        <v>17.100000000000001</v>
      </c>
    </row>
    <row r="11" spans="1:13" x14ac:dyDescent="0.25">
      <c r="A11" t="s">
        <v>10</v>
      </c>
      <c r="B11">
        <v>1881.78</v>
      </c>
      <c r="C11">
        <v>1747.59</v>
      </c>
      <c r="D11">
        <v>1747.59</v>
      </c>
      <c r="E11">
        <v>1390.06</v>
      </c>
      <c r="F11">
        <v>1192.3399999999999</v>
      </c>
      <c r="H11" t="s">
        <v>17</v>
      </c>
      <c r="I11">
        <f>VLOOKUP(H11,$A$1:F$161,I$2,0)</f>
        <v>0.84</v>
      </c>
      <c r="J11">
        <f>VLOOKUP(H11,$A$1:F$161,J$2,0)</f>
        <v>0</v>
      </c>
      <c r="K11">
        <f>VLOOKUP(H11,$A$1:F$161,K$2,0)</f>
        <v>0</v>
      </c>
      <c r="L11">
        <f>VLOOKUP(H11,$A$1:F$161,L$2,0)</f>
        <v>1.53</v>
      </c>
      <c r="M11">
        <f>VLOOKUP(H11,$A$1:F$161,M$2,0)</f>
        <v>1.68</v>
      </c>
    </row>
    <row r="12" spans="1:13" x14ac:dyDescent="0.25">
      <c r="A12" t="s">
        <v>11</v>
      </c>
      <c r="B12">
        <v>1881.78</v>
      </c>
      <c r="C12">
        <v>1747.59</v>
      </c>
      <c r="D12">
        <v>1747.59</v>
      </c>
      <c r="E12">
        <v>1390.06</v>
      </c>
      <c r="F12">
        <v>1192.3399999999999</v>
      </c>
      <c r="H12" t="s">
        <v>18</v>
      </c>
      <c r="I12">
        <f>VLOOKUP(H12,$A$1:F$161,I$2,0)</f>
        <v>17.8</v>
      </c>
      <c r="J12">
        <f>VLOOKUP(H12,$A$1:F$161,J$2,0)</f>
        <v>19.32</v>
      </c>
      <c r="K12">
        <f>VLOOKUP(H12,$A$1:F$161,K$2,0)</f>
        <v>19.32</v>
      </c>
      <c r="L12">
        <f>VLOOKUP(H12,$A$1:F$161,L$2,0)</f>
        <v>21.75</v>
      </c>
      <c r="M12">
        <f>VLOOKUP(H12,$A$1:F$161,M$2,0)</f>
        <v>37.57</v>
      </c>
    </row>
    <row r="13" spans="1:13" x14ac:dyDescent="0.25">
      <c r="A13" t="s">
        <v>12</v>
      </c>
      <c r="B13">
        <v>1895.4</v>
      </c>
      <c r="C13">
        <v>1761.22</v>
      </c>
      <c r="D13">
        <v>1761.22</v>
      </c>
      <c r="E13">
        <v>1403.69</v>
      </c>
      <c r="F13">
        <v>1205.97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116</v>
      </c>
      <c r="B14">
        <v>251.99</v>
      </c>
      <c r="C14">
        <v>228.34</v>
      </c>
      <c r="D14">
        <v>228.34</v>
      </c>
      <c r="E14">
        <v>191.08</v>
      </c>
      <c r="F14">
        <v>151.33000000000001</v>
      </c>
      <c r="H14" t="s">
        <v>21</v>
      </c>
      <c r="I14">
        <f>VLOOKUP(H14,$A$1:F$161,I$2,0)</f>
        <v>304.75</v>
      </c>
      <c r="J14">
        <f>VLOOKUP(H14,$A$1:F$161,J$2,0)</f>
        <v>239.3</v>
      </c>
      <c r="K14">
        <f>VLOOKUP(H14,$A$1:F$161,K$2,0)</f>
        <v>239.3</v>
      </c>
      <c r="L14">
        <f>VLOOKUP(H14,$A$1:F$161,L$2,0)</f>
        <v>217.54</v>
      </c>
      <c r="M14">
        <f>VLOOKUP(H14,$A$1:F$161,M$2,0)</f>
        <v>179.91</v>
      </c>
    </row>
    <row r="15" spans="1:13" ht="24" customHeight="1" x14ac:dyDescent="0.25">
      <c r="A15" t="s">
        <v>13</v>
      </c>
      <c r="H15" t="s">
        <v>22</v>
      </c>
      <c r="I15">
        <f>VLOOKUP(H15,$A$1:F$161,I$2,0)</f>
        <v>45.6</v>
      </c>
      <c r="J15">
        <f>VLOOKUP(H15,$A$1:F$161,J$2,0)</f>
        <v>31.77</v>
      </c>
      <c r="K15">
        <f>VLOOKUP(H15,$A$1:F$161,K$2,0)</f>
        <v>31.77</v>
      </c>
      <c r="L15">
        <f>VLOOKUP(H15,$A$1:F$161,L$2,0)</f>
        <v>43.47</v>
      </c>
      <c r="M15">
        <f>VLOOKUP(H15,$A$1:F$161,M$2,0)</f>
        <v>32.19</v>
      </c>
    </row>
    <row r="16" spans="1:13" x14ac:dyDescent="0.25">
      <c r="A16" t="s">
        <v>14</v>
      </c>
      <c r="B16">
        <v>0</v>
      </c>
      <c r="C16">
        <v>0</v>
      </c>
      <c r="D16">
        <v>0</v>
      </c>
      <c r="E16">
        <v>0.16</v>
      </c>
      <c r="F16">
        <v>1.06</v>
      </c>
      <c r="H16" t="s">
        <v>23</v>
      </c>
      <c r="I16">
        <f>VLOOKUP(H16,$A$1:F$161,I$2,0)</f>
        <v>0.67</v>
      </c>
      <c r="J16">
        <f>VLOOKUP(H16,$A$1:F$161,J$2,0)</f>
        <v>2.2799999999999998</v>
      </c>
      <c r="K16">
        <f>VLOOKUP(H16,$A$1:F$161,K$2,0)</f>
        <v>2.2799999999999998</v>
      </c>
      <c r="L16">
        <f>VLOOKUP(H16,$A$1:F$161,L$2,0)</f>
        <v>2.41</v>
      </c>
      <c r="M16">
        <f>VLOOKUP(H16,$A$1:F$161,M$2,0)</f>
        <v>1.18</v>
      </c>
    </row>
    <row r="17" spans="1:13" x14ac:dyDescent="0.25">
      <c r="A17" t="s">
        <v>15</v>
      </c>
      <c r="B17">
        <v>0</v>
      </c>
      <c r="C17">
        <v>0</v>
      </c>
      <c r="D17">
        <v>0</v>
      </c>
      <c r="E17">
        <v>4.54</v>
      </c>
      <c r="F17">
        <v>17.739999999999998</v>
      </c>
      <c r="H17" t="s">
        <v>24</v>
      </c>
      <c r="I17">
        <f>VLOOKUP(H17,$A$1:F$161,I$2,0)</f>
        <v>351.02</v>
      </c>
      <c r="J17">
        <f>VLOOKUP(H17,$A$1:F$161,J$2,0)</f>
        <v>273.35000000000002</v>
      </c>
      <c r="K17">
        <f>VLOOKUP(H17,$A$1:F$161,K$2,0)</f>
        <v>273.35000000000002</v>
      </c>
      <c r="L17">
        <f>VLOOKUP(H17,$A$1:F$161,L$2,0)</f>
        <v>263.42</v>
      </c>
      <c r="M17">
        <f>VLOOKUP(H17,$A$1:F$161,M$2,0)</f>
        <v>219.95</v>
      </c>
    </row>
    <row r="18" spans="1:13" x14ac:dyDescent="0.25">
      <c r="A18" t="s">
        <v>16</v>
      </c>
      <c r="B18">
        <v>16.96</v>
      </c>
      <c r="C18">
        <v>19.32</v>
      </c>
      <c r="D18">
        <v>19.32</v>
      </c>
      <c r="E18">
        <v>15.52</v>
      </c>
      <c r="F18">
        <v>17.100000000000001</v>
      </c>
      <c r="H18" t="s">
        <v>25</v>
      </c>
      <c r="I18">
        <f>VLOOKUP(H18,$A$1:F$161,I$2,0)</f>
        <v>2516.21</v>
      </c>
      <c r="J18">
        <f>VLOOKUP(H18,$A$1:F$161,J$2,0)</f>
        <v>2282.23</v>
      </c>
      <c r="K18">
        <f>VLOOKUP(H18,$A$1:F$161,K$2,0)</f>
        <v>2282.23</v>
      </c>
      <c r="L18">
        <f>VLOOKUP(H18,$A$1:F$161,L$2,0)</f>
        <v>1879.95</v>
      </c>
      <c r="M18">
        <f>VLOOKUP(H18,$A$1:F$161,M$2,0)</f>
        <v>1614.82</v>
      </c>
    </row>
    <row r="19" spans="1:13" x14ac:dyDescent="0.25">
      <c r="A19" t="s">
        <v>17</v>
      </c>
      <c r="B19">
        <v>0.84</v>
      </c>
      <c r="C19">
        <v>0</v>
      </c>
      <c r="D19">
        <v>0</v>
      </c>
      <c r="E19">
        <v>1.53</v>
      </c>
      <c r="F19">
        <v>1.68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18</v>
      </c>
      <c r="B20">
        <v>17.8</v>
      </c>
      <c r="C20">
        <v>19.32</v>
      </c>
      <c r="D20">
        <v>19.32</v>
      </c>
      <c r="E20">
        <v>21.75</v>
      </c>
      <c r="F20">
        <v>37.57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ht="15" customHeight="1" x14ac:dyDescent="0.25">
      <c r="A21" t="s">
        <v>19</v>
      </c>
      <c r="H21" t="s">
        <v>28</v>
      </c>
      <c r="I21">
        <f>VLOOKUP(H21,$A$1:F$161,I$2,0)</f>
        <v>269.54000000000002</v>
      </c>
      <c r="J21">
        <f>VLOOKUP(H21,$A$1:F$161,J$2,0)</f>
        <v>288.31</v>
      </c>
      <c r="K21">
        <f>VLOOKUP(H21,$A$1:F$161,K$2,0)</f>
        <v>288.31</v>
      </c>
      <c r="L21">
        <f>VLOOKUP(H21,$A$1:F$161,L$2,0)</f>
        <v>270.64</v>
      </c>
      <c r="M21">
        <f>VLOOKUP(H21,$A$1:F$161,M$2,0)</f>
        <v>292.27</v>
      </c>
    </row>
    <row r="22" spans="1:13" x14ac:dyDescent="0.25">
      <c r="A22" t="s">
        <v>20</v>
      </c>
      <c r="B22">
        <v>0</v>
      </c>
      <c r="C22">
        <v>0</v>
      </c>
      <c r="D22">
        <v>0</v>
      </c>
      <c r="E22">
        <v>0</v>
      </c>
      <c r="F22">
        <v>6.67</v>
      </c>
      <c r="H22" t="s">
        <v>29</v>
      </c>
      <c r="I22">
        <f>VLOOKUP(H22,$A$1:F$161,I$2,0)</f>
        <v>39.97</v>
      </c>
      <c r="J22">
        <f>VLOOKUP(H22,$A$1:F$161,J$2,0)</f>
        <v>6.04</v>
      </c>
      <c r="K22">
        <f>VLOOKUP(H22,$A$1:F$161,K$2,0)</f>
        <v>6.04</v>
      </c>
      <c r="L22">
        <f>VLOOKUP(H22,$A$1:F$161,L$2,0)</f>
        <v>25.89</v>
      </c>
      <c r="M22">
        <f>VLOOKUP(H22,$A$1:F$161,M$2,0)</f>
        <v>9.01</v>
      </c>
    </row>
    <row r="23" spans="1:13" x14ac:dyDescent="0.25">
      <c r="A23" t="s">
        <v>21</v>
      </c>
      <c r="B23">
        <v>304.75</v>
      </c>
      <c r="C23">
        <v>239.3</v>
      </c>
      <c r="D23">
        <v>239.3</v>
      </c>
      <c r="E23">
        <v>217.54</v>
      </c>
      <c r="F23">
        <v>179.91</v>
      </c>
      <c r="H23" t="s">
        <v>30</v>
      </c>
      <c r="I23">
        <f>VLOOKUP(H23,$A$1:F$161,I$2,0)</f>
        <v>312.52999999999997</v>
      </c>
      <c r="J23">
        <f>VLOOKUP(H23,$A$1:F$161,J$2,0)</f>
        <v>298.47000000000003</v>
      </c>
      <c r="K23">
        <f>VLOOKUP(H23,$A$1:F$161,K$2,0)</f>
        <v>298.47000000000003</v>
      </c>
      <c r="L23">
        <f>VLOOKUP(H23,$A$1:F$161,L$2,0)</f>
        <v>296.76</v>
      </c>
      <c r="M23">
        <f>VLOOKUP(H23,$A$1:F$161,M$2,0)</f>
        <v>301.54000000000002</v>
      </c>
    </row>
    <row r="24" spans="1:13" x14ac:dyDescent="0.25">
      <c r="A24" t="s">
        <v>22</v>
      </c>
      <c r="B24">
        <v>45.6</v>
      </c>
      <c r="C24">
        <v>31.77</v>
      </c>
      <c r="D24">
        <v>31.77</v>
      </c>
      <c r="E24">
        <v>43.47</v>
      </c>
      <c r="F24">
        <v>32.19</v>
      </c>
      <c r="H24" t="s">
        <v>32</v>
      </c>
      <c r="I24">
        <f>VLOOKUP(H24,$A$1:F$161,I$2,0)</f>
        <v>1.65</v>
      </c>
      <c r="J24">
        <f>VLOOKUP(H24,$A$1:F$161,J$2,0)</f>
        <v>2.61</v>
      </c>
      <c r="K24">
        <f>VLOOKUP(H24,$A$1:F$161,K$2,0)</f>
        <v>2.61</v>
      </c>
      <c r="L24">
        <f>VLOOKUP(H24,$A$1:F$161,L$2,0)</f>
        <v>0</v>
      </c>
      <c r="M24">
        <f>VLOOKUP(H24,$A$1:F$161,M$2,0)</f>
        <v>0</v>
      </c>
    </row>
    <row r="25" spans="1:13" x14ac:dyDescent="0.25">
      <c r="A25" t="s">
        <v>23</v>
      </c>
      <c r="B25">
        <v>0.67</v>
      </c>
      <c r="C25">
        <v>2.2799999999999998</v>
      </c>
      <c r="D25">
        <v>2.2799999999999998</v>
      </c>
      <c r="E25">
        <v>2.41</v>
      </c>
      <c r="F25">
        <v>1.18</v>
      </c>
      <c r="H25" t="s">
        <v>33</v>
      </c>
      <c r="I25">
        <f>VLOOKUP(H25,$A$1:F$161,I$2,0)</f>
        <v>0.68</v>
      </c>
      <c r="J25">
        <f>VLOOKUP(H25,$A$1:F$161,J$2,0)</f>
        <v>0.87</v>
      </c>
      <c r="K25">
        <f>VLOOKUP(H25,$A$1:F$161,K$2,0)</f>
        <v>0.87</v>
      </c>
      <c r="L25">
        <f>VLOOKUP(H25,$A$1:F$161,L$2,0)</f>
        <v>0.88</v>
      </c>
      <c r="M25">
        <f>VLOOKUP(H25,$A$1:F$161,M$2,0)</f>
        <v>0.96</v>
      </c>
    </row>
    <row r="26" spans="1:13" x14ac:dyDescent="0.25">
      <c r="A26" t="s">
        <v>24</v>
      </c>
      <c r="B26">
        <v>351.02</v>
      </c>
      <c r="C26">
        <v>273.35000000000002</v>
      </c>
      <c r="D26">
        <v>273.35000000000002</v>
      </c>
      <c r="E26">
        <v>263.42</v>
      </c>
      <c r="F26">
        <v>219.95</v>
      </c>
      <c r="H26" t="s">
        <v>34</v>
      </c>
      <c r="I26">
        <f>VLOOKUP(H26,$A$1:F$161,I$2,0)</f>
        <v>55.4</v>
      </c>
      <c r="J26">
        <f>VLOOKUP(H26,$A$1:F$161,J$2,0)</f>
        <v>34.21</v>
      </c>
      <c r="K26">
        <f>VLOOKUP(H26,$A$1:F$161,K$2,0)</f>
        <v>34.21</v>
      </c>
      <c r="L26">
        <f>VLOOKUP(H26,$A$1:F$161,L$2,0)</f>
        <v>30.9</v>
      </c>
      <c r="M26">
        <f>VLOOKUP(H26,$A$1:F$161,M$2,0)</f>
        <v>33.799999999999997</v>
      </c>
    </row>
    <row r="27" spans="1:13" x14ac:dyDescent="0.25">
      <c r="A27" t="s">
        <v>25</v>
      </c>
      <c r="B27">
        <v>2516.21</v>
      </c>
      <c r="C27">
        <v>2282.23</v>
      </c>
      <c r="D27">
        <v>2282.23</v>
      </c>
      <c r="E27">
        <v>1879.95</v>
      </c>
      <c r="F27">
        <v>1614.82</v>
      </c>
      <c r="H27" t="s">
        <v>35</v>
      </c>
      <c r="I27">
        <f>VLOOKUP(H27,$A$1:F$161,I$2,0)</f>
        <v>487.28</v>
      </c>
      <c r="J27">
        <f>VLOOKUP(H27,$A$1:F$161,J$2,0)</f>
        <v>454.69</v>
      </c>
      <c r="K27">
        <f>VLOOKUP(H27,$A$1:F$161,K$2,0)</f>
        <v>454.69</v>
      </c>
      <c r="L27">
        <f>VLOOKUP(H27,$A$1:F$161,L$2,0)</f>
        <v>364.68</v>
      </c>
      <c r="M27">
        <f>VLOOKUP(H27,$A$1:F$161,M$2,0)</f>
        <v>435.3</v>
      </c>
    </row>
    <row r="28" spans="1:13" x14ac:dyDescent="0.25">
      <c r="A28" t="s">
        <v>26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ht="24" customHeight="1" x14ac:dyDescent="0.25">
      <c r="A29" t="s">
        <v>27</v>
      </c>
      <c r="H29" t="s">
        <v>38</v>
      </c>
      <c r="I29">
        <f>VLOOKUP(H29,$A$1:F$161,I$2,0)</f>
        <v>989.31</v>
      </c>
      <c r="J29">
        <f>VLOOKUP(H29,$A$1:F$161,J$2,0)</f>
        <v>555.13</v>
      </c>
      <c r="K29">
        <f>VLOOKUP(H29,$A$1:F$161,K$2,0)</f>
        <v>555.13</v>
      </c>
      <c r="L29">
        <f>VLOOKUP(H29,$A$1:F$161,L$2,0)</f>
        <v>543.51</v>
      </c>
      <c r="M29">
        <f>VLOOKUP(H29,$A$1:F$161,M$2,0)</f>
        <v>379.06</v>
      </c>
    </row>
    <row r="30" spans="1:13" x14ac:dyDescent="0.25">
      <c r="A30" t="s">
        <v>28</v>
      </c>
      <c r="B30">
        <v>269.54000000000002</v>
      </c>
      <c r="C30">
        <v>288.31</v>
      </c>
      <c r="D30">
        <v>288.31</v>
      </c>
      <c r="E30">
        <v>270.64</v>
      </c>
      <c r="F30">
        <v>292.27</v>
      </c>
      <c r="H30" t="s">
        <v>39</v>
      </c>
      <c r="I30">
        <f>VLOOKUP(H30,$A$1:F$161,I$2,0)</f>
        <v>113.69</v>
      </c>
      <c r="J30">
        <f>VLOOKUP(H30,$A$1:F$161,J$2,0)</f>
        <v>66.61</v>
      </c>
      <c r="K30">
        <f>VLOOKUP(H30,$A$1:F$161,K$2,0)</f>
        <v>66.61</v>
      </c>
      <c r="L30">
        <f>VLOOKUP(H30,$A$1:F$161,L$2,0)</f>
        <v>88.77</v>
      </c>
      <c r="M30">
        <f>VLOOKUP(H30,$A$1:F$161,M$2,0)</f>
        <v>48.64</v>
      </c>
    </row>
    <row r="31" spans="1:13" x14ac:dyDescent="0.25">
      <c r="A31" t="s">
        <v>106</v>
      </c>
      <c r="B31">
        <v>3.02</v>
      </c>
      <c r="C31">
        <v>4.12</v>
      </c>
      <c r="D31">
        <v>4.12</v>
      </c>
      <c r="E31">
        <v>0.24</v>
      </c>
      <c r="F31">
        <v>0.26</v>
      </c>
      <c r="H31" t="s">
        <v>40</v>
      </c>
      <c r="I31">
        <f>VLOOKUP(H31,$A$1:F$161,I$2,0)</f>
        <v>74.739999999999995</v>
      </c>
      <c r="J31">
        <f>VLOOKUP(H31,$A$1:F$161,J$2,0)</f>
        <v>60.82</v>
      </c>
      <c r="K31">
        <f>VLOOKUP(H31,$A$1:F$161,K$2,0)</f>
        <v>60.82</v>
      </c>
      <c r="L31">
        <f>VLOOKUP(H31,$A$1:F$161,L$2,0)</f>
        <v>198.57</v>
      </c>
      <c r="M31">
        <f>VLOOKUP(H31,$A$1:F$161,M$2,0)</f>
        <v>186.91</v>
      </c>
    </row>
    <row r="32" spans="1:13" x14ac:dyDescent="0.25">
      <c r="A32" t="s">
        <v>29</v>
      </c>
      <c r="B32">
        <v>39.97</v>
      </c>
      <c r="C32">
        <v>6.04</v>
      </c>
      <c r="D32">
        <v>6.04</v>
      </c>
      <c r="E32">
        <v>25.89</v>
      </c>
      <c r="F32">
        <v>9.01</v>
      </c>
      <c r="H32" t="s">
        <v>41</v>
      </c>
      <c r="I32">
        <f>VLOOKUP(H32,$A$1:F$161,I$2,0)</f>
        <v>0.96</v>
      </c>
      <c r="J32">
        <f>VLOOKUP(H32,$A$1:F$161,J$2,0)</f>
        <v>1.19</v>
      </c>
      <c r="K32">
        <f>VLOOKUP(H32,$A$1:F$161,K$2,0)</f>
        <v>1.19</v>
      </c>
      <c r="L32">
        <f>VLOOKUP(H32,$A$1:F$161,L$2,0)</f>
        <v>1.3</v>
      </c>
      <c r="M32">
        <f>VLOOKUP(H32,$A$1:F$161,M$2,0)</f>
        <v>0.98</v>
      </c>
    </row>
    <row r="33" spans="1:13" x14ac:dyDescent="0.25">
      <c r="A33" t="s">
        <v>30</v>
      </c>
      <c r="B33">
        <v>312.52999999999997</v>
      </c>
      <c r="C33">
        <v>298.47000000000003</v>
      </c>
      <c r="D33">
        <v>298.47000000000003</v>
      </c>
      <c r="E33">
        <v>296.76</v>
      </c>
      <c r="F33">
        <v>301.54000000000002</v>
      </c>
      <c r="H33" t="s">
        <v>42</v>
      </c>
      <c r="I33">
        <f>VLOOKUP(H33,$A$1:F$161,I$2,0)</f>
        <v>36.049999999999997</v>
      </c>
      <c r="J33">
        <f>VLOOKUP(H33,$A$1:F$161,J$2,0)</f>
        <v>27.44</v>
      </c>
      <c r="K33">
        <f>VLOOKUP(H33,$A$1:F$161,K$2,0)</f>
        <v>27.44</v>
      </c>
      <c r="L33">
        <f>VLOOKUP(H33,$A$1:F$161,L$2,0)</f>
        <v>38.79</v>
      </c>
      <c r="M33">
        <f>VLOOKUP(H33,$A$1:F$161,M$2,0)</f>
        <v>32.76</v>
      </c>
    </row>
    <row r="34" spans="1:13" x14ac:dyDescent="0.25">
      <c r="A34" t="s">
        <v>31</v>
      </c>
      <c r="B34">
        <v>117.02</v>
      </c>
      <c r="C34">
        <v>118.54</v>
      </c>
      <c r="D34">
        <v>118.54</v>
      </c>
      <c r="E34">
        <v>36.14</v>
      </c>
      <c r="F34">
        <v>99</v>
      </c>
      <c r="H34" t="s">
        <v>43</v>
      </c>
      <c r="I34">
        <f>VLOOKUP(H34,$A$1:F$161,I$2,0)</f>
        <v>2028.92</v>
      </c>
      <c r="J34">
        <f>VLOOKUP(H34,$A$1:F$161,J$2,0)</f>
        <v>1827.53</v>
      </c>
      <c r="K34">
        <f>VLOOKUP(H34,$A$1:F$161,K$2,0)</f>
        <v>1827.53</v>
      </c>
      <c r="L34">
        <f>VLOOKUP(H34,$A$1:F$161,L$2,0)</f>
        <v>1515.27</v>
      </c>
      <c r="M34">
        <f>VLOOKUP(H34,$A$1:F$161,M$2,0)</f>
        <v>1179.52</v>
      </c>
    </row>
    <row r="35" spans="1:13" x14ac:dyDescent="0.25">
      <c r="A35" t="s">
        <v>32</v>
      </c>
      <c r="B35">
        <v>1.65</v>
      </c>
      <c r="C35">
        <v>2.61</v>
      </c>
      <c r="D35">
        <v>2.61</v>
      </c>
      <c r="E35">
        <v>0</v>
      </c>
      <c r="F35">
        <v>0</v>
      </c>
      <c r="H35" t="s">
        <v>44</v>
      </c>
      <c r="I35">
        <f>VLOOKUP(H35,$A$1:F$161,I$2,0)</f>
        <v>2516.21</v>
      </c>
      <c r="J35">
        <f>VLOOKUP(H35,$A$1:F$161,J$2,0)</f>
        <v>2282.23</v>
      </c>
      <c r="K35">
        <f>VLOOKUP(H35,$A$1:F$161,K$2,0)</f>
        <v>2282.23</v>
      </c>
      <c r="L35">
        <f>VLOOKUP(H35,$A$1:F$161,L$2,0)</f>
        <v>1879.95</v>
      </c>
      <c r="M35">
        <f>VLOOKUP(H35,$A$1:F$161,M$2,0)</f>
        <v>1614.82</v>
      </c>
    </row>
    <row r="36" spans="1:13" x14ac:dyDescent="0.25">
      <c r="A36" t="s">
        <v>33</v>
      </c>
      <c r="B36">
        <v>0.68</v>
      </c>
      <c r="C36">
        <v>0.87</v>
      </c>
      <c r="D36">
        <v>0.87</v>
      </c>
      <c r="E36">
        <v>0.88</v>
      </c>
      <c r="F36">
        <v>0.96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34</v>
      </c>
      <c r="B37">
        <v>55.4</v>
      </c>
      <c r="C37">
        <v>34.21</v>
      </c>
      <c r="D37">
        <v>34.21</v>
      </c>
      <c r="E37">
        <v>30.9</v>
      </c>
      <c r="F37">
        <v>33.799999999999997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35</v>
      </c>
      <c r="B38">
        <v>487.28</v>
      </c>
      <c r="C38">
        <v>454.69</v>
      </c>
      <c r="D38">
        <v>454.69</v>
      </c>
      <c r="E38">
        <v>364.68</v>
      </c>
      <c r="F38">
        <v>435.3</v>
      </c>
      <c r="H38" t="s">
        <v>47</v>
      </c>
      <c r="I38">
        <f>VLOOKUP(H38,$A$1:F$161,I$2,0)</f>
        <v>49.23</v>
      </c>
      <c r="J38">
        <f>VLOOKUP(H38,$A$1:F$161,J$2,0)</f>
        <v>2.8</v>
      </c>
      <c r="K38">
        <f>VLOOKUP(H38,$A$1:F$161,K$2,0)</f>
        <v>2.8</v>
      </c>
      <c r="L38">
        <f>VLOOKUP(H38,$A$1:F$161,L$2,0)</f>
        <v>156.88999999999999</v>
      </c>
      <c r="M38">
        <f>VLOOKUP(H38,$A$1:F$161,M$2,0)</f>
        <v>154.18</v>
      </c>
    </row>
    <row r="39" spans="1:13" ht="15" customHeight="1" x14ac:dyDescent="0.25">
      <c r="A39" t="s">
        <v>36</v>
      </c>
      <c r="H39" t="s">
        <v>62</v>
      </c>
      <c r="I39">
        <f>VLOOKUP(H39,$A$1:F$161,I$2,0)</f>
        <v>814.18</v>
      </c>
      <c r="J39">
        <f>VLOOKUP(H39,$A$1:F$161,J$2,0)</f>
        <v>1116.3499999999999</v>
      </c>
      <c r="K39">
        <f>VLOOKUP(H39,$A$1:F$161,K$2,0)</f>
        <v>1116.3499999999999</v>
      </c>
      <c r="L39">
        <f>VLOOKUP(H39,$A$1:F$161,L$2,0)</f>
        <v>644.33000000000004</v>
      </c>
      <c r="M39">
        <f>VLOOKUP(H39,$A$1:F$161,M$2,0)</f>
        <v>531.16999999999996</v>
      </c>
    </row>
    <row r="40" spans="1:13" x14ac:dyDescent="0.25">
      <c r="A40" t="s">
        <v>37</v>
      </c>
      <c r="B40">
        <v>814.18</v>
      </c>
      <c r="C40">
        <v>1116.3499999999999</v>
      </c>
      <c r="D40">
        <v>1116.3499999999999</v>
      </c>
      <c r="E40">
        <v>644.33000000000004</v>
      </c>
      <c r="F40">
        <v>531.16999999999996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38</v>
      </c>
      <c r="B41">
        <v>989.31</v>
      </c>
      <c r="C41">
        <v>555.13</v>
      </c>
      <c r="D41">
        <v>555.13</v>
      </c>
      <c r="E41">
        <v>543.51</v>
      </c>
      <c r="F41">
        <v>379.06</v>
      </c>
      <c r="H41" t="s">
        <v>64</v>
      </c>
      <c r="I41" t="e">
        <f>VLOOKUP(H41,$A$1:F$161,I$2,0)</f>
        <v>#N/A</v>
      </c>
      <c r="J41" t="e">
        <f>VLOOKUP(H41,$A$1:F$161,J$2,0)</f>
        <v>#N/A</v>
      </c>
      <c r="K41" t="e">
        <f>VLOOKUP(H41,$A$1:F$161,K$2,0)</f>
        <v>#N/A</v>
      </c>
      <c r="L41" t="e">
        <f>VLOOKUP(H41,$A$1:F$161,L$2,0)</f>
        <v>#N/A</v>
      </c>
      <c r="M41" t="e">
        <f>VLOOKUP(H41,$A$1:F$161,M$2,0)</f>
        <v>#N/A</v>
      </c>
    </row>
    <row r="42" spans="1:13" x14ac:dyDescent="0.25">
      <c r="A42" t="s">
        <v>39</v>
      </c>
      <c r="B42">
        <v>113.69</v>
      </c>
      <c r="C42">
        <v>66.61</v>
      </c>
      <c r="D42">
        <v>66.61</v>
      </c>
      <c r="E42">
        <v>88.77</v>
      </c>
      <c r="F42">
        <v>48.64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40</v>
      </c>
      <c r="B43">
        <v>74.739999999999995</v>
      </c>
      <c r="C43">
        <v>60.82</v>
      </c>
      <c r="D43">
        <v>60.82</v>
      </c>
      <c r="E43">
        <v>198.57</v>
      </c>
      <c r="F43">
        <v>186.91</v>
      </c>
      <c r="H43" t="s">
        <v>68</v>
      </c>
      <c r="I43">
        <f>VLOOKUP(H43,$A$1:F$161,I$2,0)</f>
        <v>4980.58</v>
      </c>
      <c r="J43">
        <f>VLOOKUP(H43,$A$1:F$161,J$2,0)</f>
        <v>4070.36</v>
      </c>
      <c r="K43">
        <f>VLOOKUP(H43,$A$1:F$161,K$2,0)</f>
        <v>4070.36</v>
      </c>
      <c r="L43">
        <f>VLOOKUP(H43,$A$1:F$161,L$2,0)</f>
        <v>4037.38</v>
      </c>
      <c r="M43">
        <f>VLOOKUP(H43,$A$1:F$161,M$2,0)</f>
        <v>3424.58</v>
      </c>
    </row>
    <row r="44" spans="1:13" x14ac:dyDescent="0.25">
      <c r="A44" t="s">
        <v>41</v>
      </c>
      <c r="B44">
        <v>0.96</v>
      </c>
      <c r="C44">
        <v>1.19</v>
      </c>
      <c r="D44">
        <v>1.19</v>
      </c>
      <c r="E44">
        <v>1.3</v>
      </c>
      <c r="F44">
        <v>0.98</v>
      </c>
      <c r="H44" t="s">
        <v>70</v>
      </c>
      <c r="I44">
        <f>VLOOKUP(H44,$A$1:F$161,I$2,0)</f>
        <v>4980.58</v>
      </c>
      <c r="J44">
        <f>VLOOKUP(H44,$A$1:F$161,J$2,0)</f>
        <v>4070.36</v>
      </c>
      <c r="K44">
        <f>VLOOKUP(H44,$A$1:F$161,K$2,0)</f>
        <v>4070.36</v>
      </c>
      <c r="L44">
        <f>VLOOKUP(H44,$A$1:F$161,L$2,0)</f>
        <v>4037.38</v>
      </c>
      <c r="M44">
        <f>VLOOKUP(H44,$A$1:F$161,M$2,0)</f>
        <v>3424.58</v>
      </c>
    </row>
    <row r="45" spans="1:13" x14ac:dyDescent="0.25">
      <c r="A45" t="s">
        <v>42</v>
      </c>
      <c r="B45">
        <v>36.049999999999997</v>
      </c>
      <c r="C45">
        <v>27.44</v>
      </c>
      <c r="D45">
        <v>27.44</v>
      </c>
      <c r="E45">
        <v>38.79</v>
      </c>
      <c r="F45">
        <v>32.76</v>
      </c>
      <c r="H45" t="s">
        <v>71</v>
      </c>
      <c r="I45">
        <f>VLOOKUP(H45,$A$1:F$161,I$2,0)</f>
        <v>55.38</v>
      </c>
      <c r="J45">
        <f>VLOOKUP(H45,$A$1:F$161,J$2,0)</f>
        <v>30.2</v>
      </c>
      <c r="K45">
        <f>VLOOKUP(H45,$A$1:F$161,K$2,0)</f>
        <v>30.2</v>
      </c>
      <c r="L45">
        <f>VLOOKUP(H45,$A$1:F$161,L$2,0)</f>
        <v>77.91</v>
      </c>
      <c r="M45">
        <f>VLOOKUP(H45,$A$1:F$161,M$2,0)</f>
        <v>63.2</v>
      </c>
    </row>
    <row r="46" spans="1:13" x14ac:dyDescent="0.25">
      <c r="A46" t="s">
        <v>43</v>
      </c>
      <c r="B46">
        <v>2028.92</v>
      </c>
      <c r="C46">
        <v>1827.53</v>
      </c>
      <c r="D46">
        <v>1827.53</v>
      </c>
      <c r="E46">
        <v>1515.27</v>
      </c>
      <c r="F46">
        <v>1179.52</v>
      </c>
      <c r="H46" t="s">
        <v>72</v>
      </c>
      <c r="I46">
        <f>VLOOKUP(H46,$A$1:F$161,I$2,0)</f>
        <v>5035.96</v>
      </c>
      <c r="J46">
        <f>VLOOKUP(H46,$A$1:F$161,J$2,0)</f>
        <v>4100.5600000000004</v>
      </c>
      <c r="K46">
        <f>VLOOKUP(H46,$A$1:F$161,K$2,0)</f>
        <v>4100.5600000000004</v>
      </c>
      <c r="L46">
        <f>VLOOKUP(H46,$A$1:F$161,L$2,0)</f>
        <v>4115.29</v>
      </c>
      <c r="M46">
        <f>VLOOKUP(H46,$A$1:F$161,M$2,0)</f>
        <v>3487.78</v>
      </c>
    </row>
    <row r="47" spans="1:13" x14ac:dyDescent="0.25">
      <c r="A47" t="s">
        <v>44</v>
      </c>
      <c r="B47">
        <v>2516.21</v>
      </c>
      <c r="C47">
        <v>2282.23</v>
      </c>
      <c r="D47">
        <v>2282.23</v>
      </c>
      <c r="E47">
        <v>1879.95</v>
      </c>
      <c r="F47">
        <v>1614.82</v>
      </c>
      <c r="H47" t="s">
        <v>73</v>
      </c>
      <c r="I47">
        <f>VLOOKUP(H47,$A$1:F$161,I$2,0)</f>
        <v>81.67</v>
      </c>
      <c r="J47">
        <f>VLOOKUP(H47,$A$1:F$161,J$2,0)</f>
        <v>92.58</v>
      </c>
      <c r="K47">
        <f>VLOOKUP(H47,$A$1:F$161,K$2,0)</f>
        <v>92.58</v>
      </c>
      <c r="L47">
        <f>VLOOKUP(H47,$A$1:F$161,L$2,0)</f>
        <v>70.23</v>
      </c>
      <c r="M47">
        <f>VLOOKUP(H47,$A$1:F$161,M$2,0)</f>
        <v>53.83</v>
      </c>
    </row>
    <row r="48" spans="1:13" ht="24" customHeight="1" x14ac:dyDescent="0.25">
      <c r="A48" t="s">
        <v>45</v>
      </c>
      <c r="H48" t="s">
        <v>74</v>
      </c>
      <c r="I48">
        <f>VLOOKUP(H48,$A$1:F$161,I$2,0)</f>
        <v>5117.63</v>
      </c>
      <c r="J48">
        <f>VLOOKUP(H48,$A$1:F$161,J$2,0)</f>
        <v>4193.1400000000003</v>
      </c>
      <c r="K48">
        <f>VLOOKUP(H48,$A$1:F$161,K$2,0)</f>
        <v>4193.1400000000003</v>
      </c>
      <c r="L48">
        <f>VLOOKUP(H48,$A$1:F$161,L$2,0)</f>
        <v>4185.53</v>
      </c>
      <c r="M48">
        <f>VLOOKUP(H48,$A$1:F$161,M$2,0)</f>
        <v>3541.61</v>
      </c>
    </row>
    <row r="49" spans="1:13" ht="36" customHeight="1" x14ac:dyDescent="0.25">
      <c r="A49" t="s">
        <v>46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47</v>
      </c>
      <c r="B50">
        <v>49.23</v>
      </c>
      <c r="C50">
        <v>2.8</v>
      </c>
      <c r="D50">
        <v>2.8</v>
      </c>
      <c r="E50">
        <v>156.88999999999999</v>
      </c>
      <c r="F50">
        <v>154.18</v>
      </c>
      <c r="H50" t="s">
        <v>76</v>
      </c>
      <c r="I50">
        <f>VLOOKUP(H50,$A$1:F$161,I$2,0)</f>
        <v>4246.6000000000004</v>
      </c>
      <c r="J50">
        <f>VLOOKUP(H50,$A$1:F$161,J$2,0)</f>
        <v>3262.94</v>
      </c>
      <c r="K50">
        <f>VLOOKUP(H50,$A$1:F$161,K$2,0)</f>
        <v>3262.94</v>
      </c>
      <c r="L50">
        <f>VLOOKUP(H50,$A$1:F$161,L$2,0)</f>
        <v>3299.37</v>
      </c>
      <c r="M50">
        <f>VLOOKUP(H50,$A$1:F$161,M$2,0)</f>
        <v>2740.18</v>
      </c>
    </row>
    <row r="51" spans="1:13" ht="15" customHeight="1" x14ac:dyDescent="0.25">
      <c r="A51" t="s">
        <v>57</v>
      </c>
      <c r="H51" t="s">
        <v>77</v>
      </c>
      <c r="I51">
        <f>VLOOKUP(H51,$A$1:F$161,I$2,0)</f>
        <v>1.23</v>
      </c>
      <c r="J51">
        <f>VLOOKUP(H51,$A$1:F$161,J$2,0)</f>
        <v>0</v>
      </c>
      <c r="K51">
        <f>VLOOKUP(H51,$A$1:F$161,K$2,0)</f>
        <v>0</v>
      </c>
      <c r="L51">
        <f>VLOOKUP(H51,$A$1:F$161,L$2,0)</f>
        <v>0</v>
      </c>
      <c r="M51">
        <f>VLOOKUP(H51,$A$1:F$161,M$2,0)</f>
        <v>0</v>
      </c>
    </row>
    <row r="52" spans="1:13" x14ac:dyDescent="0.25">
      <c r="A52" t="s">
        <v>58</v>
      </c>
      <c r="B52">
        <v>4.54</v>
      </c>
      <c r="C52">
        <v>4.54</v>
      </c>
      <c r="D52">
        <v>4.54</v>
      </c>
      <c r="E52">
        <v>4.54</v>
      </c>
      <c r="F52">
        <v>4.54</v>
      </c>
      <c r="H52" t="s">
        <v>78</v>
      </c>
      <c r="I52">
        <f>VLOOKUP(H52,$A$1:F$161,I$2,0)</f>
        <v>-10</v>
      </c>
      <c r="J52">
        <f>VLOOKUP(H52,$A$1:F$161,J$2,0)</f>
        <v>-59.04</v>
      </c>
      <c r="K52">
        <f>VLOOKUP(H52,$A$1:F$161,K$2,0)</f>
        <v>-59.04</v>
      </c>
      <c r="L52">
        <f>VLOOKUP(H52,$A$1:F$161,L$2,0)</f>
        <v>-35.200000000000003</v>
      </c>
      <c r="M52">
        <f>VLOOKUP(H52,$A$1:F$161,M$2,0)</f>
        <v>-3.25</v>
      </c>
    </row>
    <row r="53" spans="1:13" ht="24" customHeight="1" x14ac:dyDescent="0.25">
      <c r="A53" t="s">
        <v>59</v>
      </c>
      <c r="H53" t="s">
        <v>79</v>
      </c>
      <c r="I53">
        <f>VLOOKUP(H53,$A$1:F$161,I$2,0)</f>
        <v>127.26</v>
      </c>
      <c r="J53">
        <f>VLOOKUP(H53,$A$1:F$161,J$2,0)</f>
        <v>126.24</v>
      </c>
      <c r="K53">
        <f>VLOOKUP(H53,$A$1:F$161,K$2,0)</f>
        <v>126.24</v>
      </c>
      <c r="L53">
        <f>VLOOKUP(H53,$A$1:F$161,L$2,0)</f>
        <v>113.51</v>
      </c>
      <c r="M53">
        <f>VLOOKUP(H53,$A$1:F$161,M$2,0)</f>
        <v>100.32</v>
      </c>
    </row>
    <row r="54" spans="1:13" x14ac:dyDescent="0.25">
      <c r="A54" t="s">
        <v>60</v>
      </c>
      <c r="B54">
        <v>89.99</v>
      </c>
      <c r="C54">
        <v>82.02</v>
      </c>
      <c r="D54">
        <v>82.02</v>
      </c>
      <c r="E54">
        <v>0.01</v>
      </c>
      <c r="F54">
        <v>66.44</v>
      </c>
      <c r="H54" t="s">
        <v>80</v>
      </c>
      <c r="I54">
        <f>VLOOKUP(H54,$A$1:F$161,I$2,0)</f>
        <v>2.0099999999999998</v>
      </c>
      <c r="J54">
        <f>VLOOKUP(H54,$A$1:F$161,J$2,0)</f>
        <v>1.68</v>
      </c>
      <c r="K54">
        <f>VLOOKUP(H54,$A$1:F$161,K$2,0)</f>
        <v>1.68</v>
      </c>
      <c r="L54">
        <f>VLOOKUP(H54,$A$1:F$161,L$2,0)</f>
        <v>1.99</v>
      </c>
      <c r="M54">
        <f>VLOOKUP(H54,$A$1:F$161,M$2,0)</f>
        <v>2.63</v>
      </c>
    </row>
    <row r="55" spans="1:13" x14ac:dyDescent="0.25">
      <c r="A55" t="s">
        <v>61</v>
      </c>
      <c r="B55">
        <v>5.07</v>
      </c>
      <c r="C55">
        <v>5.07</v>
      </c>
      <c r="D55">
        <v>5.07</v>
      </c>
      <c r="E55">
        <v>4.25</v>
      </c>
      <c r="F55">
        <v>1.0900000000000001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24" customHeight="1" x14ac:dyDescent="0.25">
      <c r="A56" t="s">
        <v>62</v>
      </c>
      <c r="H56" t="s">
        <v>82</v>
      </c>
      <c r="I56">
        <f>VLOOKUP(H56,$A$1:F$161,I$2,0)</f>
        <v>40.79</v>
      </c>
      <c r="J56">
        <f>VLOOKUP(H56,$A$1:F$161,J$2,0)</f>
        <v>40.93</v>
      </c>
      <c r="K56">
        <f>VLOOKUP(H56,$A$1:F$161,K$2,0)</f>
        <v>40.93</v>
      </c>
      <c r="L56">
        <f>VLOOKUP(H56,$A$1:F$161,L$2,0)</f>
        <v>37.71</v>
      </c>
      <c r="M56">
        <f>VLOOKUP(H56,$A$1:F$161,M$2,0)</f>
        <v>35.840000000000003</v>
      </c>
    </row>
    <row r="57" spans="1:13" x14ac:dyDescent="0.25">
      <c r="H57" t="s">
        <v>83</v>
      </c>
      <c r="I57">
        <f>VLOOKUP(H57,$A$1:F$161,I$2,0)</f>
        <v>272.10000000000002</v>
      </c>
      <c r="J57">
        <f>VLOOKUP(H57,$A$1:F$161,J$2,0)</f>
        <v>243.22</v>
      </c>
      <c r="K57">
        <f>VLOOKUP(H57,$A$1:F$161,K$2,0)</f>
        <v>243.22</v>
      </c>
      <c r="L57">
        <f>VLOOKUP(H57,$A$1:F$161,L$2,0)</f>
        <v>221.29</v>
      </c>
      <c r="M57">
        <f>VLOOKUP(H57,$A$1:F$161,M$2,0)</f>
        <v>192.16</v>
      </c>
    </row>
    <row r="58" spans="1:13" x14ac:dyDescent="0.25">
      <c r="H58" t="s">
        <v>84</v>
      </c>
      <c r="I58">
        <f>VLOOKUP(H58,$A$1:F$161,I$2,0)</f>
        <v>4756.75</v>
      </c>
      <c r="J58">
        <f>VLOOKUP(H58,$A$1:F$161,J$2,0)</f>
        <v>3683.03</v>
      </c>
      <c r="K58">
        <f>VLOOKUP(H58,$A$1:F$161,K$2,0)</f>
        <v>3683.03</v>
      </c>
      <c r="L58">
        <f>VLOOKUP(H58,$A$1:F$161,L$2,0)</f>
        <v>3701.08</v>
      </c>
      <c r="M58">
        <f>VLOOKUP(H58,$A$1:F$161,M$2,0)</f>
        <v>3119</v>
      </c>
    </row>
    <row r="59" spans="1:13" x14ac:dyDescent="0.25">
      <c r="H59" t="s">
        <v>85</v>
      </c>
      <c r="I59">
        <f>VLOOKUP(H59,$A$1:F$161,I$2,0)</f>
        <v>360.88</v>
      </c>
      <c r="J59">
        <f>VLOOKUP(H59,$A$1:F$161,J$2,0)</f>
        <v>510.1</v>
      </c>
      <c r="K59">
        <f>VLOOKUP(H59,$A$1:F$161,K$2,0)</f>
        <v>510.1</v>
      </c>
      <c r="L59">
        <f>VLOOKUP(H59,$A$1:F$161,L$2,0)</f>
        <v>484.45</v>
      </c>
      <c r="M59">
        <f>VLOOKUP(H59,$A$1:F$161,M$2,0)</f>
        <v>422.61</v>
      </c>
    </row>
    <row r="60" spans="1:13" ht="15" customHeight="1" x14ac:dyDescent="0.25">
      <c r="A60" t="s">
        <v>65</v>
      </c>
      <c r="H60" t="s">
        <v>87</v>
      </c>
      <c r="I60">
        <f>VLOOKUP(H60,$A$1:F$161,I$2,0)</f>
        <v>333.38</v>
      </c>
      <c r="J60">
        <f>VLOOKUP(H60,$A$1:F$161,J$2,0)</f>
        <v>510.1</v>
      </c>
      <c r="K60">
        <f>VLOOKUP(H60,$A$1:F$161,K$2,0)</f>
        <v>510.1</v>
      </c>
      <c r="L60">
        <f>VLOOKUP(H60,$A$1:F$161,L$2,0)</f>
        <v>484.45</v>
      </c>
      <c r="M60">
        <f>VLOOKUP(H60,$A$1:F$161,M$2,0)</f>
        <v>427.8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77.7</v>
      </c>
      <c r="J62">
        <f>VLOOKUP(H62,$A$1:F$161,J$2,0)</f>
        <v>119.45</v>
      </c>
      <c r="K62">
        <f>VLOOKUP(H62,$A$1:F$161,K$2,0)</f>
        <v>119.45</v>
      </c>
      <c r="L62">
        <f>VLOOKUP(H62,$A$1:F$161,L$2,0)</f>
        <v>111.77</v>
      </c>
      <c r="M62">
        <f>VLOOKUP(H62,$A$1:F$161,M$2,0)</f>
        <v>129.81</v>
      </c>
    </row>
    <row r="63" spans="1:13" x14ac:dyDescent="0.25">
      <c r="H63" t="s">
        <v>90</v>
      </c>
      <c r="I63">
        <f>VLOOKUP(H63,$A$1:F$161,I$2,0)</f>
        <v>0.96</v>
      </c>
      <c r="J63">
        <f>VLOOKUP(H63,$A$1:F$161,J$2,0)</f>
        <v>-7.16</v>
      </c>
      <c r="K63">
        <f>VLOOKUP(H63,$A$1:F$161,K$2,0)</f>
        <v>-7.16</v>
      </c>
      <c r="L63">
        <f>VLOOKUP(H63,$A$1:F$161,L$2,0)</f>
        <v>-13.2</v>
      </c>
      <c r="M63">
        <f>VLOOKUP(H63,$A$1:F$161,M$2,0)</f>
        <v>-8.3699999999999992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78.67</v>
      </c>
      <c r="J65">
        <f>VLOOKUP(H65,$A$1:F$161,J$2,0)</f>
        <v>112.29</v>
      </c>
      <c r="K65">
        <f>VLOOKUP(H65,$A$1:F$161,K$2,0)</f>
        <v>112.29</v>
      </c>
      <c r="L65">
        <f>VLOOKUP(H65,$A$1:F$161,L$2,0)</f>
        <v>98.57</v>
      </c>
      <c r="M65">
        <f>VLOOKUP(H65,$A$1:F$161,M$2,0)</f>
        <v>121.43</v>
      </c>
    </row>
    <row r="66" spans="8:13" x14ac:dyDescent="0.25">
      <c r="H66" t="s">
        <v>92</v>
      </c>
      <c r="I66">
        <f>VLOOKUP(H66,$A$1:F$161,I$2,0)</f>
        <v>254.71</v>
      </c>
      <c r="J66">
        <f>VLOOKUP(H66,$A$1:F$161,J$2,0)</f>
        <v>397.81</v>
      </c>
      <c r="K66">
        <f>VLOOKUP(H66,$A$1:F$161,K$2,0)</f>
        <v>397.81</v>
      </c>
      <c r="L66">
        <f>VLOOKUP(H66,$A$1:F$161,L$2,0)</f>
        <v>385.87</v>
      </c>
      <c r="M66">
        <f>VLOOKUP(H66,$A$1:F$161,M$2,0)</f>
        <v>306.36</v>
      </c>
    </row>
    <row r="67" spans="8:13" x14ac:dyDescent="0.25">
      <c r="H67" t="s">
        <v>93</v>
      </c>
      <c r="I67">
        <f>VLOOKUP(H67,$A$1:F$161,I$2,0)</f>
        <v>254.71</v>
      </c>
      <c r="J67">
        <f>VLOOKUP(H67,$A$1:F$161,J$2,0)</f>
        <v>397.81</v>
      </c>
      <c r="K67">
        <f>VLOOKUP(H67,$A$1:F$161,K$2,0)</f>
        <v>397.81</v>
      </c>
      <c r="L67">
        <f>VLOOKUP(H67,$A$1:F$161,L$2,0)</f>
        <v>385.87</v>
      </c>
      <c r="M67">
        <f>VLOOKUP(H67,$A$1:F$161,M$2,0)</f>
        <v>306.36</v>
      </c>
    </row>
    <row r="68" spans="8:13" x14ac:dyDescent="0.25">
      <c r="H68" t="s">
        <v>94</v>
      </c>
      <c r="I68">
        <f>VLOOKUP(H68,$A$1:F$161,I$2,0)</f>
        <v>254.71</v>
      </c>
      <c r="J68">
        <f>VLOOKUP(H68,$A$1:F$161,J$2,0)</f>
        <v>397.81</v>
      </c>
      <c r="K68">
        <f>VLOOKUP(H68,$A$1:F$161,K$2,0)</f>
        <v>397.81</v>
      </c>
      <c r="L68">
        <f>VLOOKUP(H68,$A$1:F$161,L$2,0)</f>
        <v>385.87</v>
      </c>
      <c r="M68">
        <f>VLOOKUP(H68,$A$1:F$161,M$2,0)</f>
        <v>306.36</v>
      </c>
    </row>
    <row r="69" spans="8:13" x14ac:dyDescent="0.25">
      <c r="H69" t="s">
        <v>101</v>
      </c>
      <c r="I69">
        <f>VLOOKUP(H69,$A$1:F$161,I$2,0)</f>
        <v>86.09</v>
      </c>
      <c r="J69">
        <f>VLOOKUP(H69,$A$1:F$161,J$2,0)</f>
        <v>2.16</v>
      </c>
      <c r="K69">
        <f>VLOOKUP(H69,$A$1:F$161,K$2,0)</f>
        <v>2.16</v>
      </c>
      <c r="L69">
        <f>VLOOKUP(H69,$A$1:F$161,L$2,0)</f>
        <v>147.83000000000001</v>
      </c>
      <c r="M69">
        <f>VLOOKUP(H69,$A$1:F$161,M$2,0)</f>
        <v>98.55</v>
      </c>
    </row>
    <row r="70" spans="8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162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44348</v>
      </c>
      <c r="D92">
        <v>44256</v>
      </c>
      <c r="E92">
        <v>43891</v>
      </c>
      <c r="F92">
        <v>43525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4980.58</v>
      </c>
      <c r="C97">
        <v>4070.36</v>
      </c>
      <c r="D97">
        <v>4070.36</v>
      </c>
      <c r="E97">
        <v>4037.38</v>
      </c>
      <c r="F97">
        <v>3424.58</v>
      </c>
    </row>
    <row r="98" spans="1:6" x14ac:dyDescent="0.25">
      <c r="A98" t="s">
        <v>70</v>
      </c>
      <c r="B98">
        <v>4980.58</v>
      </c>
      <c r="C98">
        <v>4070.36</v>
      </c>
      <c r="D98">
        <v>4070.36</v>
      </c>
      <c r="E98">
        <v>4037.38</v>
      </c>
      <c r="F98">
        <v>3424.58</v>
      </c>
    </row>
    <row r="99" spans="1:6" x14ac:dyDescent="0.25">
      <c r="A99" t="s">
        <v>71</v>
      </c>
      <c r="B99">
        <v>55.38</v>
      </c>
      <c r="C99">
        <v>30.2</v>
      </c>
      <c r="D99">
        <v>30.2</v>
      </c>
      <c r="E99">
        <v>77.91</v>
      </c>
      <c r="F99">
        <v>63.2</v>
      </c>
    </row>
    <row r="100" spans="1:6" x14ac:dyDescent="0.25">
      <c r="A100" t="s">
        <v>72</v>
      </c>
      <c r="B100">
        <v>5035.96</v>
      </c>
      <c r="C100">
        <v>4100.5600000000004</v>
      </c>
      <c r="D100">
        <v>4100.5600000000004</v>
      </c>
      <c r="E100">
        <v>4115.29</v>
      </c>
      <c r="F100">
        <v>3487.78</v>
      </c>
    </row>
    <row r="101" spans="1:6" x14ac:dyDescent="0.25">
      <c r="A101" t="s">
        <v>73</v>
      </c>
      <c r="B101">
        <v>81.67</v>
      </c>
      <c r="C101">
        <v>92.58</v>
      </c>
      <c r="D101">
        <v>92.58</v>
      </c>
      <c r="E101">
        <v>70.23</v>
      </c>
      <c r="F101">
        <v>53.83</v>
      </c>
    </row>
    <row r="102" spans="1:6" x14ac:dyDescent="0.25">
      <c r="A102" t="s">
        <v>74</v>
      </c>
      <c r="B102">
        <v>5117.63</v>
      </c>
      <c r="C102">
        <v>4193.1400000000003</v>
      </c>
      <c r="D102">
        <v>4193.1400000000003</v>
      </c>
      <c r="E102">
        <v>4185.53</v>
      </c>
      <c r="F102">
        <v>3541.61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4246.6000000000004</v>
      </c>
      <c r="C104">
        <v>3262.94</v>
      </c>
      <c r="D104">
        <v>3262.94</v>
      </c>
      <c r="E104">
        <v>3299.37</v>
      </c>
      <c r="F104">
        <v>2740.18</v>
      </c>
    </row>
    <row r="105" spans="1:6" x14ac:dyDescent="0.25">
      <c r="A105" t="s">
        <v>77</v>
      </c>
      <c r="B105">
        <v>1.23</v>
      </c>
      <c r="C105">
        <v>0</v>
      </c>
      <c r="D105">
        <v>0</v>
      </c>
      <c r="E105">
        <v>0</v>
      </c>
      <c r="F105">
        <v>0</v>
      </c>
    </row>
    <row r="106" spans="1:6" x14ac:dyDescent="0.25">
      <c r="A106" t="s">
        <v>111</v>
      </c>
      <c r="B106">
        <v>76.760000000000005</v>
      </c>
      <c r="C106">
        <v>67.069999999999993</v>
      </c>
      <c r="D106">
        <v>67.069999999999993</v>
      </c>
      <c r="E106">
        <v>62.41</v>
      </c>
      <c r="F106">
        <v>51.11</v>
      </c>
    </row>
    <row r="107" spans="1:6" x14ac:dyDescent="0.25">
      <c r="A107" t="s">
        <v>78</v>
      </c>
      <c r="B107">
        <v>-10</v>
      </c>
      <c r="C107">
        <v>-59.04</v>
      </c>
      <c r="D107">
        <v>-59.04</v>
      </c>
      <c r="E107">
        <v>-35.200000000000003</v>
      </c>
      <c r="F107">
        <v>-3.25</v>
      </c>
    </row>
    <row r="108" spans="1:6" x14ac:dyDescent="0.25">
      <c r="A108" t="s">
        <v>79</v>
      </c>
      <c r="B108">
        <v>127.26</v>
      </c>
      <c r="C108">
        <v>126.24</v>
      </c>
      <c r="D108">
        <v>126.24</v>
      </c>
      <c r="E108">
        <v>113.51</v>
      </c>
      <c r="F108">
        <v>100.32</v>
      </c>
    </row>
    <row r="109" spans="1:6" x14ac:dyDescent="0.25">
      <c r="A109" t="s">
        <v>80</v>
      </c>
      <c r="B109">
        <v>2.0099999999999998</v>
      </c>
      <c r="C109">
        <v>1.68</v>
      </c>
      <c r="D109">
        <v>1.68</v>
      </c>
      <c r="E109">
        <v>1.99</v>
      </c>
      <c r="F109">
        <v>2.63</v>
      </c>
    </row>
    <row r="110" spans="1:6" x14ac:dyDescent="0.25">
      <c r="A110" t="s">
        <v>82</v>
      </c>
      <c r="B110">
        <v>40.79</v>
      </c>
      <c r="C110">
        <v>40.93</v>
      </c>
      <c r="D110">
        <v>40.93</v>
      </c>
      <c r="E110">
        <v>37.71</v>
      </c>
      <c r="F110">
        <v>35.840000000000003</v>
      </c>
    </row>
    <row r="111" spans="1:6" x14ac:dyDescent="0.25">
      <c r="A111" t="s">
        <v>83</v>
      </c>
      <c r="B111">
        <v>272.10000000000002</v>
      </c>
      <c r="C111">
        <v>243.22</v>
      </c>
      <c r="D111">
        <v>243.22</v>
      </c>
      <c r="E111">
        <v>221.29</v>
      </c>
      <c r="F111">
        <v>192.16</v>
      </c>
    </row>
    <row r="112" spans="1:6" x14ac:dyDescent="0.25">
      <c r="A112" t="s">
        <v>84</v>
      </c>
      <c r="B112">
        <v>4756.75</v>
      </c>
      <c r="C112">
        <v>3683.03</v>
      </c>
      <c r="D112">
        <v>3683.03</v>
      </c>
      <c r="E112">
        <v>3701.08</v>
      </c>
      <c r="F112">
        <v>3119</v>
      </c>
    </row>
    <row r="113" spans="1:6" x14ac:dyDescent="0.25">
      <c r="A113" t="s">
        <v>85</v>
      </c>
      <c r="B113">
        <v>360.88</v>
      </c>
      <c r="C113">
        <v>510.1</v>
      </c>
      <c r="D113">
        <v>510.1</v>
      </c>
      <c r="E113">
        <v>484.45</v>
      </c>
      <c r="F113">
        <v>422.61</v>
      </c>
    </row>
    <row r="114" spans="1:6" x14ac:dyDescent="0.25">
      <c r="A114" t="s">
        <v>86</v>
      </c>
      <c r="B114">
        <v>-27.5</v>
      </c>
      <c r="C114">
        <v>0</v>
      </c>
      <c r="D114">
        <v>0</v>
      </c>
      <c r="E114">
        <v>0</v>
      </c>
      <c r="F114">
        <v>5.19</v>
      </c>
    </row>
    <row r="115" spans="1:6" x14ac:dyDescent="0.25">
      <c r="A115" t="s">
        <v>87</v>
      </c>
      <c r="B115">
        <v>333.38</v>
      </c>
      <c r="C115">
        <v>510.1</v>
      </c>
      <c r="D115">
        <v>510.1</v>
      </c>
      <c r="E115">
        <v>484.45</v>
      </c>
      <c r="F115">
        <v>427.8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77.7</v>
      </c>
      <c r="C117">
        <v>119.45</v>
      </c>
      <c r="D117">
        <v>119.45</v>
      </c>
      <c r="E117">
        <v>111.77</v>
      </c>
      <c r="F117">
        <v>129.81</v>
      </c>
    </row>
    <row r="118" spans="1:6" x14ac:dyDescent="0.25">
      <c r="A118" t="s">
        <v>90</v>
      </c>
      <c r="B118">
        <v>0.96</v>
      </c>
      <c r="C118">
        <v>-7.16</v>
      </c>
      <c r="D118">
        <v>-7.16</v>
      </c>
      <c r="E118">
        <v>-13.2</v>
      </c>
      <c r="F118">
        <v>-8.3699999999999992</v>
      </c>
    </row>
    <row r="119" spans="1:6" x14ac:dyDescent="0.25">
      <c r="A119" t="s">
        <v>91</v>
      </c>
      <c r="B119">
        <v>78.67</v>
      </c>
      <c r="C119">
        <v>112.29</v>
      </c>
      <c r="D119">
        <v>112.29</v>
      </c>
      <c r="E119">
        <v>98.57</v>
      </c>
      <c r="F119">
        <v>121.43</v>
      </c>
    </row>
    <row r="120" spans="1:6" x14ac:dyDescent="0.25">
      <c r="A120" t="s">
        <v>92</v>
      </c>
      <c r="B120">
        <v>254.71</v>
      </c>
      <c r="C120">
        <v>397.81</v>
      </c>
      <c r="D120">
        <v>397.81</v>
      </c>
      <c r="E120">
        <v>385.87</v>
      </c>
      <c r="F120">
        <v>306.36</v>
      </c>
    </row>
    <row r="121" spans="1:6" x14ac:dyDescent="0.25">
      <c r="A121" t="s">
        <v>93</v>
      </c>
      <c r="B121">
        <v>254.71</v>
      </c>
      <c r="C121">
        <v>397.81</v>
      </c>
      <c r="D121">
        <v>397.81</v>
      </c>
      <c r="E121">
        <v>385.87</v>
      </c>
      <c r="F121">
        <v>306.36</v>
      </c>
    </row>
    <row r="122" spans="1:6" x14ac:dyDescent="0.25">
      <c r="A122" t="s">
        <v>94</v>
      </c>
      <c r="B122">
        <v>254.71</v>
      </c>
      <c r="C122">
        <v>397.81</v>
      </c>
      <c r="D122">
        <v>397.81</v>
      </c>
      <c r="E122">
        <v>385.87</v>
      </c>
      <c r="F122">
        <v>306.36</v>
      </c>
    </row>
    <row r="123" spans="1:6" x14ac:dyDescent="0.25">
      <c r="A123" t="s">
        <v>116</v>
      </c>
      <c r="B123">
        <v>-23.65</v>
      </c>
      <c r="C123">
        <v>-37.299999999999997</v>
      </c>
      <c r="D123">
        <v>-37.299999999999997</v>
      </c>
      <c r="E123">
        <v>-39.799999999999997</v>
      </c>
      <c r="F123">
        <v>-32.99</v>
      </c>
    </row>
    <row r="124" spans="1:6" x14ac:dyDescent="0.25">
      <c r="A124" t="s">
        <v>130</v>
      </c>
      <c r="B124">
        <v>-9.48</v>
      </c>
      <c r="C124">
        <v>-0.44</v>
      </c>
      <c r="D124">
        <v>-0.44</v>
      </c>
      <c r="E124">
        <v>0.41</v>
      </c>
      <c r="F124">
        <v>0.26</v>
      </c>
    </row>
    <row r="125" spans="1:6" x14ac:dyDescent="0.25">
      <c r="A125" t="s">
        <v>113</v>
      </c>
      <c r="B125">
        <v>221.57</v>
      </c>
      <c r="C125">
        <v>360.07</v>
      </c>
      <c r="D125">
        <v>360.07</v>
      </c>
      <c r="E125">
        <v>346.49</v>
      </c>
      <c r="F125">
        <v>273.63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16</v>
      </c>
      <c r="C128">
        <v>26</v>
      </c>
      <c r="D128">
        <v>26</v>
      </c>
      <c r="E128">
        <v>25</v>
      </c>
      <c r="F128">
        <v>20</v>
      </c>
    </row>
    <row r="129" spans="1:6" x14ac:dyDescent="0.25">
      <c r="A129" t="s">
        <v>97</v>
      </c>
      <c r="B129">
        <v>16</v>
      </c>
      <c r="C129">
        <v>26</v>
      </c>
      <c r="D129">
        <v>26</v>
      </c>
      <c r="E129">
        <v>25</v>
      </c>
      <c r="F129">
        <v>20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86.09</v>
      </c>
      <c r="C131">
        <v>2.16</v>
      </c>
      <c r="D131">
        <v>2.16</v>
      </c>
      <c r="E131">
        <v>147.83000000000001</v>
      </c>
      <c r="F131">
        <v>98.55</v>
      </c>
    </row>
    <row r="135" spans="1:6" ht="15" customHeight="1" x14ac:dyDescent="0.25">
      <c r="A135" t="s">
        <v>65</v>
      </c>
    </row>
  </sheetData>
  <hyperlinks>
    <hyperlink ref="B1" r:id="rId1" display="javascript:void(0);" xr:uid="{507F10D6-60AD-4590-AE13-DD1442D6022A}"/>
    <hyperlink ref="B90" r:id="rId2" display="javascript:void(0);" xr:uid="{E8B48223-B7A6-4DA4-BA6E-186612C7755D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9792-0CA3-4D73-8C9A-56B71B79DF99}">
  <sheetPr codeName="Sheet30"/>
  <dimension ref="A1:M145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163</v>
      </c>
      <c r="B1" t="s">
        <v>1</v>
      </c>
      <c r="H1" t="str">
        <f>A1</f>
        <v>Asian Paints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95.92</v>
      </c>
      <c r="J4">
        <f>VLOOKUP(H4,$A$1:F$161,J$2,0)</f>
        <v>95.92</v>
      </c>
      <c r="K4">
        <f>VLOOKUP(H4,$A$1:F$161,K$2,0)</f>
        <v>95.92</v>
      </c>
      <c r="L4">
        <f>VLOOKUP(H4,$A$1:F$161,L$2,0)</f>
        <v>95.92</v>
      </c>
      <c r="M4">
        <f>VLOOKUP(H4,$A$1:F$161,M$2,0)</f>
        <v>95.92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95.92</v>
      </c>
      <c r="J5">
        <f>VLOOKUP(H5,$A$1:F$161,J$2,0)</f>
        <v>95.92</v>
      </c>
      <c r="K5">
        <f>VLOOKUP(H5,$A$1:F$161,K$2,0)</f>
        <v>95.92</v>
      </c>
      <c r="L5">
        <f>VLOOKUP(H5,$A$1:F$161,L$2,0)</f>
        <v>95.92</v>
      </c>
      <c r="M5">
        <f>VLOOKUP(H5,$A$1:F$161,M$2,0)</f>
        <v>95.92</v>
      </c>
    </row>
    <row r="6" spans="1:13" x14ac:dyDescent="0.25">
      <c r="H6" t="s">
        <v>10</v>
      </c>
      <c r="I6">
        <f>VLOOKUP(H6,$A$1:F$161,I$2,0)</f>
        <v>13253.17</v>
      </c>
      <c r="J6">
        <f>VLOOKUP(H6,$A$1:F$161,J$2,0)</f>
        <v>11995.18</v>
      </c>
      <c r="K6">
        <f>VLOOKUP(H6,$A$1:F$161,K$2,0)</f>
        <v>9357.3700000000008</v>
      </c>
      <c r="L6">
        <f>VLOOKUP(H6,$A$1:F$161,L$2,0)</f>
        <v>8747.0400000000009</v>
      </c>
      <c r="M6">
        <f>VLOOKUP(H6,$A$1:F$161,M$2,0)</f>
        <v>7702.24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13253.17</v>
      </c>
      <c r="J7">
        <f>VLOOKUP(H7,$A$1:F$161,J$2,0)</f>
        <v>11995.18</v>
      </c>
      <c r="K7">
        <f>VLOOKUP(H7,$A$1:F$161,K$2,0)</f>
        <v>9357.3700000000008</v>
      </c>
      <c r="L7">
        <f>VLOOKUP(H7,$A$1:F$161,L$2,0)</f>
        <v>8747.0400000000009</v>
      </c>
      <c r="M7">
        <f>VLOOKUP(H7,$A$1:F$161,M$2,0)</f>
        <v>7702.24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13349.09</v>
      </c>
      <c r="J8">
        <f>VLOOKUP(H8,$A$1:F$161,J$2,0)</f>
        <v>12091.1</v>
      </c>
      <c r="K8">
        <f>VLOOKUP(H8,$A$1:F$161,K$2,0)</f>
        <v>9453.2900000000009</v>
      </c>
      <c r="L8">
        <f>VLOOKUP(H8,$A$1:F$161,L$2,0)</f>
        <v>8842.9599999999991</v>
      </c>
      <c r="M8">
        <f>VLOOKUP(H8,$A$1:F$161,M$2,0)</f>
        <v>7798.16</v>
      </c>
    </row>
    <row r="9" spans="1:13" x14ac:dyDescent="0.25">
      <c r="A9" t="s">
        <v>8</v>
      </c>
      <c r="B9">
        <v>95.92</v>
      </c>
      <c r="C9">
        <v>95.92</v>
      </c>
      <c r="D9">
        <v>95.92</v>
      </c>
      <c r="E9">
        <v>95.92</v>
      </c>
      <c r="F9">
        <v>95.92</v>
      </c>
      <c r="H9" t="s">
        <v>14</v>
      </c>
      <c r="I9">
        <f>VLOOKUP(H9,$A$1:F$161,I$2,0)</f>
        <v>16.16</v>
      </c>
      <c r="J9">
        <f>VLOOKUP(H9,$A$1:F$161,J$2,0)</f>
        <v>14.31</v>
      </c>
      <c r="K9">
        <f>VLOOKUP(H9,$A$1:F$161,K$2,0)</f>
        <v>18.5</v>
      </c>
      <c r="L9">
        <f>VLOOKUP(H9,$A$1:F$161,L$2,0)</f>
        <v>10.89</v>
      </c>
      <c r="M9">
        <f>VLOOKUP(H9,$A$1:F$161,M$2,0)</f>
        <v>9.8699999999999992</v>
      </c>
    </row>
    <row r="10" spans="1:13" x14ac:dyDescent="0.25">
      <c r="A10" t="s">
        <v>9</v>
      </c>
      <c r="B10">
        <v>95.92</v>
      </c>
      <c r="C10">
        <v>95.92</v>
      </c>
      <c r="D10">
        <v>95.92</v>
      </c>
      <c r="E10">
        <v>95.92</v>
      </c>
      <c r="F10">
        <v>95.92</v>
      </c>
      <c r="H10" t="s">
        <v>16</v>
      </c>
      <c r="I10">
        <f>VLOOKUP(H10,$A$1:F$161,I$2,0)</f>
        <v>522.04999999999995</v>
      </c>
      <c r="J10">
        <f>VLOOKUP(H10,$A$1:F$161,J$2,0)</f>
        <v>473.23</v>
      </c>
      <c r="K10">
        <f>VLOOKUP(H10,$A$1:F$161,K$2,0)</f>
        <v>501.32</v>
      </c>
      <c r="L10">
        <f>VLOOKUP(H10,$A$1:F$161,L$2,0)</f>
        <v>476.76</v>
      </c>
      <c r="M10">
        <f>VLOOKUP(H10,$A$1:F$161,M$2,0)</f>
        <v>3.26</v>
      </c>
    </row>
    <row r="11" spans="1:13" x14ac:dyDescent="0.25">
      <c r="A11" t="s">
        <v>10</v>
      </c>
      <c r="B11">
        <v>13253.17</v>
      </c>
      <c r="C11">
        <v>11995.18</v>
      </c>
      <c r="D11">
        <v>9357.3700000000008</v>
      </c>
      <c r="E11">
        <v>8747.0400000000009</v>
      </c>
      <c r="F11">
        <v>7702.24</v>
      </c>
      <c r="H11" t="s">
        <v>17</v>
      </c>
      <c r="I11">
        <f>VLOOKUP(H11,$A$1:F$161,I$2,0)</f>
        <v>168.29</v>
      </c>
      <c r="J11">
        <f>VLOOKUP(H11,$A$1:F$161,J$2,0)</f>
        <v>163.51</v>
      </c>
      <c r="K11">
        <f>VLOOKUP(H11,$A$1:F$161,K$2,0)</f>
        <v>136.78</v>
      </c>
      <c r="L11">
        <f>VLOOKUP(H11,$A$1:F$161,L$2,0)</f>
        <v>118.48</v>
      </c>
      <c r="M11">
        <f>VLOOKUP(H11,$A$1:F$161,M$2,0)</f>
        <v>107.35</v>
      </c>
    </row>
    <row r="12" spans="1:13" x14ac:dyDescent="0.25">
      <c r="A12" t="s">
        <v>11</v>
      </c>
      <c r="B12">
        <v>13253.17</v>
      </c>
      <c r="C12">
        <v>11995.18</v>
      </c>
      <c r="D12">
        <v>9357.3700000000008</v>
      </c>
      <c r="E12">
        <v>8747.0400000000009</v>
      </c>
      <c r="F12">
        <v>7702.24</v>
      </c>
      <c r="H12" t="s">
        <v>18</v>
      </c>
      <c r="I12">
        <f>VLOOKUP(H12,$A$1:F$161,I$2,0)</f>
        <v>911.8</v>
      </c>
      <c r="J12">
        <f>VLOOKUP(H12,$A$1:F$161,J$2,0)</f>
        <v>916.24</v>
      </c>
      <c r="K12">
        <f>VLOOKUP(H12,$A$1:F$161,K$2,0)</f>
        <v>939.28</v>
      </c>
      <c r="L12">
        <f>VLOOKUP(H12,$A$1:F$161,L$2,0)</f>
        <v>998.52</v>
      </c>
      <c r="M12">
        <f>VLOOKUP(H12,$A$1:F$161,M$2,0)</f>
        <v>390.81</v>
      </c>
    </row>
    <row r="13" spans="1:13" x14ac:dyDescent="0.25">
      <c r="A13" t="s">
        <v>12</v>
      </c>
      <c r="B13">
        <v>13349.09</v>
      </c>
      <c r="C13">
        <v>12091.1</v>
      </c>
      <c r="D13">
        <v>9453.2900000000009</v>
      </c>
      <c r="E13">
        <v>8842.9599999999991</v>
      </c>
      <c r="F13">
        <v>7798.16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3497.29</v>
      </c>
      <c r="J14">
        <f>VLOOKUP(H14,$A$1:F$161,J$2,0)</f>
        <v>2814.3</v>
      </c>
      <c r="K14">
        <f>VLOOKUP(H14,$A$1:F$161,K$2,0)</f>
        <v>1760.08</v>
      </c>
      <c r="L14">
        <f>VLOOKUP(H14,$A$1:F$161,L$2,0)</f>
        <v>2062.29</v>
      </c>
      <c r="M14">
        <f>VLOOKUP(H14,$A$1:F$161,M$2,0)</f>
        <v>1851.5</v>
      </c>
    </row>
    <row r="15" spans="1:13" x14ac:dyDescent="0.25">
      <c r="A15" t="s">
        <v>14</v>
      </c>
      <c r="B15">
        <v>16.16</v>
      </c>
      <c r="C15">
        <v>14.31</v>
      </c>
      <c r="D15">
        <v>18.5</v>
      </c>
      <c r="E15">
        <v>10.89</v>
      </c>
      <c r="F15">
        <v>9.8699999999999992</v>
      </c>
      <c r="H15" t="s">
        <v>22</v>
      </c>
      <c r="I15">
        <f>VLOOKUP(H15,$A$1:F$161,I$2,0)</f>
        <v>2112.0700000000002</v>
      </c>
      <c r="J15">
        <f>VLOOKUP(H15,$A$1:F$161,J$2,0)</f>
        <v>1703.12</v>
      </c>
      <c r="K15">
        <f>VLOOKUP(H15,$A$1:F$161,K$2,0)</f>
        <v>1390.83</v>
      </c>
      <c r="L15">
        <f>VLOOKUP(H15,$A$1:F$161,L$2,0)</f>
        <v>1722.5</v>
      </c>
      <c r="M15">
        <f>VLOOKUP(H15,$A$1:F$161,M$2,0)</f>
        <v>1504.61</v>
      </c>
    </row>
    <row r="16" spans="1:13" x14ac:dyDescent="0.25">
      <c r="A16" t="s">
        <v>15</v>
      </c>
      <c r="B16">
        <v>205.3</v>
      </c>
      <c r="C16">
        <v>265.19</v>
      </c>
      <c r="D16">
        <v>282.68</v>
      </c>
      <c r="E16">
        <v>392.39</v>
      </c>
      <c r="F16">
        <v>270.33</v>
      </c>
      <c r="H16" t="s">
        <v>23</v>
      </c>
      <c r="I16">
        <f>VLOOKUP(H16,$A$1:F$161,I$2,0)</f>
        <v>38.08</v>
      </c>
      <c r="J16">
        <f>VLOOKUP(H16,$A$1:F$161,J$2,0)</f>
        <v>57.91</v>
      </c>
      <c r="K16">
        <f>VLOOKUP(H16,$A$1:F$161,K$2,0)</f>
        <v>44.14</v>
      </c>
      <c r="L16">
        <f>VLOOKUP(H16,$A$1:F$161,L$2,0)</f>
        <v>52.27</v>
      </c>
      <c r="M16">
        <f>VLOOKUP(H16,$A$1:F$161,M$2,0)</f>
        <v>42.85</v>
      </c>
    </row>
    <row r="17" spans="1:13" x14ac:dyDescent="0.25">
      <c r="A17" t="s">
        <v>16</v>
      </c>
      <c r="B17">
        <v>522.04999999999995</v>
      </c>
      <c r="C17">
        <v>473.23</v>
      </c>
      <c r="D17">
        <v>501.32</v>
      </c>
      <c r="E17">
        <v>476.76</v>
      </c>
      <c r="F17">
        <v>3.26</v>
      </c>
      <c r="H17" t="s">
        <v>24</v>
      </c>
      <c r="I17">
        <f>VLOOKUP(H17,$A$1:F$161,I$2,0)</f>
        <v>5647.44</v>
      </c>
      <c r="J17">
        <f>VLOOKUP(H17,$A$1:F$161,J$2,0)</f>
        <v>4575.33</v>
      </c>
      <c r="K17">
        <f>VLOOKUP(H17,$A$1:F$161,K$2,0)</f>
        <v>3195.05</v>
      </c>
      <c r="L17">
        <f>VLOOKUP(H17,$A$1:F$161,L$2,0)</f>
        <v>3841.41</v>
      </c>
      <c r="M17">
        <f>VLOOKUP(H17,$A$1:F$161,M$2,0)</f>
        <v>3398.96</v>
      </c>
    </row>
    <row r="18" spans="1:13" x14ac:dyDescent="0.25">
      <c r="A18" t="s">
        <v>17</v>
      </c>
      <c r="B18">
        <v>168.29</v>
      </c>
      <c r="C18">
        <v>163.51</v>
      </c>
      <c r="D18">
        <v>136.78</v>
      </c>
      <c r="E18">
        <v>118.48</v>
      </c>
      <c r="F18">
        <v>107.35</v>
      </c>
      <c r="H18" t="s">
        <v>25</v>
      </c>
      <c r="I18">
        <f>VLOOKUP(H18,$A$1:F$161,I$2,0)</f>
        <v>19908.330000000002</v>
      </c>
      <c r="J18">
        <f>VLOOKUP(H18,$A$1:F$161,J$2,0)</f>
        <v>17582.669999999998</v>
      </c>
      <c r="K18">
        <f>VLOOKUP(H18,$A$1:F$161,K$2,0)</f>
        <v>13587.62</v>
      </c>
      <c r="L18">
        <f>VLOOKUP(H18,$A$1:F$161,L$2,0)</f>
        <v>13682.89</v>
      </c>
      <c r="M18">
        <f>VLOOKUP(H18,$A$1:F$161,M$2,0)</f>
        <v>11587.93</v>
      </c>
    </row>
    <row r="19" spans="1:13" x14ac:dyDescent="0.25">
      <c r="A19" t="s">
        <v>18</v>
      </c>
      <c r="B19">
        <v>911.8</v>
      </c>
      <c r="C19">
        <v>916.24</v>
      </c>
      <c r="D19">
        <v>939.28</v>
      </c>
      <c r="E19">
        <v>998.52</v>
      </c>
      <c r="F19">
        <v>390.81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ht="15" customHeight="1" x14ac:dyDescent="0.25">
      <c r="A20" t="s">
        <v>19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20</v>
      </c>
      <c r="B21">
        <v>0</v>
      </c>
      <c r="C21">
        <v>0</v>
      </c>
      <c r="D21">
        <v>0</v>
      </c>
      <c r="E21">
        <v>4.3499999999999996</v>
      </c>
      <c r="F21">
        <v>0</v>
      </c>
      <c r="H21" t="s">
        <v>28</v>
      </c>
      <c r="I21">
        <f>VLOOKUP(H21,$A$1:F$161,I$2,0)</f>
        <v>4475.83</v>
      </c>
      <c r="J21">
        <f>VLOOKUP(H21,$A$1:F$161,J$2,0)</f>
        <v>4525.7299999999996</v>
      </c>
      <c r="K21">
        <f>VLOOKUP(H21,$A$1:F$161,K$2,0)</f>
        <v>4875.2299999999996</v>
      </c>
      <c r="L21">
        <f>VLOOKUP(H21,$A$1:F$161,L$2,0)</f>
        <v>5131.2299999999996</v>
      </c>
      <c r="M21">
        <f>VLOOKUP(H21,$A$1:F$161,M$2,0)</f>
        <v>2477.44</v>
      </c>
    </row>
    <row r="22" spans="1:13" x14ac:dyDescent="0.25">
      <c r="A22" t="s">
        <v>21</v>
      </c>
      <c r="B22">
        <v>3497.29</v>
      </c>
      <c r="C22">
        <v>2814.3</v>
      </c>
      <c r="D22">
        <v>1760.08</v>
      </c>
      <c r="E22">
        <v>2062.29</v>
      </c>
      <c r="F22">
        <v>1851.5</v>
      </c>
      <c r="H22" t="s">
        <v>29</v>
      </c>
      <c r="I22">
        <f>VLOOKUP(H22,$A$1:F$161,I$2,0)</f>
        <v>225.47</v>
      </c>
      <c r="J22">
        <f>VLOOKUP(H22,$A$1:F$161,J$2,0)</f>
        <v>110.11</v>
      </c>
      <c r="K22">
        <f>VLOOKUP(H22,$A$1:F$161,K$2,0)</f>
        <v>108.09</v>
      </c>
      <c r="L22">
        <f>VLOOKUP(H22,$A$1:F$161,L$2,0)</f>
        <v>179.31</v>
      </c>
      <c r="M22">
        <f>VLOOKUP(H22,$A$1:F$161,M$2,0)</f>
        <v>1391.84</v>
      </c>
    </row>
    <row r="23" spans="1:13" x14ac:dyDescent="0.25">
      <c r="A23" t="s">
        <v>22</v>
      </c>
      <c r="B23">
        <v>2112.0700000000002</v>
      </c>
      <c r="C23">
        <v>1703.12</v>
      </c>
      <c r="D23">
        <v>1390.83</v>
      </c>
      <c r="E23">
        <v>1722.5</v>
      </c>
      <c r="F23">
        <v>1504.61</v>
      </c>
      <c r="H23" t="s">
        <v>30</v>
      </c>
      <c r="I23">
        <f>VLOOKUP(H23,$A$1:F$161,I$2,0)</f>
        <v>4779.41</v>
      </c>
      <c r="J23">
        <f>VLOOKUP(H23,$A$1:F$161,J$2,0)</f>
        <v>4712.72</v>
      </c>
      <c r="K23">
        <f>VLOOKUP(H23,$A$1:F$161,K$2,0)</f>
        <v>5068.95</v>
      </c>
      <c r="L23">
        <f>VLOOKUP(H23,$A$1:F$161,L$2,0)</f>
        <v>5400.51</v>
      </c>
      <c r="M23">
        <f>VLOOKUP(H23,$A$1:F$161,M$2,0)</f>
        <v>3960.37</v>
      </c>
    </row>
    <row r="24" spans="1:13" x14ac:dyDescent="0.25">
      <c r="A24" t="s">
        <v>23</v>
      </c>
      <c r="B24">
        <v>38.08</v>
      </c>
      <c r="C24">
        <v>57.91</v>
      </c>
      <c r="D24">
        <v>44.14</v>
      </c>
      <c r="E24">
        <v>52.27</v>
      </c>
      <c r="F24">
        <v>42.85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24</v>
      </c>
      <c r="B25">
        <v>5647.44</v>
      </c>
      <c r="C25">
        <v>4575.33</v>
      </c>
      <c r="D25">
        <v>3195.05</v>
      </c>
      <c r="E25">
        <v>3841.41</v>
      </c>
      <c r="F25">
        <v>3398.96</v>
      </c>
      <c r="H25" t="s">
        <v>33</v>
      </c>
      <c r="I25">
        <f>VLOOKUP(H25,$A$1:F$161,I$2,0)</f>
        <v>0</v>
      </c>
      <c r="J25">
        <f>VLOOKUP(H25,$A$1:F$161,J$2,0)</f>
        <v>0</v>
      </c>
      <c r="K25">
        <f>VLOOKUP(H25,$A$1:F$161,K$2,0)</f>
        <v>64.11</v>
      </c>
      <c r="L25">
        <f>VLOOKUP(H25,$A$1:F$161,L$2,0)</f>
        <v>76</v>
      </c>
      <c r="M25">
        <f>VLOOKUP(H25,$A$1:F$161,M$2,0)</f>
        <v>79.08</v>
      </c>
    </row>
    <row r="26" spans="1:13" x14ac:dyDescent="0.25">
      <c r="A26" t="s">
        <v>25</v>
      </c>
      <c r="B26">
        <v>19908.330000000002</v>
      </c>
      <c r="C26">
        <v>17582.669999999998</v>
      </c>
      <c r="D26">
        <v>13587.62</v>
      </c>
      <c r="E26">
        <v>13682.89</v>
      </c>
      <c r="F26">
        <v>11587.93</v>
      </c>
      <c r="H26" t="s">
        <v>34</v>
      </c>
      <c r="I26">
        <f>VLOOKUP(H26,$A$1:F$161,I$2,0)</f>
        <v>734.75</v>
      </c>
      <c r="J26">
        <f>VLOOKUP(H26,$A$1:F$161,J$2,0)</f>
        <v>751.47</v>
      </c>
      <c r="K26">
        <f>VLOOKUP(H26,$A$1:F$161,K$2,0)</f>
        <v>403.28</v>
      </c>
      <c r="L26">
        <f>VLOOKUP(H26,$A$1:F$161,L$2,0)</f>
        <v>335.66</v>
      </c>
      <c r="M26">
        <f>VLOOKUP(H26,$A$1:F$161,M$2,0)</f>
        <v>500.06</v>
      </c>
    </row>
    <row r="27" spans="1:13" x14ac:dyDescent="0.25">
      <c r="A27" t="s">
        <v>26</v>
      </c>
      <c r="H27" t="s">
        <v>35</v>
      </c>
      <c r="I27">
        <f>VLOOKUP(H27,$A$1:F$161,I$2,0)</f>
        <v>7160.41</v>
      </c>
      <c r="J27">
        <f>VLOOKUP(H27,$A$1:F$161,J$2,0)</f>
        <v>7626.13</v>
      </c>
      <c r="K27">
        <f>VLOOKUP(H27,$A$1:F$161,K$2,0)</f>
        <v>7761.92</v>
      </c>
      <c r="L27">
        <f>VLOOKUP(H27,$A$1:F$161,L$2,0)</f>
        <v>7629.54</v>
      </c>
      <c r="M27">
        <f>VLOOKUP(H27,$A$1:F$161,M$2,0)</f>
        <v>6086.84</v>
      </c>
    </row>
    <row r="28" spans="1:13" ht="24" customHeight="1" x14ac:dyDescent="0.25">
      <c r="A28" t="s">
        <v>27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28</v>
      </c>
      <c r="B29">
        <v>4475.83</v>
      </c>
      <c r="C29">
        <v>4525.7299999999996</v>
      </c>
      <c r="D29">
        <v>4875.2299999999996</v>
      </c>
      <c r="E29">
        <v>5131.2299999999996</v>
      </c>
      <c r="F29">
        <v>2477.44</v>
      </c>
      <c r="H29" t="s">
        <v>38</v>
      </c>
      <c r="I29">
        <f>VLOOKUP(H29,$A$1:F$161,I$2,0)</f>
        <v>5277.61</v>
      </c>
      <c r="J29">
        <f>VLOOKUP(H29,$A$1:F$161,J$2,0)</f>
        <v>3124.61</v>
      </c>
      <c r="K29">
        <f>VLOOKUP(H29,$A$1:F$161,K$2,0)</f>
        <v>2827.47</v>
      </c>
      <c r="L29">
        <f>VLOOKUP(H29,$A$1:F$161,L$2,0)</f>
        <v>2585.1</v>
      </c>
      <c r="M29">
        <f>VLOOKUP(H29,$A$1:F$161,M$2,0)</f>
        <v>2178.4299999999998</v>
      </c>
    </row>
    <row r="30" spans="1:13" x14ac:dyDescent="0.25">
      <c r="A30" t="s">
        <v>106</v>
      </c>
      <c r="B30">
        <v>78.11</v>
      </c>
      <c r="C30">
        <v>76.88</v>
      </c>
      <c r="D30">
        <v>85.63</v>
      </c>
      <c r="E30">
        <v>89.97</v>
      </c>
      <c r="F30">
        <v>91.09</v>
      </c>
      <c r="H30" t="s">
        <v>39</v>
      </c>
      <c r="I30">
        <f>VLOOKUP(H30,$A$1:F$161,I$2,0)</f>
        <v>2915.77</v>
      </c>
      <c r="J30">
        <f>VLOOKUP(H30,$A$1:F$161,J$2,0)</f>
        <v>1809.75</v>
      </c>
      <c r="K30">
        <f>VLOOKUP(H30,$A$1:F$161,K$2,0)</f>
        <v>1109.22</v>
      </c>
      <c r="L30">
        <f>VLOOKUP(H30,$A$1:F$161,L$2,0)</f>
        <v>1244.95</v>
      </c>
      <c r="M30">
        <f>VLOOKUP(H30,$A$1:F$161,M$2,0)</f>
        <v>1138.2</v>
      </c>
    </row>
    <row r="31" spans="1:13" x14ac:dyDescent="0.25">
      <c r="A31" t="s">
        <v>29</v>
      </c>
      <c r="B31">
        <v>225.47</v>
      </c>
      <c r="C31">
        <v>110.11</v>
      </c>
      <c r="D31">
        <v>108.09</v>
      </c>
      <c r="E31">
        <v>179.31</v>
      </c>
      <c r="F31">
        <v>1391.84</v>
      </c>
      <c r="H31" t="s">
        <v>40</v>
      </c>
      <c r="I31">
        <f>VLOOKUP(H31,$A$1:F$161,I$2,0)</f>
        <v>308.57</v>
      </c>
      <c r="J31">
        <f>VLOOKUP(H31,$A$1:F$161,J$2,0)</f>
        <v>134.91</v>
      </c>
      <c r="K31">
        <f>VLOOKUP(H31,$A$1:F$161,K$2,0)</f>
        <v>376.06</v>
      </c>
      <c r="L31">
        <f>VLOOKUP(H31,$A$1:F$161,L$2,0)</f>
        <v>167.52</v>
      </c>
      <c r="M31">
        <f>VLOOKUP(H31,$A$1:F$161,M$2,0)</f>
        <v>120.84</v>
      </c>
    </row>
    <row r="32" spans="1:13" x14ac:dyDescent="0.25">
      <c r="A32" t="s">
        <v>30</v>
      </c>
      <c r="B32">
        <v>4779.41</v>
      </c>
      <c r="C32">
        <v>4712.72</v>
      </c>
      <c r="D32">
        <v>5068.95</v>
      </c>
      <c r="E32">
        <v>5400.51</v>
      </c>
      <c r="F32">
        <v>3960.37</v>
      </c>
      <c r="H32" t="s">
        <v>41</v>
      </c>
      <c r="I32">
        <f>VLOOKUP(H32,$A$1:F$161,I$2,0)</f>
        <v>0</v>
      </c>
      <c r="J32">
        <f>VLOOKUP(H32,$A$1:F$161,J$2,0)</f>
        <v>0</v>
      </c>
      <c r="K32">
        <f>VLOOKUP(H32,$A$1:F$161,K$2,0)</f>
        <v>21.31</v>
      </c>
      <c r="L32">
        <f>VLOOKUP(H32,$A$1:F$161,L$2,0)</f>
        <v>13.98</v>
      </c>
      <c r="M32">
        <f>VLOOKUP(H32,$A$1:F$161,M$2,0)</f>
        <v>12.17</v>
      </c>
    </row>
    <row r="33" spans="1:13" x14ac:dyDescent="0.25">
      <c r="A33" t="s">
        <v>31</v>
      </c>
      <c r="B33">
        <v>1646.25</v>
      </c>
      <c r="C33">
        <v>2161.94</v>
      </c>
      <c r="D33">
        <v>2225.58</v>
      </c>
      <c r="E33">
        <v>1817.37</v>
      </c>
      <c r="F33">
        <v>1547.33</v>
      </c>
      <c r="H33" t="s">
        <v>42</v>
      </c>
      <c r="I33">
        <f>VLOOKUP(H33,$A$1:F$161,I$2,0)</f>
        <v>2081.63</v>
      </c>
      <c r="J33">
        <f>VLOOKUP(H33,$A$1:F$161,J$2,0)</f>
        <v>1708.46</v>
      </c>
      <c r="K33">
        <f>VLOOKUP(H33,$A$1:F$161,K$2,0)</f>
        <v>1059.29</v>
      </c>
      <c r="L33">
        <f>VLOOKUP(H33,$A$1:F$161,L$2,0)</f>
        <v>895.17</v>
      </c>
      <c r="M33">
        <f>VLOOKUP(H33,$A$1:F$161,M$2,0)</f>
        <v>1021.44</v>
      </c>
    </row>
    <row r="34" spans="1:13" x14ac:dyDescent="0.25">
      <c r="A34" t="s">
        <v>33</v>
      </c>
      <c r="B34">
        <v>0</v>
      </c>
      <c r="C34">
        <v>0</v>
      </c>
      <c r="D34">
        <v>64.11</v>
      </c>
      <c r="E34">
        <v>76</v>
      </c>
      <c r="F34">
        <v>79.08</v>
      </c>
      <c r="H34" t="s">
        <v>43</v>
      </c>
      <c r="I34">
        <f>VLOOKUP(H34,$A$1:F$161,I$2,0)</f>
        <v>12747.92</v>
      </c>
      <c r="J34">
        <f>VLOOKUP(H34,$A$1:F$161,J$2,0)</f>
        <v>9956.5400000000009</v>
      </c>
      <c r="K34">
        <f>VLOOKUP(H34,$A$1:F$161,K$2,0)</f>
        <v>5825.7</v>
      </c>
      <c r="L34">
        <f>VLOOKUP(H34,$A$1:F$161,L$2,0)</f>
        <v>6053.35</v>
      </c>
      <c r="M34">
        <f>VLOOKUP(H34,$A$1:F$161,M$2,0)</f>
        <v>5500.17</v>
      </c>
    </row>
    <row r="35" spans="1:13" x14ac:dyDescent="0.25">
      <c r="A35" t="s">
        <v>34</v>
      </c>
      <c r="B35">
        <v>734.75</v>
      </c>
      <c r="C35">
        <v>751.47</v>
      </c>
      <c r="D35">
        <v>403.28</v>
      </c>
      <c r="E35">
        <v>335.66</v>
      </c>
      <c r="F35">
        <v>500.06</v>
      </c>
      <c r="H35" t="s">
        <v>44</v>
      </c>
      <c r="I35">
        <f>VLOOKUP(H35,$A$1:F$161,I$2,0)</f>
        <v>19908.330000000002</v>
      </c>
      <c r="J35">
        <f>VLOOKUP(H35,$A$1:F$161,J$2,0)</f>
        <v>17582.669999999998</v>
      </c>
      <c r="K35">
        <f>VLOOKUP(H35,$A$1:F$161,K$2,0)</f>
        <v>13587.62</v>
      </c>
      <c r="L35">
        <f>VLOOKUP(H35,$A$1:F$161,L$2,0)</f>
        <v>13682.89</v>
      </c>
      <c r="M35">
        <f>VLOOKUP(H35,$A$1:F$161,M$2,0)</f>
        <v>11587.93</v>
      </c>
    </row>
    <row r="36" spans="1:13" x14ac:dyDescent="0.25">
      <c r="A36" t="s">
        <v>35</v>
      </c>
      <c r="B36">
        <v>7160.41</v>
      </c>
      <c r="C36">
        <v>7626.13</v>
      </c>
      <c r="D36">
        <v>7761.92</v>
      </c>
      <c r="E36">
        <v>7629.54</v>
      </c>
      <c r="F36">
        <v>6086.84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ht="15" customHeight="1" x14ac:dyDescent="0.25">
      <c r="A37" t="s">
        <v>36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37</v>
      </c>
      <c r="B38">
        <v>2164.34</v>
      </c>
      <c r="C38">
        <v>3178.81</v>
      </c>
      <c r="D38">
        <v>432.35</v>
      </c>
      <c r="E38">
        <v>1146.6300000000001</v>
      </c>
      <c r="F38">
        <v>1030.01</v>
      </c>
      <c r="H38" t="s">
        <v>47</v>
      </c>
      <c r="I38">
        <f>VLOOKUP(H38,$A$1:F$161,I$2,0)</f>
        <v>1225.43</v>
      </c>
      <c r="J38">
        <f>VLOOKUP(H38,$A$1:F$161,J$2,0)</f>
        <v>516.36</v>
      </c>
      <c r="K38">
        <f>VLOOKUP(H38,$A$1:F$161,K$2,0)</f>
        <v>390.08</v>
      </c>
      <c r="L38">
        <f>VLOOKUP(H38,$A$1:F$161,L$2,0)</f>
        <v>333.86</v>
      </c>
      <c r="M38">
        <f>VLOOKUP(H38,$A$1:F$161,M$2,0)</f>
        <v>1108.5</v>
      </c>
    </row>
    <row r="39" spans="1:13" x14ac:dyDescent="0.25">
      <c r="A39" t="s">
        <v>38</v>
      </c>
      <c r="B39">
        <v>5277.61</v>
      </c>
      <c r="C39">
        <v>3124.61</v>
      </c>
      <c r="D39">
        <v>2827.47</v>
      </c>
      <c r="E39">
        <v>2585.1</v>
      </c>
      <c r="F39">
        <v>2178.4299999999998</v>
      </c>
      <c r="H39" t="s">
        <v>62</v>
      </c>
      <c r="I39">
        <f>VLOOKUP(H39,$A$1:F$161,I$2,0)</f>
        <v>2164.34</v>
      </c>
      <c r="J39">
        <f>VLOOKUP(H39,$A$1:F$161,J$2,0)</f>
        <v>3178.81</v>
      </c>
      <c r="K39">
        <f>VLOOKUP(H39,$A$1:F$161,K$2,0)</f>
        <v>432.35</v>
      </c>
      <c r="L39">
        <f>VLOOKUP(H39,$A$1:F$161,L$2,0)</f>
        <v>1146.6300000000001</v>
      </c>
      <c r="M39">
        <f>VLOOKUP(H39,$A$1:F$161,M$2,0)</f>
        <v>1030.01</v>
      </c>
    </row>
    <row r="40" spans="1:13" x14ac:dyDescent="0.25">
      <c r="A40" t="s">
        <v>39</v>
      </c>
      <c r="B40">
        <v>2915.77</v>
      </c>
      <c r="C40">
        <v>1809.75</v>
      </c>
      <c r="D40">
        <v>1109.22</v>
      </c>
      <c r="E40">
        <v>1244.95</v>
      </c>
      <c r="F40">
        <v>1138.2</v>
      </c>
      <c r="H40" t="s">
        <v>63</v>
      </c>
      <c r="I40">
        <f>VLOOKUP(H40,$A$1:F$161,I$2,0)</f>
        <v>2164.34</v>
      </c>
      <c r="J40">
        <f>VLOOKUP(H40,$A$1:F$161,J$2,0)</f>
        <v>3178.81</v>
      </c>
      <c r="K40">
        <f>VLOOKUP(H40,$A$1:F$161,K$2,0)</f>
        <v>432.35</v>
      </c>
      <c r="L40">
        <f>VLOOKUP(H40,$A$1:F$161,L$2,0)</f>
        <v>1146.6300000000001</v>
      </c>
      <c r="M40" t="str">
        <f>VLOOKUP(H40,$A$1:F$161,M$2,0)</f>
        <v>-</v>
      </c>
    </row>
    <row r="41" spans="1:13" x14ac:dyDescent="0.25">
      <c r="A41" t="s">
        <v>40</v>
      </c>
      <c r="B41">
        <v>308.57</v>
      </c>
      <c r="C41">
        <v>134.91</v>
      </c>
      <c r="D41">
        <v>376.06</v>
      </c>
      <c r="E41">
        <v>167.52</v>
      </c>
      <c r="F41">
        <v>120.84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41</v>
      </c>
      <c r="B42">
        <v>0</v>
      </c>
      <c r="C42">
        <v>0</v>
      </c>
      <c r="D42">
        <v>21.31</v>
      </c>
      <c r="E42">
        <v>13.98</v>
      </c>
      <c r="F42">
        <v>12.17</v>
      </c>
      <c r="H42" t="s">
        <v>66</v>
      </c>
      <c r="I42" t="str">
        <f>VLOOKUP(H42,$A$1:F$161,I$2,0)</f>
        <v>------------------- in Rs. Cr. -------------------</v>
      </c>
      <c r="J42">
        <f>VLOOKUP(H42,$A$1:F$161,J$2,0)</f>
        <v>0</v>
      </c>
      <c r="K42">
        <f>VLOOKUP(H42,$A$1:F$161,K$2,0)</f>
        <v>0</v>
      </c>
      <c r="L42">
        <f>VLOOKUP(H42,$A$1:F$161,L$2,0)</f>
        <v>0</v>
      </c>
      <c r="M42">
        <f>VLOOKUP(H42,$A$1:F$161,M$2,0)</f>
        <v>0</v>
      </c>
    </row>
    <row r="43" spans="1:13" x14ac:dyDescent="0.25">
      <c r="A43" t="s">
        <v>42</v>
      </c>
      <c r="B43">
        <v>2081.63</v>
      </c>
      <c r="C43">
        <v>1708.46</v>
      </c>
      <c r="D43">
        <v>1059.29</v>
      </c>
      <c r="E43">
        <v>895.17</v>
      </c>
      <c r="F43">
        <v>1021.44</v>
      </c>
      <c r="H43" t="s">
        <v>68</v>
      </c>
      <c r="I43">
        <f>VLOOKUP(H43,$A$1:F$161,I$2,0)</f>
        <v>25002.09</v>
      </c>
      <c r="J43">
        <f>VLOOKUP(H43,$A$1:F$161,J$2,0)</f>
        <v>18280.060000000001</v>
      </c>
      <c r="K43">
        <f>VLOOKUP(H43,$A$1:F$161,K$2,0)</f>
        <v>17025.61</v>
      </c>
      <c r="L43">
        <f>VLOOKUP(H43,$A$1:F$161,L$2,0)</f>
        <v>16209.44</v>
      </c>
      <c r="M43">
        <f>VLOOKUP(H43,$A$1:F$161,M$2,0)</f>
        <v>14329.17</v>
      </c>
    </row>
    <row r="44" spans="1:13" x14ac:dyDescent="0.25">
      <c r="A44" t="s">
        <v>43</v>
      </c>
      <c r="B44">
        <v>12747.92</v>
      </c>
      <c r="C44">
        <v>9956.5400000000009</v>
      </c>
      <c r="D44">
        <v>5825.7</v>
      </c>
      <c r="E44">
        <v>6053.35</v>
      </c>
      <c r="F44">
        <v>5500.17</v>
      </c>
      <c r="H44" t="s">
        <v>70</v>
      </c>
      <c r="I44">
        <f>VLOOKUP(H44,$A$1:F$161,I$2,0)</f>
        <v>25002.09</v>
      </c>
      <c r="J44">
        <f>VLOOKUP(H44,$A$1:F$161,J$2,0)</f>
        <v>18280.060000000001</v>
      </c>
      <c r="K44">
        <f>VLOOKUP(H44,$A$1:F$161,K$2,0)</f>
        <v>17025.61</v>
      </c>
      <c r="L44">
        <f>VLOOKUP(H44,$A$1:F$161,L$2,0)</f>
        <v>16209.44</v>
      </c>
      <c r="M44">
        <f>VLOOKUP(H44,$A$1:F$161,M$2,0)</f>
        <v>13937.48</v>
      </c>
    </row>
    <row r="45" spans="1:13" x14ac:dyDescent="0.25">
      <c r="A45" t="s">
        <v>44</v>
      </c>
      <c r="B45">
        <v>19908.330000000002</v>
      </c>
      <c r="C45">
        <v>17582.669999999998</v>
      </c>
      <c r="D45">
        <v>13587.62</v>
      </c>
      <c r="E45">
        <v>13682.89</v>
      </c>
      <c r="F45">
        <v>11587.93</v>
      </c>
      <c r="H45" t="s">
        <v>71</v>
      </c>
      <c r="I45">
        <f>VLOOKUP(H45,$A$1:F$161,I$2,0)</f>
        <v>186.42</v>
      </c>
      <c r="J45">
        <f>VLOOKUP(H45,$A$1:F$161,J$2,0)</f>
        <v>236.8</v>
      </c>
      <c r="K45">
        <f>VLOOKUP(H45,$A$1:F$161,K$2,0)</f>
        <v>168.48</v>
      </c>
      <c r="L45">
        <f>VLOOKUP(H45,$A$1:F$161,L$2,0)</f>
        <v>182.34</v>
      </c>
      <c r="M45">
        <f>VLOOKUP(H45,$A$1:F$161,M$2,0)</f>
        <v>230.38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25188.51</v>
      </c>
      <c r="J46">
        <f>VLOOKUP(H46,$A$1:F$161,J$2,0)</f>
        <v>18516.86</v>
      </c>
      <c r="K46">
        <f>VLOOKUP(H46,$A$1:F$161,K$2,0)</f>
        <v>17194.09</v>
      </c>
      <c r="L46">
        <f>VLOOKUP(H46,$A$1:F$161,L$2,0)</f>
        <v>16391.78</v>
      </c>
      <c r="M46">
        <f>VLOOKUP(H46,$A$1:F$161,M$2,0)</f>
        <v>14167.86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451.89</v>
      </c>
      <c r="J47">
        <f>VLOOKUP(H47,$A$1:F$161,J$2,0)</f>
        <v>366.02</v>
      </c>
      <c r="K47">
        <f>VLOOKUP(H47,$A$1:F$161,K$2,0)</f>
        <v>357.54</v>
      </c>
      <c r="L47">
        <f>VLOOKUP(H47,$A$1:F$161,L$2,0)</f>
        <v>284.81</v>
      </c>
      <c r="M47">
        <f>VLOOKUP(H47,$A$1:F$161,M$2,0)</f>
        <v>277.5</v>
      </c>
    </row>
    <row r="48" spans="1:13" x14ac:dyDescent="0.25">
      <c r="A48" t="s">
        <v>47</v>
      </c>
      <c r="B48">
        <v>1225.43</v>
      </c>
      <c r="C48">
        <v>516.36</v>
      </c>
      <c r="D48">
        <v>390.08</v>
      </c>
      <c r="E48">
        <v>333.86</v>
      </c>
      <c r="F48">
        <v>1108.5</v>
      </c>
      <c r="H48" t="s">
        <v>74</v>
      </c>
      <c r="I48">
        <f>VLOOKUP(H48,$A$1:F$161,I$2,0)</f>
        <v>25640.400000000001</v>
      </c>
      <c r="J48">
        <f>VLOOKUP(H48,$A$1:F$161,J$2,0)</f>
        <v>18882.88</v>
      </c>
      <c r="K48">
        <f>VLOOKUP(H48,$A$1:F$161,K$2,0)</f>
        <v>17551.63</v>
      </c>
      <c r="L48">
        <f>VLOOKUP(H48,$A$1:F$161,L$2,0)</f>
        <v>16676.59</v>
      </c>
      <c r="M48">
        <f>VLOOKUP(H48,$A$1:F$161,M$2,0)</f>
        <v>14445.36</v>
      </c>
    </row>
    <row r="49" spans="1:13" ht="24" customHeight="1" x14ac:dyDescent="0.25">
      <c r="A49" t="s">
        <v>48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49</v>
      </c>
      <c r="H50" t="s">
        <v>76</v>
      </c>
      <c r="I50">
        <f>VLOOKUP(H50,$A$1:F$161,I$2,0)</f>
        <v>13838.9</v>
      </c>
      <c r="J50">
        <f>VLOOKUP(H50,$A$1:F$161,J$2,0)</f>
        <v>8524.17</v>
      </c>
      <c r="K50">
        <f>VLOOKUP(H50,$A$1:F$161,K$2,0)</f>
        <v>8432.51</v>
      </c>
      <c r="L50">
        <f>VLOOKUP(H50,$A$1:F$161,L$2,0)</f>
        <v>8647.82</v>
      </c>
      <c r="M50">
        <f>VLOOKUP(H50,$A$1:F$161,M$2,0)</f>
        <v>7100.16</v>
      </c>
    </row>
    <row r="51" spans="1:13" x14ac:dyDescent="0.25">
      <c r="A51" t="s">
        <v>50</v>
      </c>
      <c r="B51">
        <v>4156.76</v>
      </c>
      <c r="C51">
        <v>2087.5500000000002</v>
      </c>
      <c r="D51">
        <v>2831.58</v>
      </c>
      <c r="E51">
        <v>2756.99</v>
      </c>
      <c r="F51">
        <v>2647.44</v>
      </c>
      <c r="H51" t="s">
        <v>77</v>
      </c>
      <c r="I51">
        <f>VLOOKUP(H51,$A$1:F$161,I$2,0)</f>
        <v>2978.69</v>
      </c>
      <c r="J51">
        <f>VLOOKUP(H51,$A$1:F$161,J$2,0)</f>
        <v>1649.06</v>
      </c>
      <c r="K51">
        <f>VLOOKUP(H51,$A$1:F$161,K$2,0)</f>
        <v>1283.8800000000001</v>
      </c>
      <c r="L51">
        <f>VLOOKUP(H51,$A$1:F$161,L$2,0)</f>
        <v>1010.66</v>
      </c>
      <c r="M51">
        <f>VLOOKUP(H51,$A$1:F$161,M$2,0)</f>
        <v>742.57</v>
      </c>
    </row>
    <row r="52" spans="1:13" ht="48" customHeight="1" x14ac:dyDescent="0.25">
      <c r="A52" t="s">
        <v>51</v>
      </c>
      <c r="H52" t="s">
        <v>78</v>
      </c>
      <c r="I52">
        <f>VLOOKUP(H52,$A$1:F$161,I$2,0)</f>
        <v>-1208.6300000000001</v>
      </c>
      <c r="J52">
        <f>VLOOKUP(H52,$A$1:F$161,J$2,0)</f>
        <v>-90.7</v>
      </c>
      <c r="K52">
        <f>VLOOKUP(H52,$A$1:F$161,K$2,0)</f>
        <v>-210.21</v>
      </c>
      <c r="L52">
        <f>VLOOKUP(H52,$A$1:F$161,L$2,0)</f>
        <v>-247.86</v>
      </c>
      <c r="M52">
        <f>VLOOKUP(H52,$A$1:F$161,M$2,0)</f>
        <v>154.12</v>
      </c>
    </row>
    <row r="53" spans="1:13" x14ac:dyDescent="0.25">
      <c r="A53" t="s">
        <v>52</v>
      </c>
      <c r="B53" t="s">
        <v>53</v>
      </c>
      <c r="C53" t="s">
        <v>53</v>
      </c>
      <c r="D53" t="s">
        <v>53</v>
      </c>
      <c r="E53" t="s">
        <v>53</v>
      </c>
      <c r="F53" t="s">
        <v>53</v>
      </c>
      <c r="H53" t="s">
        <v>79</v>
      </c>
      <c r="I53">
        <f>VLOOKUP(H53,$A$1:F$161,I$2,0)</f>
        <v>1310.1400000000001</v>
      </c>
      <c r="J53">
        <f>VLOOKUP(H53,$A$1:F$161,J$2,0)</f>
        <v>1128.6600000000001</v>
      </c>
      <c r="K53">
        <f>VLOOKUP(H53,$A$1:F$161,K$2,0)</f>
        <v>985.43</v>
      </c>
      <c r="L53">
        <f>VLOOKUP(H53,$A$1:F$161,L$2,0)</f>
        <v>900.14</v>
      </c>
      <c r="M53">
        <f>VLOOKUP(H53,$A$1:F$161,M$2,0)</f>
        <v>791.08</v>
      </c>
    </row>
    <row r="54" spans="1:13" ht="24" customHeight="1" x14ac:dyDescent="0.25">
      <c r="A54" t="s">
        <v>54</v>
      </c>
      <c r="H54" t="s">
        <v>80</v>
      </c>
      <c r="I54">
        <f>VLOOKUP(H54,$A$1:F$161,I$2,0)</f>
        <v>70.25</v>
      </c>
      <c r="J54">
        <f>VLOOKUP(H54,$A$1:F$161,J$2,0)</f>
        <v>71.66</v>
      </c>
      <c r="K54">
        <f>VLOOKUP(H54,$A$1:F$161,K$2,0)</f>
        <v>78.38</v>
      </c>
      <c r="L54">
        <f>VLOOKUP(H54,$A$1:F$161,L$2,0)</f>
        <v>78.599999999999994</v>
      </c>
      <c r="M54">
        <f>VLOOKUP(H54,$A$1:F$161,M$2,0)</f>
        <v>21.06</v>
      </c>
    </row>
    <row r="55" spans="1:13" x14ac:dyDescent="0.25">
      <c r="A55" t="s">
        <v>55</v>
      </c>
      <c r="B55" t="s">
        <v>53</v>
      </c>
      <c r="C55" t="s">
        <v>53</v>
      </c>
      <c r="D55" t="s">
        <v>53</v>
      </c>
      <c r="E55" t="s">
        <v>53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56</v>
      </c>
      <c r="B56">
        <v>185.03</v>
      </c>
      <c r="C56">
        <v>118.85</v>
      </c>
      <c r="D56">
        <v>140.83000000000001</v>
      </c>
      <c r="E56">
        <v>147.31</v>
      </c>
      <c r="F56">
        <v>147.21</v>
      </c>
      <c r="H56" t="s">
        <v>82</v>
      </c>
      <c r="I56">
        <f>VLOOKUP(H56,$A$1:F$161,I$2,0)</f>
        <v>721.56</v>
      </c>
      <c r="J56">
        <f>VLOOKUP(H56,$A$1:F$161,J$2,0)</f>
        <v>697.47</v>
      </c>
      <c r="K56">
        <f>VLOOKUP(H56,$A$1:F$161,K$2,0)</f>
        <v>689.97</v>
      </c>
      <c r="L56">
        <f>VLOOKUP(H56,$A$1:F$161,L$2,0)</f>
        <v>540.77</v>
      </c>
      <c r="M56">
        <f>VLOOKUP(H56,$A$1:F$161,M$2,0)</f>
        <v>311.11</v>
      </c>
    </row>
    <row r="57" spans="1:13" ht="15" customHeight="1" x14ac:dyDescent="0.25">
      <c r="A57" t="s">
        <v>57</v>
      </c>
      <c r="H57" t="s">
        <v>83</v>
      </c>
      <c r="I57">
        <f>VLOOKUP(H57,$A$1:F$161,I$2,0)</f>
        <v>3681.62</v>
      </c>
      <c r="J57">
        <f>VLOOKUP(H57,$A$1:F$161,J$2,0)</f>
        <v>2812.89</v>
      </c>
      <c r="K57">
        <f>VLOOKUP(H57,$A$1:F$161,K$2,0)</f>
        <v>2845.44</v>
      </c>
      <c r="L57">
        <f>VLOOKUP(H57,$A$1:F$161,L$2,0)</f>
        <v>2576.21</v>
      </c>
      <c r="M57">
        <f>VLOOKUP(H57,$A$1:F$161,M$2,0)</f>
        <v>2459.4299999999998</v>
      </c>
    </row>
    <row r="58" spans="1:13" x14ac:dyDescent="0.25">
      <c r="A58" t="s">
        <v>58</v>
      </c>
      <c r="B58">
        <v>93.99</v>
      </c>
      <c r="C58">
        <v>93.99</v>
      </c>
      <c r="D58">
        <v>93.99</v>
      </c>
      <c r="E58">
        <v>93.99</v>
      </c>
      <c r="F58">
        <v>93.99</v>
      </c>
      <c r="H58" t="s">
        <v>84</v>
      </c>
      <c r="I58">
        <f>VLOOKUP(H58,$A$1:F$161,I$2,0)</f>
        <v>21392.53</v>
      </c>
      <c r="J58">
        <f>VLOOKUP(H58,$A$1:F$161,J$2,0)</f>
        <v>14793.21</v>
      </c>
      <c r="K58">
        <f>VLOOKUP(H58,$A$1:F$161,K$2,0)</f>
        <v>14105.4</v>
      </c>
      <c r="L58">
        <f>VLOOKUP(H58,$A$1:F$161,L$2,0)</f>
        <v>13506.34</v>
      </c>
      <c r="M58">
        <f>VLOOKUP(H58,$A$1:F$161,M$2,0)</f>
        <v>11579.53</v>
      </c>
    </row>
    <row r="59" spans="1:13" ht="24" customHeight="1" x14ac:dyDescent="0.25">
      <c r="A59" t="s">
        <v>59</v>
      </c>
      <c r="H59" t="s">
        <v>85</v>
      </c>
      <c r="I59">
        <f>VLOOKUP(H59,$A$1:F$161,I$2,0)</f>
        <v>4247.87</v>
      </c>
      <c r="J59">
        <f>VLOOKUP(H59,$A$1:F$161,J$2,0)</f>
        <v>4089.67</v>
      </c>
      <c r="K59">
        <f>VLOOKUP(H59,$A$1:F$161,K$2,0)</f>
        <v>3446.23</v>
      </c>
      <c r="L59">
        <f>VLOOKUP(H59,$A$1:F$161,L$2,0)</f>
        <v>3170.25</v>
      </c>
      <c r="M59">
        <f>VLOOKUP(H59,$A$1:F$161,M$2,0)</f>
        <v>2865.83</v>
      </c>
    </row>
    <row r="60" spans="1:13" x14ac:dyDescent="0.25">
      <c r="A60" t="s">
        <v>60</v>
      </c>
      <c r="B60">
        <v>549.62</v>
      </c>
      <c r="C60">
        <v>983.88</v>
      </c>
      <c r="D60">
        <v>1047.52</v>
      </c>
      <c r="E60">
        <v>985.95</v>
      </c>
      <c r="F60">
        <v>715.91</v>
      </c>
      <c r="H60" t="s">
        <v>87</v>
      </c>
      <c r="I60">
        <f>VLOOKUP(H60,$A$1:F$161,I$2,0)</f>
        <v>4194.1400000000003</v>
      </c>
      <c r="J60">
        <f>VLOOKUP(H60,$A$1:F$161,J$2,0)</f>
        <v>4089.67</v>
      </c>
      <c r="K60">
        <f>VLOOKUP(H60,$A$1:F$161,K$2,0)</f>
        <v>3413.03</v>
      </c>
      <c r="L60">
        <f>VLOOKUP(H60,$A$1:F$161,L$2,0)</f>
        <v>3170.25</v>
      </c>
      <c r="M60">
        <f>VLOOKUP(H60,$A$1:F$161,M$2,0)</f>
        <v>2865.83</v>
      </c>
    </row>
    <row r="61" spans="1:13" x14ac:dyDescent="0.25">
      <c r="A61" t="s">
        <v>61</v>
      </c>
      <c r="B61" t="s">
        <v>53</v>
      </c>
      <c r="C61" t="s">
        <v>53</v>
      </c>
      <c r="D61">
        <v>1178.06</v>
      </c>
      <c r="E61">
        <v>831.42</v>
      </c>
      <c r="F61">
        <v>831.42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ht="24" customHeight="1" x14ac:dyDescent="0.25">
      <c r="A62" t="s">
        <v>62</v>
      </c>
      <c r="H62" t="s">
        <v>89</v>
      </c>
      <c r="I62">
        <f>VLOOKUP(H62,$A$1:F$161,I$2,0)</f>
        <v>1107.29</v>
      </c>
      <c r="J62">
        <f>VLOOKUP(H62,$A$1:F$161,J$2,0)</f>
        <v>1052.72</v>
      </c>
      <c r="K62">
        <f>VLOOKUP(H62,$A$1:F$161,K$2,0)</f>
        <v>871.15</v>
      </c>
      <c r="L62">
        <f>VLOOKUP(H62,$A$1:F$161,L$2,0)</f>
        <v>881.64</v>
      </c>
      <c r="M62">
        <f>VLOOKUP(H62,$A$1:F$161,M$2,0)</f>
        <v>968.87</v>
      </c>
    </row>
    <row r="63" spans="1:13" x14ac:dyDescent="0.25">
      <c r="A63" t="s">
        <v>63</v>
      </c>
      <c r="B63">
        <v>2164.34</v>
      </c>
      <c r="C63">
        <v>3178.81</v>
      </c>
      <c r="D63">
        <v>432.35</v>
      </c>
      <c r="E63">
        <v>1146.6300000000001</v>
      </c>
      <c r="F63" t="s">
        <v>53</v>
      </c>
      <c r="H63" t="s">
        <v>90</v>
      </c>
      <c r="I63">
        <f>VLOOKUP(H63,$A$1:F$161,I$2,0)</f>
        <v>-51.02</v>
      </c>
      <c r="J63">
        <f>VLOOKUP(H63,$A$1:F$161,J$2,0)</f>
        <v>-21.31</v>
      </c>
      <c r="K63">
        <f>VLOOKUP(H63,$A$1:F$161,K$2,0)</f>
        <v>-117.73</v>
      </c>
      <c r="L63">
        <f>VLOOKUP(H63,$A$1:F$161,L$2,0)</f>
        <v>158.61000000000001</v>
      </c>
      <c r="M63">
        <f>VLOOKUP(H63,$A$1:F$161,M$2,0)</f>
        <v>2.57</v>
      </c>
    </row>
    <row r="64" spans="1:13" x14ac:dyDescent="0.25">
      <c r="A64" t="s">
        <v>64</v>
      </c>
      <c r="B64" t="s">
        <v>53</v>
      </c>
      <c r="C64" t="s">
        <v>53</v>
      </c>
      <c r="D64" t="s">
        <v>53</v>
      </c>
      <c r="E64" t="s">
        <v>53</v>
      </c>
      <c r="F64" t="s">
        <v>53</v>
      </c>
      <c r="H64" t="s">
        <v>112</v>
      </c>
      <c r="I64">
        <f>VLOOKUP(H64,$A$1:F$161,I$2,0)</f>
        <v>3.16</v>
      </c>
      <c r="J64">
        <f>VLOOKUP(H64,$A$1:F$161,J$2,0)</f>
        <v>6.46</v>
      </c>
      <c r="K64">
        <f>VLOOKUP(H64,$A$1:F$161,K$2,0)</f>
        <v>5.66</v>
      </c>
      <c r="L64">
        <f>VLOOKUP(H64,$A$1:F$161,L$2,0)</f>
        <v>-2.17</v>
      </c>
      <c r="M64">
        <f>VLOOKUP(H64,$A$1:F$161,M$2,0)</f>
        <v>-0.41</v>
      </c>
    </row>
    <row r="65" spans="1:13" x14ac:dyDescent="0.25">
      <c r="H65" t="s">
        <v>91</v>
      </c>
      <c r="I65">
        <f>VLOOKUP(H65,$A$1:F$161,I$2,0)</f>
        <v>1059.43</v>
      </c>
      <c r="J65">
        <f>VLOOKUP(H65,$A$1:F$161,J$2,0)</f>
        <v>1037.8699999999999</v>
      </c>
      <c r="K65">
        <f>VLOOKUP(H65,$A$1:F$161,K$2,0)</f>
        <v>759.08</v>
      </c>
      <c r="L65">
        <f>VLOOKUP(H65,$A$1:F$161,L$2,0)</f>
        <v>1038.08</v>
      </c>
      <c r="M65">
        <f>VLOOKUP(H65,$A$1:F$161,M$2,0)</f>
        <v>971.03</v>
      </c>
    </row>
    <row r="66" spans="1:13" x14ac:dyDescent="0.25">
      <c r="H66" t="s">
        <v>92</v>
      </c>
      <c r="I66">
        <f>VLOOKUP(H66,$A$1:F$161,I$2,0)</f>
        <v>3134.71</v>
      </c>
      <c r="J66">
        <f>VLOOKUP(H66,$A$1:F$161,J$2,0)</f>
        <v>3051.8</v>
      </c>
      <c r="K66">
        <f>VLOOKUP(H66,$A$1:F$161,K$2,0)</f>
        <v>2653.95</v>
      </c>
      <c r="L66">
        <f>VLOOKUP(H66,$A$1:F$161,L$2,0)</f>
        <v>2132.17</v>
      </c>
      <c r="M66">
        <f>VLOOKUP(H66,$A$1:F$161,M$2,0)</f>
        <v>1894.8</v>
      </c>
    </row>
    <row r="67" spans="1:13" x14ac:dyDescent="0.25">
      <c r="H67" t="s">
        <v>93</v>
      </c>
      <c r="I67">
        <f>VLOOKUP(H67,$A$1:F$161,I$2,0)</f>
        <v>3134.71</v>
      </c>
      <c r="J67">
        <f>VLOOKUP(H67,$A$1:F$161,J$2,0)</f>
        <v>3051.8</v>
      </c>
      <c r="K67">
        <f>VLOOKUP(H67,$A$1:F$161,K$2,0)</f>
        <v>2653.95</v>
      </c>
      <c r="L67">
        <f>VLOOKUP(H67,$A$1:F$161,L$2,0)</f>
        <v>2132.17</v>
      </c>
      <c r="M67">
        <f>VLOOKUP(H67,$A$1:F$161,M$2,0)</f>
        <v>1894.8</v>
      </c>
    </row>
    <row r="68" spans="1:13" ht="15" customHeight="1" x14ac:dyDescent="0.25">
      <c r="A68" t="s">
        <v>65</v>
      </c>
      <c r="H68" t="s">
        <v>94</v>
      </c>
      <c r="I68">
        <f>VLOOKUP(H68,$A$1:F$161,I$2,0)</f>
        <v>3134.71</v>
      </c>
      <c r="J68">
        <f>VLOOKUP(H68,$A$1:F$161,J$2,0)</f>
        <v>3051.8</v>
      </c>
      <c r="K68">
        <f>VLOOKUP(H68,$A$1:F$161,K$2,0)</f>
        <v>2653.95</v>
      </c>
      <c r="L68">
        <f>VLOOKUP(H68,$A$1:F$161,L$2,0)</f>
        <v>2132.17</v>
      </c>
      <c r="M68">
        <f>VLOOKUP(H68,$A$1:F$161,M$2,0)</f>
        <v>1894.8</v>
      </c>
    </row>
    <row r="69" spans="1:13" x14ac:dyDescent="0.25">
      <c r="H69" t="s">
        <v>101</v>
      </c>
      <c r="I69">
        <f>VLOOKUP(H69,$A$1:F$161,I$2,0)</f>
        <v>1740.95</v>
      </c>
      <c r="J69">
        <f>VLOOKUP(H69,$A$1:F$161,J$2,0)</f>
        <v>465.23</v>
      </c>
      <c r="K69">
        <f>VLOOKUP(H69,$A$1:F$161,K$2,0)</f>
        <v>1740.95</v>
      </c>
      <c r="L69">
        <f>VLOOKUP(H69,$A$1:F$161,L$2,0)</f>
        <v>853.68</v>
      </c>
      <c r="M69">
        <f>VLOOKUP(H69,$A$1:F$161,M$2,0)</f>
        <v>987.98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353.07</v>
      </c>
      <c r="L70">
        <f>VLOOKUP(H70,$A$1:F$161,L$2,0)</f>
        <v>173.5</v>
      </c>
      <c r="M70">
        <f>VLOOKUP(H70,$A$1:F$161,M$2,0)</f>
        <v>199.44</v>
      </c>
    </row>
    <row r="71" spans="1:13" x14ac:dyDescent="0.25">
      <c r="H71" t="s">
        <v>103</v>
      </c>
      <c r="I71">
        <f>VLOOKUP(H71,$A$1:F$161,I$2,0)</f>
        <v>1915</v>
      </c>
      <c r="J71">
        <f>VLOOKUP(H71,$A$1:F$161,J$2,0)</f>
        <v>1785</v>
      </c>
      <c r="K71">
        <f>VLOOKUP(H71,$A$1:F$161,K$2,0)</f>
        <v>1200</v>
      </c>
      <c r="L71">
        <f>VLOOKUP(H71,$A$1:F$161,L$2,0)</f>
        <v>1050</v>
      </c>
      <c r="M71">
        <f>VLOOKUP(H71,$A$1:F$161,M$2,0)</f>
        <v>870</v>
      </c>
    </row>
    <row r="90" spans="1:6" x14ac:dyDescent="0.25">
      <c r="A90" t="s">
        <v>163</v>
      </c>
      <c r="B90" t="s">
        <v>1</v>
      </c>
    </row>
    <row r="91" spans="1:6" x14ac:dyDescent="0.25">
      <c r="A91" t="s">
        <v>66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25002.09</v>
      </c>
      <c r="C97">
        <v>18280.060000000001</v>
      </c>
      <c r="D97">
        <v>17025.61</v>
      </c>
      <c r="E97">
        <v>16209.44</v>
      </c>
      <c r="F97">
        <v>14329.17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391.69</v>
      </c>
    </row>
    <row r="99" spans="1:6" x14ac:dyDescent="0.25">
      <c r="A99" t="s">
        <v>70</v>
      </c>
      <c r="B99">
        <v>25002.09</v>
      </c>
      <c r="C99">
        <v>18280.060000000001</v>
      </c>
      <c r="D99">
        <v>17025.61</v>
      </c>
      <c r="E99">
        <v>16209.44</v>
      </c>
      <c r="F99">
        <v>13937.48</v>
      </c>
    </row>
    <row r="100" spans="1:6" x14ac:dyDescent="0.25">
      <c r="A100" t="s">
        <v>71</v>
      </c>
      <c r="B100">
        <v>186.42</v>
      </c>
      <c r="C100">
        <v>236.8</v>
      </c>
      <c r="D100">
        <v>168.48</v>
      </c>
      <c r="E100">
        <v>182.34</v>
      </c>
      <c r="F100">
        <v>230.38</v>
      </c>
    </row>
    <row r="101" spans="1:6" x14ac:dyDescent="0.25">
      <c r="A101" t="s">
        <v>72</v>
      </c>
      <c r="B101">
        <v>25188.51</v>
      </c>
      <c r="C101">
        <v>18516.86</v>
      </c>
      <c r="D101">
        <v>17194.09</v>
      </c>
      <c r="E101">
        <v>16391.78</v>
      </c>
      <c r="F101">
        <v>14167.86</v>
      </c>
    </row>
    <row r="102" spans="1:6" x14ac:dyDescent="0.25">
      <c r="A102" t="s">
        <v>73</v>
      </c>
      <c r="B102">
        <v>451.89</v>
      </c>
      <c r="C102">
        <v>366.02</v>
      </c>
      <c r="D102">
        <v>357.54</v>
      </c>
      <c r="E102">
        <v>284.81</v>
      </c>
      <c r="F102">
        <v>277.5</v>
      </c>
    </row>
    <row r="103" spans="1:6" x14ac:dyDescent="0.25">
      <c r="A103" t="s">
        <v>74</v>
      </c>
      <c r="B103">
        <v>25640.400000000001</v>
      </c>
      <c r="C103">
        <v>18882.88</v>
      </c>
      <c r="D103">
        <v>17551.63</v>
      </c>
      <c r="E103">
        <v>16676.59</v>
      </c>
      <c r="F103">
        <v>14445.36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13838.9</v>
      </c>
      <c r="C105">
        <v>8524.17</v>
      </c>
      <c r="D105">
        <v>8432.51</v>
      </c>
      <c r="E105">
        <v>8647.82</v>
      </c>
      <c r="F105">
        <v>7100.16</v>
      </c>
    </row>
    <row r="106" spans="1:6" x14ac:dyDescent="0.25">
      <c r="A106" t="s">
        <v>77</v>
      </c>
      <c r="B106">
        <v>2978.69</v>
      </c>
      <c r="C106">
        <v>1649.06</v>
      </c>
      <c r="D106">
        <v>1283.8800000000001</v>
      </c>
      <c r="E106">
        <v>1010.66</v>
      </c>
      <c r="F106">
        <v>742.57</v>
      </c>
    </row>
    <row r="107" spans="1:6" x14ac:dyDescent="0.25">
      <c r="A107" t="s">
        <v>78</v>
      </c>
      <c r="B107">
        <v>-1208.6300000000001</v>
      </c>
      <c r="C107">
        <v>-90.7</v>
      </c>
      <c r="D107">
        <v>-210.21</v>
      </c>
      <c r="E107">
        <v>-247.86</v>
      </c>
      <c r="F107">
        <v>154.12</v>
      </c>
    </row>
    <row r="108" spans="1:6" x14ac:dyDescent="0.25">
      <c r="A108" t="s">
        <v>79</v>
      </c>
      <c r="B108">
        <v>1310.1400000000001</v>
      </c>
      <c r="C108">
        <v>1128.6600000000001</v>
      </c>
      <c r="D108">
        <v>985.43</v>
      </c>
      <c r="E108">
        <v>900.14</v>
      </c>
      <c r="F108">
        <v>791.08</v>
      </c>
    </row>
    <row r="109" spans="1:6" x14ac:dyDescent="0.25">
      <c r="A109" t="s">
        <v>80</v>
      </c>
      <c r="B109">
        <v>70.25</v>
      </c>
      <c r="C109">
        <v>71.66</v>
      </c>
      <c r="D109">
        <v>78.38</v>
      </c>
      <c r="E109">
        <v>78.599999999999994</v>
      </c>
      <c r="F109">
        <v>21.06</v>
      </c>
    </row>
    <row r="110" spans="1:6" x14ac:dyDescent="0.25">
      <c r="A110" t="s">
        <v>82</v>
      </c>
      <c r="B110">
        <v>721.56</v>
      </c>
      <c r="C110">
        <v>697.47</v>
      </c>
      <c r="D110">
        <v>689.97</v>
      </c>
      <c r="E110">
        <v>540.77</v>
      </c>
      <c r="F110">
        <v>311.11</v>
      </c>
    </row>
    <row r="111" spans="1:6" x14ac:dyDescent="0.25">
      <c r="A111" t="s">
        <v>83</v>
      </c>
      <c r="B111">
        <v>3681.62</v>
      </c>
      <c r="C111">
        <v>2812.89</v>
      </c>
      <c r="D111">
        <v>2845.44</v>
      </c>
      <c r="E111">
        <v>2576.21</v>
      </c>
      <c r="F111">
        <v>2459.4299999999998</v>
      </c>
    </row>
    <row r="112" spans="1:6" x14ac:dyDescent="0.25">
      <c r="A112" t="s">
        <v>84</v>
      </c>
      <c r="B112">
        <v>21392.53</v>
      </c>
      <c r="C112">
        <v>14793.21</v>
      </c>
      <c r="D112">
        <v>14105.4</v>
      </c>
      <c r="E112">
        <v>13506.34</v>
      </c>
      <c r="F112">
        <v>11579.53</v>
      </c>
    </row>
    <row r="113" spans="1:6" x14ac:dyDescent="0.25">
      <c r="B113">
        <v>44621</v>
      </c>
      <c r="C113">
        <v>44256</v>
      </c>
      <c r="D113">
        <v>43891</v>
      </c>
      <c r="E113">
        <v>43525</v>
      </c>
      <c r="F113">
        <v>43160</v>
      </c>
    </row>
    <row r="115" spans="1:6" x14ac:dyDescent="0.25">
      <c r="B115" t="s">
        <v>5</v>
      </c>
      <c r="C115" t="s">
        <v>5</v>
      </c>
      <c r="D115" t="s">
        <v>5</v>
      </c>
      <c r="E115" t="s">
        <v>5</v>
      </c>
      <c r="F115" t="s">
        <v>5</v>
      </c>
    </row>
    <row r="117" spans="1:6" x14ac:dyDescent="0.25">
      <c r="A117" t="s">
        <v>85</v>
      </c>
      <c r="B117">
        <v>4247.87</v>
      </c>
      <c r="C117">
        <v>4089.67</v>
      </c>
      <c r="D117">
        <v>3446.23</v>
      </c>
      <c r="E117">
        <v>3170.25</v>
      </c>
      <c r="F117">
        <v>2865.83</v>
      </c>
    </row>
    <row r="118" spans="1:6" x14ac:dyDescent="0.25">
      <c r="A118" t="s">
        <v>86</v>
      </c>
      <c r="B118">
        <v>-53.73</v>
      </c>
      <c r="C118">
        <v>0</v>
      </c>
      <c r="D118">
        <v>-33.200000000000003</v>
      </c>
      <c r="E118">
        <v>0</v>
      </c>
      <c r="F118">
        <v>0</v>
      </c>
    </row>
    <row r="119" spans="1:6" x14ac:dyDescent="0.25">
      <c r="A119" t="s">
        <v>87</v>
      </c>
      <c r="B119">
        <v>4194.1400000000003</v>
      </c>
      <c r="C119">
        <v>4089.67</v>
      </c>
      <c r="D119">
        <v>3413.03</v>
      </c>
      <c r="E119">
        <v>3170.25</v>
      </c>
      <c r="F119">
        <v>2865.83</v>
      </c>
    </row>
    <row r="120" spans="1:6" ht="24" customHeight="1" x14ac:dyDescent="0.25">
      <c r="A120" t="s">
        <v>88</v>
      </c>
    </row>
    <row r="121" spans="1:6" x14ac:dyDescent="0.25">
      <c r="A121" t="s">
        <v>89</v>
      </c>
      <c r="B121">
        <v>1107.29</v>
      </c>
      <c r="C121">
        <v>1052.72</v>
      </c>
      <c r="D121">
        <v>871.15</v>
      </c>
      <c r="E121">
        <v>881.64</v>
      </c>
      <c r="F121">
        <v>968.87</v>
      </c>
    </row>
    <row r="122" spans="1:6" x14ac:dyDescent="0.25">
      <c r="A122" t="s">
        <v>90</v>
      </c>
      <c r="B122">
        <v>-51.02</v>
      </c>
      <c r="C122">
        <v>-21.31</v>
      </c>
      <c r="D122">
        <v>-117.73</v>
      </c>
      <c r="E122">
        <v>158.61000000000001</v>
      </c>
      <c r="F122">
        <v>2.57</v>
      </c>
    </row>
    <row r="123" spans="1:6" x14ac:dyDescent="0.25">
      <c r="A123" t="s">
        <v>112</v>
      </c>
      <c r="B123">
        <v>3.16</v>
      </c>
      <c r="C123">
        <v>6.46</v>
      </c>
      <c r="D123">
        <v>5.66</v>
      </c>
      <c r="E123">
        <v>-2.17</v>
      </c>
      <c r="F123">
        <v>-0.41</v>
      </c>
    </row>
    <row r="124" spans="1:6" x14ac:dyDescent="0.25">
      <c r="A124" t="s">
        <v>91</v>
      </c>
      <c r="B124">
        <v>1059.43</v>
      </c>
      <c r="C124">
        <v>1037.8699999999999</v>
      </c>
      <c r="D124">
        <v>759.08</v>
      </c>
      <c r="E124">
        <v>1038.08</v>
      </c>
      <c r="F124">
        <v>971.03</v>
      </c>
    </row>
    <row r="125" spans="1:6" x14ac:dyDescent="0.25">
      <c r="A125" t="s">
        <v>92</v>
      </c>
      <c r="B125">
        <v>3134.71</v>
      </c>
      <c r="C125">
        <v>3051.8</v>
      </c>
      <c r="D125">
        <v>2653.95</v>
      </c>
      <c r="E125">
        <v>2132.17</v>
      </c>
      <c r="F125">
        <v>1894.8</v>
      </c>
    </row>
    <row r="126" spans="1:6" x14ac:dyDescent="0.25">
      <c r="A126" t="s">
        <v>93</v>
      </c>
      <c r="B126">
        <v>3134.71</v>
      </c>
      <c r="C126">
        <v>3051.8</v>
      </c>
      <c r="D126">
        <v>2653.95</v>
      </c>
      <c r="E126">
        <v>2132.17</v>
      </c>
      <c r="F126">
        <v>1894.8</v>
      </c>
    </row>
    <row r="127" spans="1:6" x14ac:dyDescent="0.25">
      <c r="A127" t="s">
        <v>94</v>
      </c>
      <c r="B127">
        <v>3134.71</v>
      </c>
      <c r="C127">
        <v>3051.8</v>
      </c>
      <c r="D127">
        <v>2653.95</v>
      </c>
      <c r="E127">
        <v>2132.17</v>
      </c>
      <c r="F127">
        <v>1894.8</v>
      </c>
    </row>
    <row r="128" spans="1:6" x14ac:dyDescent="0.25">
      <c r="B128">
        <v>44621</v>
      </c>
      <c r="C128">
        <v>44256</v>
      </c>
      <c r="D128">
        <v>43891</v>
      </c>
      <c r="E128">
        <v>43525</v>
      </c>
      <c r="F128">
        <v>43160</v>
      </c>
    </row>
    <row r="130" spans="1:6" x14ac:dyDescent="0.25">
      <c r="B130" t="s">
        <v>5</v>
      </c>
      <c r="C130" t="s">
        <v>5</v>
      </c>
      <c r="D130" t="s">
        <v>5</v>
      </c>
      <c r="E130" t="s">
        <v>5</v>
      </c>
      <c r="F130" t="s">
        <v>5</v>
      </c>
    </row>
    <row r="132" spans="1:6" ht="24" customHeight="1" x14ac:dyDescent="0.25">
      <c r="A132" t="s">
        <v>45</v>
      </c>
    </row>
    <row r="133" spans="1:6" ht="24" customHeight="1" x14ac:dyDescent="0.25">
      <c r="A133" t="s">
        <v>95</v>
      </c>
    </row>
    <row r="134" spans="1:6" x14ac:dyDescent="0.25">
      <c r="A134" t="s">
        <v>96</v>
      </c>
      <c r="B134">
        <v>32.68</v>
      </c>
      <c r="C134">
        <v>31.82</v>
      </c>
      <c r="D134">
        <v>27.67</v>
      </c>
      <c r="E134">
        <v>22.23</v>
      </c>
      <c r="F134">
        <v>19.75</v>
      </c>
    </row>
    <row r="135" spans="1:6" x14ac:dyDescent="0.25">
      <c r="A135" t="s">
        <v>97</v>
      </c>
      <c r="B135">
        <v>32.68</v>
      </c>
      <c r="C135">
        <v>31.82</v>
      </c>
      <c r="D135">
        <v>27.67</v>
      </c>
      <c r="E135">
        <v>22.23</v>
      </c>
      <c r="F135">
        <v>19.75</v>
      </c>
    </row>
    <row r="136" spans="1:6" ht="36" customHeight="1" x14ac:dyDescent="0.25">
      <c r="A136" t="s">
        <v>98</v>
      </c>
    </row>
    <row r="137" spans="1:6" ht="24" customHeight="1" x14ac:dyDescent="0.25">
      <c r="A137" t="s">
        <v>99</v>
      </c>
    </row>
    <row r="138" spans="1:6" ht="36" customHeight="1" x14ac:dyDescent="0.25">
      <c r="A138" t="s">
        <v>100</v>
      </c>
    </row>
    <row r="139" spans="1:6" x14ac:dyDescent="0.25">
      <c r="A139" t="s">
        <v>101</v>
      </c>
      <c r="B139">
        <v>1740.95</v>
      </c>
      <c r="C139">
        <v>465.23</v>
      </c>
      <c r="D139">
        <v>1740.95</v>
      </c>
      <c r="E139">
        <v>853.68</v>
      </c>
      <c r="F139">
        <v>987.98</v>
      </c>
    </row>
    <row r="140" spans="1:6" x14ac:dyDescent="0.25">
      <c r="A140" t="s">
        <v>102</v>
      </c>
      <c r="B140">
        <v>0</v>
      </c>
      <c r="C140">
        <v>0</v>
      </c>
      <c r="D140">
        <v>353.07</v>
      </c>
      <c r="E140">
        <v>173.5</v>
      </c>
      <c r="F140">
        <v>199.44</v>
      </c>
    </row>
    <row r="141" spans="1:6" x14ac:dyDescent="0.25">
      <c r="A141" t="s">
        <v>103</v>
      </c>
      <c r="B141">
        <v>1915</v>
      </c>
      <c r="C141">
        <v>1785</v>
      </c>
      <c r="D141">
        <v>1200</v>
      </c>
      <c r="E141">
        <v>1050</v>
      </c>
      <c r="F141">
        <v>870</v>
      </c>
    </row>
    <row r="145" spans="1:1" ht="15" customHeight="1" x14ac:dyDescent="0.25">
      <c r="A145" t="s">
        <v>65</v>
      </c>
    </row>
  </sheetData>
  <hyperlinks>
    <hyperlink ref="B1" r:id="rId1" display="javascript:void(0);" xr:uid="{0B2D1B18-8531-4047-8B9B-E96A20CCC063}"/>
    <hyperlink ref="B90" r:id="rId2" display="javascript:void(0);" xr:uid="{964143C7-2D45-4F1E-B256-AF5EB69765C2}"/>
  </hyperlinks>
  <pageMargins left="0.7" right="0.7" top="0.75" bottom="0.75" header="0.3" footer="0.3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249F-41A7-464F-AE80-74C80E0BD802}">
  <sheetPr codeName="Sheet31"/>
  <dimension ref="A1:M135"/>
  <sheetViews>
    <sheetView workbookViewId="0">
      <selection activeCell="A16" sqref="A16"/>
    </sheetView>
  </sheetViews>
  <sheetFormatPr defaultRowHeight="15" x14ac:dyDescent="0.25"/>
  <sheetData>
    <row r="1" spans="1:13" x14ac:dyDescent="0.25">
      <c r="A1" t="s">
        <v>164</v>
      </c>
      <c r="B1" t="s">
        <v>1</v>
      </c>
      <c r="H1" t="str">
        <f>A1</f>
        <v>Berger Paints India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97.13</v>
      </c>
      <c r="J4">
        <f>VLOOKUP(H4,$A$1:F$161,J$2,0)</f>
        <v>97.13</v>
      </c>
      <c r="K4">
        <f>VLOOKUP(H4,$A$1:F$161,K$2,0)</f>
        <v>97.12</v>
      </c>
      <c r="L4">
        <f>VLOOKUP(H4,$A$1:F$161,L$2,0)</f>
        <v>97.11</v>
      </c>
      <c r="M4">
        <f>VLOOKUP(H4,$A$1:F$161,M$2,0)</f>
        <v>97.1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97.13</v>
      </c>
      <c r="J5">
        <f>VLOOKUP(H5,$A$1:F$161,J$2,0)</f>
        <v>97.13</v>
      </c>
      <c r="K5">
        <f>VLOOKUP(H5,$A$1:F$161,K$2,0)</f>
        <v>97.12</v>
      </c>
      <c r="L5">
        <f>VLOOKUP(H5,$A$1:F$161,L$2,0)</f>
        <v>97.11</v>
      </c>
      <c r="M5">
        <f>VLOOKUP(H5,$A$1:F$161,M$2,0)</f>
        <v>97.1</v>
      </c>
    </row>
    <row r="6" spans="1:13" x14ac:dyDescent="0.25">
      <c r="H6" t="s">
        <v>10</v>
      </c>
      <c r="I6">
        <f>VLOOKUP(H6,$A$1:F$161,I$2,0)</f>
        <v>3666.76</v>
      </c>
      <c r="J6">
        <f>VLOOKUP(H6,$A$1:F$161,J$2,0)</f>
        <v>3182.48</v>
      </c>
      <c r="K6">
        <f>VLOOKUP(H6,$A$1:F$161,K$2,0)</f>
        <v>2527.92</v>
      </c>
      <c r="L6">
        <f>VLOOKUP(H6,$A$1:F$161,L$2,0)</f>
        <v>2275.2399999999998</v>
      </c>
      <c r="M6">
        <f>VLOOKUP(H6,$A$1:F$161,M$2,0)</f>
        <v>2046.51</v>
      </c>
    </row>
    <row r="7" spans="1:13" ht="24" customHeight="1" x14ac:dyDescent="0.25">
      <c r="A7" t="s">
        <v>6</v>
      </c>
      <c r="H7" t="s">
        <v>11</v>
      </c>
      <c r="I7">
        <f>VLOOKUP(H7,$A$1:F$161,I$2,0)</f>
        <v>3666.76</v>
      </c>
      <c r="J7">
        <f>VLOOKUP(H7,$A$1:F$161,J$2,0)</f>
        <v>3182.48</v>
      </c>
      <c r="K7">
        <f>VLOOKUP(H7,$A$1:F$161,K$2,0)</f>
        <v>2527.92</v>
      </c>
      <c r="L7">
        <f>VLOOKUP(H7,$A$1:F$161,L$2,0)</f>
        <v>2275.2399999999998</v>
      </c>
      <c r="M7">
        <f>VLOOKUP(H7,$A$1:F$161,M$2,0)</f>
        <v>2046.51</v>
      </c>
    </row>
    <row r="8" spans="1:13" ht="24" customHeight="1" x14ac:dyDescent="0.25">
      <c r="A8" t="s">
        <v>7</v>
      </c>
      <c r="H8" t="s">
        <v>12</v>
      </c>
      <c r="I8">
        <f>VLOOKUP(H8,$A$1:F$161,I$2,0)</f>
        <v>3763.89</v>
      </c>
      <c r="J8">
        <f>VLOOKUP(H8,$A$1:F$161,J$2,0)</f>
        <v>3279.61</v>
      </c>
      <c r="K8">
        <f>VLOOKUP(H8,$A$1:F$161,K$2,0)</f>
        <v>2625.04</v>
      </c>
      <c r="L8">
        <f>VLOOKUP(H8,$A$1:F$161,L$2,0)</f>
        <v>2372.35</v>
      </c>
      <c r="M8">
        <f>VLOOKUP(H8,$A$1:F$161,M$2,0)</f>
        <v>2143.61</v>
      </c>
    </row>
    <row r="9" spans="1:13" x14ac:dyDescent="0.25">
      <c r="A9" t="s">
        <v>8</v>
      </c>
      <c r="B9">
        <v>97.13</v>
      </c>
      <c r="C9">
        <v>97.13</v>
      </c>
      <c r="D9">
        <v>97.12</v>
      </c>
      <c r="E9">
        <v>97.11</v>
      </c>
      <c r="F9">
        <v>97.1</v>
      </c>
      <c r="H9" t="s">
        <v>14</v>
      </c>
      <c r="I9">
        <f>VLOOKUP(H9,$A$1:F$161,I$2,0)</f>
        <v>319.52999999999997</v>
      </c>
      <c r="J9">
        <f>VLOOKUP(H9,$A$1:F$161,J$2,0)</f>
        <v>238.18</v>
      </c>
      <c r="K9">
        <f>VLOOKUP(H9,$A$1:F$161,K$2,0)</f>
        <v>206.79</v>
      </c>
      <c r="L9">
        <f>VLOOKUP(H9,$A$1:F$161,L$2,0)</f>
        <v>14.39</v>
      </c>
      <c r="M9">
        <f>VLOOKUP(H9,$A$1:F$161,M$2,0)</f>
        <v>5.26</v>
      </c>
    </row>
    <row r="10" spans="1:13" x14ac:dyDescent="0.25">
      <c r="A10" t="s">
        <v>9</v>
      </c>
      <c r="B10">
        <v>97.13</v>
      </c>
      <c r="C10">
        <v>97.13</v>
      </c>
      <c r="D10">
        <v>97.12</v>
      </c>
      <c r="E10">
        <v>97.11</v>
      </c>
      <c r="F10">
        <v>97.1</v>
      </c>
      <c r="H10" t="s">
        <v>16</v>
      </c>
      <c r="I10" t="e">
        <f>VLOOKUP(H10,$A$1:F$161,I$2,0)</f>
        <v>#N/A</v>
      </c>
      <c r="J10" t="e">
        <f>VLOOKUP(H10,$A$1:F$161,J$2,0)</f>
        <v>#N/A</v>
      </c>
      <c r="K10" t="e">
        <f>VLOOKUP(H10,$A$1:F$161,K$2,0)</f>
        <v>#N/A</v>
      </c>
      <c r="L10" t="e">
        <f>VLOOKUP(H10,$A$1:F$161,L$2,0)</f>
        <v>#N/A</v>
      </c>
      <c r="M10" t="e">
        <f>VLOOKUP(H10,$A$1:F$161,M$2,0)</f>
        <v>#N/A</v>
      </c>
    </row>
    <row r="11" spans="1:13" x14ac:dyDescent="0.25">
      <c r="A11" t="s">
        <v>10</v>
      </c>
      <c r="B11">
        <v>3666.76</v>
      </c>
      <c r="C11">
        <v>3182.48</v>
      </c>
      <c r="D11">
        <v>2527.92</v>
      </c>
      <c r="E11">
        <v>2275.2399999999998</v>
      </c>
      <c r="F11">
        <v>2046.51</v>
      </c>
      <c r="H11" t="s">
        <v>17</v>
      </c>
      <c r="I11">
        <f>VLOOKUP(H11,$A$1:F$161,I$2,0)</f>
        <v>3.98</v>
      </c>
      <c r="J11">
        <f>VLOOKUP(H11,$A$1:F$161,J$2,0)</f>
        <v>3.68</v>
      </c>
      <c r="K11">
        <f>VLOOKUP(H11,$A$1:F$161,K$2,0)</f>
        <v>3.41</v>
      </c>
      <c r="L11">
        <f>VLOOKUP(H11,$A$1:F$161,L$2,0)</f>
        <v>3.16</v>
      </c>
      <c r="M11">
        <f>VLOOKUP(H11,$A$1:F$161,M$2,0)</f>
        <v>2.92</v>
      </c>
    </row>
    <row r="12" spans="1:13" x14ac:dyDescent="0.25">
      <c r="A12" t="s">
        <v>11</v>
      </c>
      <c r="B12">
        <v>3666.76</v>
      </c>
      <c r="C12">
        <v>3182.48</v>
      </c>
      <c r="D12">
        <v>2527.92</v>
      </c>
      <c r="E12">
        <v>2275.2399999999998</v>
      </c>
      <c r="F12">
        <v>2046.51</v>
      </c>
      <c r="H12" t="s">
        <v>18</v>
      </c>
      <c r="I12">
        <f>VLOOKUP(H12,$A$1:F$161,I$2,0)</f>
        <v>346.69</v>
      </c>
      <c r="J12">
        <f>VLOOKUP(H12,$A$1:F$161,J$2,0)</f>
        <v>268.24</v>
      </c>
      <c r="K12">
        <f>VLOOKUP(H12,$A$1:F$161,K$2,0)</f>
        <v>239.34</v>
      </c>
      <c r="L12">
        <f>VLOOKUP(H12,$A$1:F$161,L$2,0)</f>
        <v>78.42</v>
      </c>
      <c r="M12">
        <f>VLOOKUP(H12,$A$1:F$161,M$2,0)</f>
        <v>66.78</v>
      </c>
    </row>
    <row r="13" spans="1:13" x14ac:dyDescent="0.25">
      <c r="A13" t="s">
        <v>12</v>
      </c>
      <c r="B13">
        <v>3763.89</v>
      </c>
      <c r="C13">
        <v>3279.61</v>
      </c>
      <c r="D13">
        <v>2625.04</v>
      </c>
      <c r="E13">
        <v>2372.35</v>
      </c>
      <c r="F13">
        <v>2143.61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1705.09</v>
      </c>
      <c r="J14">
        <f>VLOOKUP(H14,$A$1:F$161,J$2,0)</f>
        <v>1409.22</v>
      </c>
      <c r="K14">
        <f>VLOOKUP(H14,$A$1:F$161,K$2,0)</f>
        <v>1012.92</v>
      </c>
      <c r="L14">
        <f>VLOOKUP(H14,$A$1:F$161,L$2,0)</f>
        <v>968.14</v>
      </c>
      <c r="M14">
        <f>VLOOKUP(H14,$A$1:F$161,M$2,0)</f>
        <v>932.57</v>
      </c>
    </row>
    <row r="15" spans="1:13" x14ac:dyDescent="0.25">
      <c r="A15" t="s">
        <v>15</v>
      </c>
      <c r="B15">
        <v>23.18</v>
      </c>
      <c r="C15">
        <v>26.38</v>
      </c>
      <c r="D15">
        <v>29.14</v>
      </c>
      <c r="E15">
        <v>60.87</v>
      </c>
      <c r="F15">
        <v>58.6</v>
      </c>
      <c r="H15" t="s">
        <v>22</v>
      </c>
      <c r="I15">
        <f>VLOOKUP(H15,$A$1:F$161,I$2,0)</f>
        <v>265.95999999999998</v>
      </c>
      <c r="J15">
        <f>VLOOKUP(H15,$A$1:F$161,J$2,0)</f>
        <v>227.96</v>
      </c>
      <c r="K15">
        <f>VLOOKUP(H15,$A$1:F$161,K$2,0)</f>
        <v>212.95</v>
      </c>
      <c r="L15">
        <f>VLOOKUP(H15,$A$1:F$161,L$2,0)</f>
        <v>184.34</v>
      </c>
      <c r="M15">
        <f>VLOOKUP(H15,$A$1:F$161,M$2,0)</f>
        <v>202.49</v>
      </c>
    </row>
    <row r="16" spans="1:13" x14ac:dyDescent="0.25">
      <c r="A16" t="s">
        <v>14</v>
      </c>
      <c r="B16">
        <v>319.52999999999997</v>
      </c>
      <c r="C16">
        <v>238.18</v>
      </c>
      <c r="D16">
        <v>206.79</v>
      </c>
      <c r="E16">
        <v>14.39</v>
      </c>
      <c r="F16">
        <v>5.26</v>
      </c>
      <c r="H16" t="s">
        <v>23</v>
      </c>
      <c r="I16">
        <f>VLOOKUP(H16,$A$1:F$161,I$2,0)</f>
        <v>28.71</v>
      </c>
      <c r="J16">
        <f>VLOOKUP(H16,$A$1:F$161,J$2,0)</f>
        <v>27.61</v>
      </c>
      <c r="K16">
        <f>VLOOKUP(H16,$A$1:F$161,K$2,0)</f>
        <v>29.99</v>
      </c>
      <c r="L16">
        <f>VLOOKUP(H16,$A$1:F$161,L$2,0)</f>
        <v>18.670000000000002</v>
      </c>
      <c r="M16">
        <f>VLOOKUP(H16,$A$1:F$161,M$2,0)</f>
        <v>15.98</v>
      </c>
    </row>
    <row r="17" spans="1:13" x14ac:dyDescent="0.25">
      <c r="A17" t="s">
        <v>17</v>
      </c>
      <c r="B17">
        <v>3.98</v>
      </c>
      <c r="C17">
        <v>3.68</v>
      </c>
      <c r="D17">
        <v>3.41</v>
      </c>
      <c r="E17">
        <v>3.16</v>
      </c>
      <c r="F17">
        <v>2.92</v>
      </c>
      <c r="H17" t="s">
        <v>24</v>
      </c>
      <c r="I17">
        <f>VLOOKUP(H17,$A$1:F$161,I$2,0)</f>
        <v>2515.3200000000002</v>
      </c>
      <c r="J17">
        <f>VLOOKUP(H17,$A$1:F$161,J$2,0)</f>
        <v>1820.23</v>
      </c>
      <c r="K17">
        <f>VLOOKUP(H17,$A$1:F$161,K$2,0)</f>
        <v>1478.32</v>
      </c>
      <c r="L17">
        <f>VLOOKUP(H17,$A$1:F$161,L$2,0)</f>
        <v>1386.49</v>
      </c>
      <c r="M17">
        <f>VLOOKUP(H17,$A$1:F$161,M$2,0)</f>
        <v>1294.31</v>
      </c>
    </row>
    <row r="18" spans="1:13" x14ac:dyDescent="0.25">
      <c r="A18" t="s">
        <v>18</v>
      </c>
      <c r="B18">
        <v>346.69</v>
      </c>
      <c r="C18">
        <v>268.24</v>
      </c>
      <c r="D18">
        <v>239.34</v>
      </c>
      <c r="E18">
        <v>78.42</v>
      </c>
      <c r="F18">
        <v>66.78</v>
      </c>
      <c r="H18" t="s">
        <v>25</v>
      </c>
      <c r="I18">
        <f>VLOOKUP(H18,$A$1:F$161,I$2,0)</f>
        <v>6625.9</v>
      </c>
      <c r="J18">
        <f>VLOOKUP(H18,$A$1:F$161,J$2,0)</f>
        <v>5368.08</v>
      </c>
      <c r="K18">
        <f>VLOOKUP(H18,$A$1:F$161,K$2,0)</f>
        <v>4342.7</v>
      </c>
      <c r="L18">
        <f>VLOOKUP(H18,$A$1:F$161,L$2,0)</f>
        <v>3837.26</v>
      </c>
      <c r="M18">
        <f>VLOOKUP(H18,$A$1:F$161,M$2,0)</f>
        <v>3504.7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515.55999999999995</v>
      </c>
      <c r="C20">
        <v>155.44</v>
      </c>
      <c r="D20">
        <v>222.46</v>
      </c>
      <c r="E20">
        <v>215.34</v>
      </c>
      <c r="F20">
        <v>143.27000000000001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1705.09</v>
      </c>
      <c r="C21">
        <v>1409.22</v>
      </c>
      <c r="D21">
        <v>1012.92</v>
      </c>
      <c r="E21">
        <v>968.14</v>
      </c>
      <c r="F21">
        <v>932.57</v>
      </c>
      <c r="H21" t="s">
        <v>28</v>
      </c>
      <c r="I21">
        <f>VLOOKUP(H21,$A$1:F$161,I$2,0)</f>
        <v>1635.46</v>
      </c>
      <c r="J21">
        <f>VLOOKUP(H21,$A$1:F$161,J$2,0)</f>
        <v>1495.2</v>
      </c>
      <c r="K21">
        <f>VLOOKUP(H21,$A$1:F$161,K$2,0)</f>
        <v>1379.3</v>
      </c>
      <c r="L21">
        <f>VLOOKUP(H21,$A$1:F$161,L$2,0)</f>
        <v>996.56</v>
      </c>
      <c r="M21">
        <f>VLOOKUP(H21,$A$1:F$161,M$2,0)</f>
        <v>911.04</v>
      </c>
    </row>
    <row r="22" spans="1:13" x14ac:dyDescent="0.25">
      <c r="A22" t="s">
        <v>22</v>
      </c>
      <c r="B22">
        <v>265.95999999999998</v>
      </c>
      <c r="C22">
        <v>227.96</v>
      </c>
      <c r="D22">
        <v>212.95</v>
      </c>
      <c r="E22">
        <v>184.34</v>
      </c>
      <c r="F22">
        <v>202.49</v>
      </c>
      <c r="H22" t="s">
        <v>29</v>
      </c>
      <c r="I22">
        <f>VLOOKUP(H22,$A$1:F$161,I$2,0)</f>
        <v>568.87</v>
      </c>
      <c r="J22">
        <f>VLOOKUP(H22,$A$1:F$161,J$2,0)</f>
        <v>97.6</v>
      </c>
      <c r="K22">
        <f>VLOOKUP(H22,$A$1:F$161,K$2,0)</f>
        <v>168.29</v>
      </c>
      <c r="L22">
        <f>VLOOKUP(H22,$A$1:F$161,L$2,0)</f>
        <v>147.72999999999999</v>
      </c>
      <c r="M22">
        <f>VLOOKUP(H22,$A$1:F$161,M$2,0)</f>
        <v>87.27</v>
      </c>
    </row>
    <row r="23" spans="1:13" x14ac:dyDescent="0.25">
      <c r="A23" t="s">
        <v>23</v>
      </c>
      <c r="B23">
        <v>28.71</v>
      </c>
      <c r="C23">
        <v>27.61</v>
      </c>
      <c r="D23">
        <v>29.99</v>
      </c>
      <c r="E23">
        <v>18.670000000000002</v>
      </c>
      <c r="F23">
        <v>15.98</v>
      </c>
      <c r="H23" t="s">
        <v>30</v>
      </c>
      <c r="I23">
        <f>VLOOKUP(H23,$A$1:F$161,I$2,0)</f>
        <v>2213.59</v>
      </c>
      <c r="J23">
        <f>VLOOKUP(H23,$A$1:F$161,J$2,0)</f>
        <v>1599.19</v>
      </c>
      <c r="K23">
        <f>VLOOKUP(H23,$A$1:F$161,K$2,0)</f>
        <v>1554.52</v>
      </c>
      <c r="L23">
        <f>VLOOKUP(H23,$A$1:F$161,L$2,0)</f>
        <v>1151.6500000000001</v>
      </c>
      <c r="M23">
        <f>VLOOKUP(H23,$A$1:F$161,M$2,0)</f>
        <v>1002.6</v>
      </c>
    </row>
    <row r="24" spans="1:13" x14ac:dyDescent="0.25">
      <c r="A24" t="s">
        <v>24</v>
      </c>
      <c r="B24">
        <v>2515.3200000000002</v>
      </c>
      <c r="C24">
        <v>1820.23</v>
      </c>
      <c r="D24">
        <v>1478.32</v>
      </c>
      <c r="E24">
        <v>1386.49</v>
      </c>
      <c r="F24">
        <v>1294.31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25</v>
      </c>
      <c r="B25">
        <v>6625.9</v>
      </c>
      <c r="C25">
        <v>5368.08</v>
      </c>
      <c r="D25">
        <v>4342.7</v>
      </c>
      <c r="E25">
        <v>3837.26</v>
      </c>
      <c r="F25">
        <v>3504.7</v>
      </c>
      <c r="H25" t="s">
        <v>33</v>
      </c>
      <c r="I25">
        <f>VLOOKUP(H25,$A$1:F$161,I$2,0)</f>
        <v>10.96</v>
      </c>
      <c r="J25">
        <f>VLOOKUP(H25,$A$1:F$161,J$2,0)</f>
        <v>24.76</v>
      </c>
      <c r="K25">
        <f>VLOOKUP(H25,$A$1:F$161,K$2,0)</f>
        <v>18.010000000000002</v>
      </c>
      <c r="L25">
        <f>VLOOKUP(H25,$A$1:F$161,L$2,0)</f>
        <v>16.420000000000002</v>
      </c>
      <c r="M25">
        <f>VLOOKUP(H25,$A$1:F$161,M$2,0)</f>
        <v>19.989999999999998</v>
      </c>
    </row>
    <row r="26" spans="1:13" x14ac:dyDescent="0.25">
      <c r="A26" t="s">
        <v>26</v>
      </c>
      <c r="H26" t="s">
        <v>34</v>
      </c>
      <c r="I26">
        <f>VLOOKUP(H26,$A$1:F$161,I$2,0)</f>
        <v>197.09</v>
      </c>
      <c r="J26">
        <f>VLOOKUP(H26,$A$1:F$161,J$2,0)</f>
        <v>73</v>
      </c>
      <c r="K26">
        <f>VLOOKUP(H26,$A$1:F$161,K$2,0)</f>
        <v>92.43</v>
      </c>
      <c r="L26">
        <f>VLOOKUP(H26,$A$1:F$161,L$2,0)</f>
        <v>56.31</v>
      </c>
      <c r="M26">
        <f>VLOOKUP(H26,$A$1:F$161,M$2,0)</f>
        <v>79.72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3103.06</v>
      </c>
      <c r="J27">
        <f>VLOOKUP(H27,$A$1:F$161,J$2,0)</f>
        <v>2282.8200000000002</v>
      </c>
      <c r="K27">
        <f>VLOOKUP(H27,$A$1:F$161,K$2,0)</f>
        <v>2133.59</v>
      </c>
      <c r="L27">
        <f>VLOOKUP(H27,$A$1:F$161,L$2,0)</f>
        <v>1556.18</v>
      </c>
      <c r="M27">
        <f>VLOOKUP(H27,$A$1:F$161,M$2,0)</f>
        <v>1405.49</v>
      </c>
    </row>
    <row r="28" spans="1:13" x14ac:dyDescent="0.25">
      <c r="A28" t="s">
        <v>28</v>
      </c>
      <c r="B28">
        <v>1635.46</v>
      </c>
      <c r="C28">
        <v>1495.2</v>
      </c>
      <c r="D28">
        <v>1379.3</v>
      </c>
      <c r="E28">
        <v>996.56</v>
      </c>
      <c r="F28">
        <v>911.04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106</v>
      </c>
      <c r="B29">
        <v>9.26</v>
      </c>
      <c r="C29">
        <v>6.39</v>
      </c>
      <c r="D29">
        <v>6.93</v>
      </c>
      <c r="E29">
        <v>7.36</v>
      </c>
      <c r="F29">
        <v>4.29</v>
      </c>
      <c r="H29" t="s">
        <v>38</v>
      </c>
      <c r="I29">
        <f>VLOOKUP(H29,$A$1:F$161,I$2,0)</f>
        <v>2149.9699999999998</v>
      </c>
      <c r="J29">
        <f>VLOOKUP(H29,$A$1:F$161,J$2,0)</f>
        <v>1499</v>
      </c>
      <c r="K29">
        <f>VLOOKUP(H29,$A$1:F$161,K$2,0)</f>
        <v>1167.24</v>
      </c>
      <c r="L29">
        <f>VLOOKUP(H29,$A$1:F$161,L$2,0)</f>
        <v>1149.1300000000001</v>
      </c>
      <c r="M29">
        <f>VLOOKUP(H29,$A$1:F$161,M$2,0)</f>
        <v>939.36</v>
      </c>
    </row>
    <row r="30" spans="1:13" x14ac:dyDescent="0.25">
      <c r="A30" t="s">
        <v>29</v>
      </c>
      <c r="B30">
        <v>568.87</v>
      </c>
      <c r="C30">
        <v>97.6</v>
      </c>
      <c r="D30">
        <v>168.29</v>
      </c>
      <c r="E30">
        <v>147.72999999999999</v>
      </c>
      <c r="F30">
        <v>87.27</v>
      </c>
      <c r="H30" t="s">
        <v>39</v>
      </c>
      <c r="I30">
        <f>VLOOKUP(H30,$A$1:F$161,I$2,0)</f>
        <v>835.58</v>
      </c>
      <c r="J30">
        <f>VLOOKUP(H30,$A$1:F$161,J$2,0)</f>
        <v>838.61</v>
      </c>
      <c r="K30">
        <f>VLOOKUP(H30,$A$1:F$161,K$2,0)</f>
        <v>558.57000000000005</v>
      </c>
      <c r="L30">
        <f>VLOOKUP(H30,$A$1:F$161,L$2,0)</f>
        <v>574.33000000000004</v>
      </c>
      <c r="M30">
        <f>VLOOKUP(H30,$A$1:F$161,M$2,0)</f>
        <v>598.01</v>
      </c>
    </row>
    <row r="31" spans="1:13" x14ac:dyDescent="0.25">
      <c r="A31" t="s">
        <v>30</v>
      </c>
      <c r="B31">
        <v>2213.59</v>
      </c>
      <c r="C31">
        <v>1599.19</v>
      </c>
      <c r="D31">
        <v>1554.52</v>
      </c>
      <c r="E31">
        <v>1151.6500000000001</v>
      </c>
      <c r="F31">
        <v>1002.6</v>
      </c>
      <c r="H31" t="s">
        <v>40</v>
      </c>
      <c r="I31">
        <f>VLOOKUP(H31,$A$1:F$161,I$2,0)</f>
        <v>206.88</v>
      </c>
      <c r="J31">
        <f>VLOOKUP(H31,$A$1:F$161,J$2,0)</f>
        <v>338.55</v>
      </c>
      <c r="K31">
        <f>VLOOKUP(H31,$A$1:F$161,K$2,0)</f>
        <v>125.55</v>
      </c>
      <c r="L31">
        <f>VLOOKUP(H31,$A$1:F$161,L$2,0)</f>
        <v>131.77000000000001</v>
      </c>
      <c r="M31">
        <f>VLOOKUP(H31,$A$1:F$161,M$2,0)</f>
        <v>120.57</v>
      </c>
    </row>
    <row r="32" spans="1:13" x14ac:dyDescent="0.25">
      <c r="A32" t="s">
        <v>31</v>
      </c>
      <c r="B32">
        <v>681.42</v>
      </c>
      <c r="C32">
        <v>585.87</v>
      </c>
      <c r="D32">
        <v>468.63</v>
      </c>
      <c r="E32">
        <v>331.8</v>
      </c>
      <c r="F32">
        <v>303.18</v>
      </c>
      <c r="H32" t="s">
        <v>41</v>
      </c>
      <c r="I32">
        <f>VLOOKUP(H32,$A$1:F$161,I$2,0)</f>
        <v>0</v>
      </c>
      <c r="J32">
        <f>VLOOKUP(H32,$A$1:F$161,J$2,0)</f>
        <v>11.08</v>
      </c>
      <c r="K32">
        <f>VLOOKUP(H32,$A$1:F$161,K$2,0)</f>
        <v>9.01</v>
      </c>
      <c r="L32">
        <f>VLOOKUP(H32,$A$1:F$161,L$2,0)</f>
        <v>7.98</v>
      </c>
      <c r="M32">
        <f>VLOOKUP(H32,$A$1:F$161,M$2,0)</f>
        <v>1.96</v>
      </c>
    </row>
    <row r="33" spans="1:13" x14ac:dyDescent="0.25">
      <c r="A33" t="s">
        <v>33</v>
      </c>
      <c r="B33">
        <v>10.96</v>
      </c>
      <c r="C33">
        <v>24.76</v>
      </c>
      <c r="D33">
        <v>18.010000000000002</v>
      </c>
      <c r="E33">
        <v>16.420000000000002</v>
      </c>
      <c r="F33">
        <v>19.989999999999998</v>
      </c>
      <c r="H33" t="s">
        <v>42</v>
      </c>
      <c r="I33">
        <f>VLOOKUP(H33,$A$1:F$161,I$2,0)</f>
        <v>267.66000000000003</v>
      </c>
      <c r="J33">
        <f>VLOOKUP(H33,$A$1:F$161,J$2,0)</f>
        <v>196.2</v>
      </c>
      <c r="K33">
        <f>VLOOKUP(H33,$A$1:F$161,K$2,0)</f>
        <v>169.39</v>
      </c>
      <c r="L33">
        <f>VLOOKUP(H33,$A$1:F$161,L$2,0)</f>
        <v>172.36</v>
      </c>
      <c r="M33">
        <f>VLOOKUP(H33,$A$1:F$161,M$2,0)</f>
        <v>211.72</v>
      </c>
    </row>
    <row r="34" spans="1:13" x14ac:dyDescent="0.25">
      <c r="A34" t="s">
        <v>34</v>
      </c>
      <c r="B34">
        <v>197.09</v>
      </c>
      <c r="C34">
        <v>73</v>
      </c>
      <c r="D34">
        <v>92.43</v>
      </c>
      <c r="E34">
        <v>56.31</v>
      </c>
      <c r="F34">
        <v>79.72</v>
      </c>
      <c r="H34" t="s">
        <v>43</v>
      </c>
      <c r="I34">
        <f>VLOOKUP(H34,$A$1:F$161,I$2,0)</f>
        <v>3522.84</v>
      </c>
      <c r="J34">
        <f>VLOOKUP(H34,$A$1:F$161,J$2,0)</f>
        <v>3085.26</v>
      </c>
      <c r="K34">
        <f>VLOOKUP(H34,$A$1:F$161,K$2,0)</f>
        <v>2209.11</v>
      </c>
      <c r="L34">
        <f>VLOOKUP(H34,$A$1:F$161,L$2,0)</f>
        <v>2281.08</v>
      </c>
      <c r="M34">
        <f>VLOOKUP(H34,$A$1:F$161,M$2,0)</f>
        <v>2099.21</v>
      </c>
    </row>
    <row r="35" spans="1:13" x14ac:dyDescent="0.25">
      <c r="A35" t="s">
        <v>35</v>
      </c>
      <c r="B35">
        <v>3103.06</v>
      </c>
      <c r="C35">
        <v>2282.8200000000002</v>
      </c>
      <c r="D35">
        <v>2133.59</v>
      </c>
      <c r="E35">
        <v>1556.18</v>
      </c>
      <c r="F35">
        <v>1405.49</v>
      </c>
      <c r="H35" t="s">
        <v>44</v>
      </c>
      <c r="I35">
        <f>VLOOKUP(H35,$A$1:F$161,I$2,0)</f>
        <v>6625.9</v>
      </c>
      <c r="J35">
        <f>VLOOKUP(H35,$A$1:F$161,J$2,0)</f>
        <v>5368.08</v>
      </c>
      <c r="K35">
        <f>VLOOKUP(H35,$A$1:F$161,K$2,0)</f>
        <v>4342.7</v>
      </c>
      <c r="L35">
        <f>VLOOKUP(H35,$A$1:F$161,L$2,0)</f>
        <v>3837.26</v>
      </c>
      <c r="M35">
        <f>VLOOKUP(H35,$A$1:F$161,M$2,0)</f>
        <v>3504.7</v>
      </c>
    </row>
    <row r="36" spans="1:13" ht="15" customHeight="1" x14ac:dyDescent="0.25">
      <c r="A36" t="s">
        <v>36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37</v>
      </c>
      <c r="B37">
        <v>62.75</v>
      </c>
      <c r="C37">
        <v>201.82</v>
      </c>
      <c r="D37">
        <v>179.35</v>
      </c>
      <c r="E37">
        <v>245.51</v>
      </c>
      <c r="F37">
        <v>227.59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38</v>
      </c>
      <c r="B38">
        <v>2149.9699999999998</v>
      </c>
      <c r="C38">
        <v>1499</v>
      </c>
      <c r="D38">
        <v>1167.24</v>
      </c>
      <c r="E38">
        <v>1149.1300000000001</v>
      </c>
      <c r="F38">
        <v>939.36</v>
      </c>
      <c r="H38" t="s">
        <v>47</v>
      </c>
      <c r="I38">
        <f>VLOOKUP(H38,$A$1:F$161,I$2,0)</f>
        <v>748.33</v>
      </c>
      <c r="J38">
        <f>VLOOKUP(H38,$A$1:F$161,J$2,0)</f>
        <v>823.12</v>
      </c>
      <c r="K38">
        <f>VLOOKUP(H38,$A$1:F$161,K$2,0)</f>
        <v>470.91</v>
      </c>
      <c r="L38">
        <f>VLOOKUP(H38,$A$1:F$161,L$2,0)</f>
        <v>434.81</v>
      </c>
      <c r="M38">
        <f>VLOOKUP(H38,$A$1:F$161,M$2,0)</f>
        <v>361.61</v>
      </c>
    </row>
    <row r="39" spans="1:13" x14ac:dyDescent="0.25">
      <c r="A39" t="s">
        <v>39</v>
      </c>
      <c r="B39">
        <v>835.58</v>
      </c>
      <c r="C39">
        <v>838.61</v>
      </c>
      <c r="D39">
        <v>558.57000000000005</v>
      </c>
      <c r="E39">
        <v>574.33000000000004</v>
      </c>
      <c r="F39">
        <v>598.01</v>
      </c>
      <c r="H39" t="s">
        <v>62</v>
      </c>
      <c r="I39">
        <f>VLOOKUP(H39,$A$1:F$161,I$2,0)</f>
        <v>62.75</v>
      </c>
      <c r="J39">
        <f>VLOOKUP(H39,$A$1:F$161,J$2,0)</f>
        <v>201.82</v>
      </c>
      <c r="K39">
        <f>VLOOKUP(H39,$A$1:F$161,K$2,0)</f>
        <v>179.35</v>
      </c>
      <c r="L39">
        <f>VLOOKUP(H39,$A$1:F$161,L$2,0)</f>
        <v>245.51</v>
      </c>
      <c r="M39">
        <f>VLOOKUP(H39,$A$1:F$161,M$2,0)</f>
        <v>227.59</v>
      </c>
    </row>
    <row r="40" spans="1:13" x14ac:dyDescent="0.25">
      <c r="A40" t="s">
        <v>40</v>
      </c>
      <c r="B40">
        <v>206.88</v>
      </c>
      <c r="C40">
        <v>338.55</v>
      </c>
      <c r="D40">
        <v>125.55</v>
      </c>
      <c r="E40">
        <v>131.77000000000001</v>
      </c>
      <c r="F40">
        <v>120.57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41</v>
      </c>
      <c r="B41">
        <v>0</v>
      </c>
      <c r="C41">
        <v>11.08</v>
      </c>
      <c r="D41">
        <v>9.01</v>
      </c>
      <c r="E41">
        <v>7.98</v>
      </c>
      <c r="F41">
        <v>1.96</v>
      </c>
      <c r="H41" t="s">
        <v>64</v>
      </c>
      <c r="I41">
        <f>VLOOKUP(H41,$A$1:F$161,I$2,0)</f>
        <v>62.75</v>
      </c>
      <c r="J41">
        <f>VLOOKUP(H41,$A$1:F$161,J$2,0)</f>
        <v>201.82</v>
      </c>
      <c r="K41">
        <f>VLOOKUP(H41,$A$1:F$161,K$2,0)</f>
        <v>179.35</v>
      </c>
      <c r="L41">
        <f>VLOOKUP(H41,$A$1:F$161,L$2,0)</f>
        <v>245.51</v>
      </c>
      <c r="M41">
        <f>VLOOKUP(H41,$A$1:F$161,M$2,0)</f>
        <v>227.59</v>
      </c>
    </row>
    <row r="42" spans="1:13" x14ac:dyDescent="0.25">
      <c r="A42" t="s">
        <v>42</v>
      </c>
      <c r="B42">
        <v>267.66000000000003</v>
      </c>
      <c r="C42">
        <v>196.2</v>
      </c>
      <c r="D42">
        <v>169.39</v>
      </c>
      <c r="E42">
        <v>172.36</v>
      </c>
      <c r="F42">
        <v>211.72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43</v>
      </c>
      <c r="B43">
        <v>3522.84</v>
      </c>
      <c r="C43">
        <v>3085.26</v>
      </c>
      <c r="D43">
        <v>2209.11</v>
      </c>
      <c r="E43">
        <v>2281.08</v>
      </c>
      <c r="F43">
        <v>2099.21</v>
      </c>
      <c r="H43" t="s">
        <v>68</v>
      </c>
      <c r="I43">
        <f>VLOOKUP(H43,$A$1:F$161,I$2,0)</f>
        <v>8655.77</v>
      </c>
      <c r="J43">
        <f>VLOOKUP(H43,$A$1:F$161,J$2,0)</f>
        <v>6736.88</v>
      </c>
      <c r="K43">
        <f>VLOOKUP(H43,$A$1:F$161,K$2,0)</f>
        <v>6295.35</v>
      </c>
      <c r="L43">
        <f>VLOOKUP(H43,$A$1:F$161,L$2,0)</f>
        <v>6004.63</v>
      </c>
      <c r="M43">
        <f>VLOOKUP(H43,$A$1:F$161,M$2,0)</f>
        <v>5232.78</v>
      </c>
    </row>
    <row r="44" spans="1:13" x14ac:dyDescent="0.25">
      <c r="A44" t="s">
        <v>44</v>
      </c>
      <c r="B44">
        <v>6625.9</v>
      </c>
      <c r="C44">
        <v>5368.08</v>
      </c>
      <c r="D44">
        <v>4342.7</v>
      </c>
      <c r="E44">
        <v>3837.26</v>
      </c>
      <c r="F44">
        <v>3504.7</v>
      </c>
      <c r="H44" t="s">
        <v>70</v>
      </c>
      <c r="I44">
        <f>VLOOKUP(H44,$A$1:F$161,I$2,0)</f>
        <v>8655.77</v>
      </c>
      <c r="J44">
        <f>VLOOKUP(H44,$A$1:F$161,J$2,0)</f>
        <v>6736.88</v>
      </c>
      <c r="K44">
        <f>VLOOKUP(H44,$A$1:F$161,K$2,0)</f>
        <v>6295.35</v>
      </c>
      <c r="L44">
        <f>VLOOKUP(H44,$A$1:F$161,L$2,0)</f>
        <v>6004.63</v>
      </c>
      <c r="M44">
        <f>VLOOKUP(H44,$A$1:F$161,M$2,0)</f>
        <v>5116.3900000000003</v>
      </c>
    </row>
    <row r="45" spans="1:13" ht="24" customHeight="1" x14ac:dyDescent="0.25">
      <c r="A45" t="s">
        <v>45</v>
      </c>
      <c r="H45" t="s">
        <v>71</v>
      </c>
      <c r="I45">
        <f>VLOOKUP(H45,$A$1:F$161,I$2,0)</f>
        <v>106.01</v>
      </c>
      <c r="J45">
        <f>VLOOKUP(H45,$A$1:F$161,J$2,0)</f>
        <v>80.709999999999994</v>
      </c>
      <c r="K45">
        <f>VLOOKUP(H45,$A$1:F$161,K$2,0)</f>
        <v>70.47</v>
      </c>
      <c r="L45">
        <f>VLOOKUP(H45,$A$1:F$161,L$2,0)</f>
        <v>57.23</v>
      </c>
      <c r="M45">
        <f>VLOOKUP(H45,$A$1:F$161,M$2,0)</f>
        <v>49.34</v>
      </c>
    </row>
    <row r="46" spans="1:13" ht="36" customHeight="1" x14ac:dyDescent="0.25">
      <c r="A46" t="s">
        <v>46</v>
      </c>
      <c r="H46" t="s">
        <v>72</v>
      </c>
      <c r="I46">
        <f>VLOOKUP(H46,$A$1:F$161,I$2,0)</f>
        <v>8761.7800000000007</v>
      </c>
      <c r="J46">
        <f>VLOOKUP(H46,$A$1:F$161,J$2,0)</f>
        <v>6817.59</v>
      </c>
      <c r="K46">
        <f>VLOOKUP(H46,$A$1:F$161,K$2,0)</f>
        <v>6365.82</v>
      </c>
      <c r="L46">
        <f>VLOOKUP(H46,$A$1:F$161,L$2,0)</f>
        <v>6061.86</v>
      </c>
      <c r="M46">
        <f>VLOOKUP(H46,$A$1:F$161,M$2,0)</f>
        <v>5165.7299999999996</v>
      </c>
    </row>
    <row r="47" spans="1:13" x14ac:dyDescent="0.25">
      <c r="A47" t="s">
        <v>47</v>
      </c>
      <c r="B47">
        <v>748.33</v>
      </c>
      <c r="C47">
        <v>823.12</v>
      </c>
      <c r="D47">
        <v>470.91</v>
      </c>
      <c r="E47">
        <v>434.81</v>
      </c>
      <c r="F47">
        <v>361.61</v>
      </c>
      <c r="H47" t="s">
        <v>73</v>
      </c>
      <c r="I47">
        <f>VLOOKUP(H47,$A$1:F$161,I$2,0)</f>
        <v>64.59</v>
      </c>
      <c r="J47">
        <f>VLOOKUP(H47,$A$1:F$161,J$2,0)</f>
        <v>51.49</v>
      </c>
      <c r="K47">
        <f>VLOOKUP(H47,$A$1:F$161,K$2,0)</f>
        <v>68.52</v>
      </c>
      <c r="L47">
        <f>VLOOKUP(H47,$A$1:F$161,L$2,0)</f>
        <v>60.03</v>
      </c>
      <c r="M47">
        <f>VLOOKUP(H47,$A$1:F$161,M$2,0)</f>
        <v>45.87</v>
      </c>
    </row>
    <row r="48" spans="1:13" ht="24" customHeight="1" x14ac:dyDescent="0.25">
      <c r="A48" t="s">
        <v>48</v>
      </c>
      <c r="H48" t="s">
        <v>74</v>
      </c>
      <c r="I48">
        <f>VLOOKUP(H48,$A$1:F$161,I$2,0)</f>
        <v>8826.3700000000008</v>
      </c>
      <c r="J48">
        <f>VLOOKUP(H48,$A$1:F$161,J$2,0)</f>
        <v>6869.08</v>
      </c>
      <c r="K48">
        <f>VLOOKUP(H48,$A$1:F$161,K$2,0)</f>
        <v>6434.34</v>
      </c>
      <c r="L48">
        <f>VLOOKUP(H48,$A$1:F$161,L$2,0)</f>
        <v>6121.89</v>
      </c>
      <c r="M48">
        <f>VLOOKUP(H48,$A$1:F$161,M$2,0)</f>
        <v>5211.6000000000004</v>
      </c>
    </row>
    <row r="49" spans="1:13" ht="24" customHeight="1" x14ac:dyDescent="0.25">
      <c r="A49" t="s">
        <v>49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50</v>
      </c>
      <c r="B50">
        <v>1167.45</v>
      </c>
      <c r="C50">
        <v>672.17</v>
      </c>
      <c r="D50">
        <v>714.37</v>
      </c>
      <c r="E50">
        <v>740.29</v>
      </c>
      <c r="F50">
        <v>0</v>
      </c>
      <c r="H50" t="s">
        <v>76</v>
      </c>
      <c r="I50">
        <f>VLOOKUP(H50,$A$1:F$161,I$2,0)</f>
        <v>5046.7700000000004</v>
      </c>
      <c r="J50">
        <f>VLOOKUP(H50,$A$1:F$161,J$2,0)</f>
        <v>3437.58</v>
      </c>
      <c r="K50">
        <f>VLOOKUP(H50,$A$1:F$161,K$2,0)</f>
        <v>3227.95</v>
      </c>
      <c r="L50">
        <f>VLOOKUP(H50,$A$1:F$161,L$2,0)</f>
        <v>3416.5</v>
      </c>
      <c r="M50">
        <f>VLOOKUP(H50,$A$1:F$161,M$2,0)</f>
        <v>2678.14</v>
      </c>
    </row>
    <row r="51" spans="1:13" ht="48" customHeight="1" x14ac:dyDescent="0.25">
      <c r="A51" t="s">
        <v>51</v>
      </c>
      <c r="H51" t="s">
        <v>77</v>
      </c>
      <c r="I51">
        <f>VLOOKUP(H51,$A$1:F$161,I$2,0)</f>
        <v>763.79</v>
      </c>
      <c r="J51">
        <f>VLOOKUP(H51,$A$1:F$161,J$2,0)</f>
        <v>617.63</v>
      </c>
      <c r="K51">
        <f>VLOOKUP(H51,$A$1:F$161,K$2,0)</f>
        <v>516.66</v>
      </c>
      <c r="L51">
        <f>VLOOKUP(H51,$A$1:F$161,L$2,0)</f>
        <v>457.06</v>
      </c>
      <c r="M51">
        <f>VLOOKUP(H51,$A$1:F$161,M$2,0)</f>
        <v>431.79</v>
      </c>
    </row>
    <row r="52" spans="1:13" x14ac:dyDescent="0.25">
      <c r="A52" t="s">
        <v>52</v>
      </c>
      <c r="B52" t="s">
        <v>53</v>
      </c>
      <c r="C52" t="s">
        <v>53</v>
      </c>
      <c r="D52" t="s">
        <v>53</v>
      </c>
      <c r="E52" t="s">
        <v>53</v>
      </c>
      <c r="F52" t="s">
        <v>53</v>
      </c>
      <c r="H52" t="s">
        <v>78</v>
      </c>
      <c r="I52">
        <f>VLOOKUP(H52,$A$1:F$161,I$2,0)</f>
        <v>-381.49</v>
      </c>
      <c r="J52">
        <f>VLOOKUP(H52,$A$1:F$161,J$2,0)</f>
        <v>-186.65</v>
      </c>
      <c r="K52">
        <f>VLOOKUP(H52,$A$1:F$161,K$2,0)</f>
        <v>-18.8</v>
      </c>
      <c r="L52">
        <f>VLOOKUP(H52,$A$1:F$161,L$2,0)</f>
        <v>-173.95</v>
      </c>
      <c r="M52">
        <f>VLOOKUP(H52,$A$1:F$161,M$2,0)</f>
        <v>-99.97</v>
      </c>
    </row>
    <row r="53" spans="1:13" ht="24" customHeight="1" x14ac:dyDescent="0.25">
      <c r="A53" t="s">
        <v>54</v>
      </c>
      <c r="H53" t="s">
        <v>79</v>
      </c>
      <c r="I53">
        <f>VLOOKUP(H53,$A$1:F$161,I$2,0)</f>
        <v>543.12</v>
      </c>
      <c r="J53">
        <f>VLOOKUP(H53,$A$1:F$161,J$2,0)</f>
        <v>485.14</v>
      </c>
      <c r="K53">
        <f>VLOOKUP(H53,$A$1:F$161,K$2,0)</f>
        <v>452.5</v>
      </c>
      <c r="L53">
        <f>VLOOKUP(H53,$A$1:F$161,L$2,0)</f>
        <v>408.51</v>
      </c>
      <c r="M53">
        <f>VLOOKUP(H53,$A$1:F$161,M$2,0)</f>
        <v>356.58</v>
      </c>
    </row>
    <row r="54" spans="1:13" x14ac:dyDescent="0.25">
      <c r="A54" t="s">
        <v>55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50.72</v>
      </c>
      <c r="J54">
        <f>VLOOKUP(H54,$A$1:F$161,J$2,0)</f>
        <v>44.1</v>
      </c>
      <c r="K54">
        <f>VLOOKUP(H54,$A$1:F$161,K$2,0)</f>
        <v>47.04</v>
      </c>
      <c r="L54">
        <f>VLOOKUP(H54,$A$1:F$161,L$2,0)</f>
        <v>32.33</v>
      </c>
      <c r="M54">
        <f>VLOOKUP(H54,$A$1:F$161,M$2,0)</f>
        <v>24.55</v>
      </c>
    </row>
    <row r="55" spans="1:13" x14ac:dyDescent="0.25">
      <c r="A55" t="s">
        <v>56</v>
      </c>
      <c r="B55">
        <v>8.66</v>
      </c>
      <c r="C55">
        <v>7.41</v>
      </c>
      <c r="D55">
        <v>6</v>
      </c>
      <c r="E55">
        <v>8.07</v>
      </c>
      <c r="F55" t="s">
        <v>53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ht="15" customHeight="1" x14ac:dyDescent="0.25">
      <c r="A56" t="s">
        <v>57</v>
      </c>
      <c r="H56" t="s">
        <v>82</v>
      </c>
      <c r="I56">
        <f>VLOOKUP(H56,$A$1:F$161,I$2,0)</f>
        <v>226.51</v>
      </c>
      <c r="J56">
        <f>VLOOKUP(H56,$A$1:F$161,J$2,0)</f>
        <v>211.14</v>
      </c>
      <c r="K56">
        <f>VLOOKUP(H56,$A$1:F$161,K$2,0)</f>
        <v>191.01</v>
      </c>
      <c r="L56">
        <f>VLOOKUP(H56,$A$1:F$161,L$2,0)</f>
        <v>137.77000000000001</v>
      </c>
      <c r="M56">
        <f>VLOOKUP(H56,$A$1:F$161,M$2,0)</f>
        <v>124.21</v>
      </c>
    </row>
    <row r="57" spans="1:13" x14ac:dyDescent="0.25">
      <c r="A57" t="s">
        <v>58</v>
      </c>
      <c r="B57">
        <v>78.63</v>
      </c>
      <c r="C57">
        <v>78.63</v>
      </c>
      <c r="D57">
        <v>78.63</v>
      </c>
      <c r="E57">
        <v>78.63</v>
      </c>
      <c r="F57">
        <v>78.63</v>
      </c>
      <c r="H57" t="s">
        <v>83</v>
      </c>
      <c r="I57">
        <f>VLOOKUP(H57,$A$1:F$161,I$2,0)</f>
        <v>1458.52</v>
      </c>
      <c r="J57">
        <f>VLOOKUP(H57,$A$1:F$161,J$2,0)</f>
        <v>1275.9100000000001</v>
      </c>
      <c r="K57">
        <f>VLOOKUP(H57,$A$1:F$161,K$2,0)</f>
        <v>1126.52</v>
      </c>
      <c r="L57">
        <f>VLOOKUP(H57,$A$1:F$161,L$2,0)</f>
        <v>1072.17</v>
      </c>
      <c r="M57">
        <f>VLOOKUP(H57,$A$1:F$161,M$2,0)</f>
        <v>992.2</v>
      </c>
    </row>
    <row r="58" spans="1:13" ht="24" customHeight="1" x14ac:dyDescent="0.25">
      <c r="A58" t="s">
        <v>59</v>
      </c>
      <c r="H58" t="s">
        <v>84</v>
      </c>
      <c r="I58">
        <f>VLOOKUP(H58,$A$1:F$161,I$2,0)</f>
        <v>7707.94</v>
      </c>
      <c r="J58">
        <f>VLOOKUP(H58,$A$1:F$161,J$2,0)</f>
        <v>5884.85</v>
      </c>
      <c r="K58">
        <f>VLOOKUP(H58,$A$1:F$161,K$2,0)</f>
        <v>5542.88</v>
      </c>
      <c r="L58">
        <f>VLOOKUP(H58,$A$1:F$161,L$2,0)</f>
        <v>5350.39</v>
      </c>
      <c r="M58">
        <f>VLOOKUP(H58,$A$1:F$161,M$2,0)</f>
        <v>4507.5</v>
      </c>
    </row>
    <row r="59" spans="1:13" x14ac:dyDescent="0.25">
      <c r="A59" t="s">
        <v>60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1118.43</v>
      </c>
      <c r="J59">
        <f>VLOOKUP(H59,$A$1:F$161,J$2,0)</f>
        <v>984.23</v>
      </c>
      <c r="K59">
        <f>VLOOKUP(H59,$A$1:F$161,K$2,0)</f>
        <v>891.46</v>
      </c>
      <c r="L59">
        <f>VLOOKUP(H59,$A$1:F$161,L$2,0)</f>
        <v>771.5</v>
      </c>
      <c r="M59">
        <f>VLOOKUP(H59,$A$1:F$161,M$2,0)</f>
        <v>704.1</v>
      </c>
    </row>
    <row r="60" spans="1:13" x14ac:dyDescent="0.25">
      <c r="A60" t="s">
        <v>61</v>
      </c>
      <c r="B60">
        <v>681.42</v>
      </c>
      <c r="C60">
        <v>585.87</v>
      </c>
      <c r="D60">
        <v>468.63</v>
      </c>
      <c r="E60">
        <v>331.8</v>
      </c>
      <c r="F60">
        <v>303.18</v>
      </c>
      <c r="H60" t="s">
        <v>87</v>
      </c>
      <c r="I60">
        <f>VLOOKUP(H60,$A$1:F$161,I$2,0)</f>
        <v>1118.43</v>
      </c>
      <c r="J60">
        <f>VLOOKUP(H60,$A$1:F$161,J$2,0)</f>
        <v>984.23</v>
      </c>
      <c r="K60">
        <f>VLOOKUP(H60,$A$1:F$161,K$2,0)</f>
        <v>891.46</v>
      </c>
      <c r="L60">
        <f>VLOOKUP(H60,$A$1:F$161,L$2,0)</f>
        <v>771.5</v>
      </c>
      <c r="M60">
        <f>VLOOKUP(H60,$A$1:F$161,M$2,0)</f>
        <v>704.1</v>
      </c>
    </row>
    <row r="61" spans="1:13" ht="24" customHeight="1" x14ac:dyDescent="0.25">
      <c r="A61" t="s">
        <v>62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63</v>
      </c>
      <c r="B62" t="s">
        <v>53</v>
      </c>
      <c r="C62" t="s">
        <v>53</v>
      </c>
      <c r="D62" t="s">
        <v>53</v>
      </c>
      <c r="E62" t="s">
        <v>53</v>
      </c>
      <c r="F62" t="s">
        <v>53</v>
      </c>
      <c r="H62" t="s">
        <v>89</v>
      </c>
      <c r="I62">
        <f>VLOOKUP(H62,$A$1:F$161,I$2,0)</f>
        <v>286.06</v>
      </c>
      <c r="J62">
        <f>VLOOKUP(H62,$A$1:F$161,J$2,0)</f>
        <v>257.88</v>
      </c>
      <c r="K62">
        <f>VLOOKUP(H62,$A$1:F$161,K$2,0)</f>
        <v>248.14</v>
      </c>
      <c r="L62">
        <f>VLOOKUP(H62,$A$1:F$161,L$2,0)</f>
        <v>267.62</v>
      </c>
      <c r="M62">
        <f>VLOOKUP(H62,$A$1:F$161,M$2,0)</f>
        <v>245.64</v>
      </c>
    </row>
    <row r="63" spans="1:13" x14ac:dyDescent="0.25">
      <c r="A63" t="s">
        <v>64</v>
      </c>
      <c r="B63">
        <v>62.75</v>
      </c>
      <c r="C63">
        <v>201.82</v>
      </c>
      <c r="D63">
        <v>179.35</v>
      </c>
      <c r="E63">
        <v>245.51</v>
      </c>
      <c r="F63">
        <v>227.59</v>
      </c>
      <c r="H63" t="s">
        <v>90</v>
      </c>
      <c r="I63">
        <f>VLOOKUP(H63,$A$1:F$161,I$2,0)</f>
        <v>3.28</v>
      </c>
      <c r="J63">
        <f>VLOOKUP(H63,$A$1:F$161,J$2,0)</f>
        <v>1.02</v>
      </c>
      <c r="K63">
        <f>VLOOKUP(H63,$A$1:F$161,K$2,0)</f>
        <v>-21.08</v>
      </c>
      <c r="L63">
        <f>VLOOKUP(H63,$A$1:F$161,L$2,0)</f>
        <v>5.53</v>
      </c>
      <c r="M63">
        <f>VLOOKUP(H63,$A$1:F$161,M$2,0)</f>
        <v>-1.73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1:13" x14ac:dyDescent="0.25">
      <c r="H65" t="s">
        <v>91</v>
      </c>
      <c r="I65">
        <f>VLOOKUP(H65,$A$1:F$161,I$2,0)</f>
        <v>289.33999999999997</v>
      </c>
      <c r="J65">
        <f>VLOOKUP(H65,$A$1:F$161,J$2,0)</f>
        <v>258.89999999999998</v>
      </c>
      <c r="K65">
        <f>VLOOKUP(H65,$A$1:F$161,K$2,0)</f>
        <v>227.06</v>
      </c>
      <c r="L65">
        <f>VLOOKUP(H65,$A$1:F$161,L$2,0)</f>
        <v>273.14999999999998</v>
      </c>
      <c r="M65">
        <f>VLOOKUP(H65,$A$1:F$161,M$2,0)</f>
        <v>243.91</v>
      </c>
    </row>
    <row r="66" spans="1:13" x14ac:dyDescent="0.25">
      <c r="H66" t="s">
        <v>92</v>
      </c>
      <c r="I66">
        <f>VLOOKUP(H66,$A$1:F$161,I$2,0)</f>
        <v>829.09</v>
      </c>
      <c r="J66">
        <f>VLOOKUP(H66,$A$1:F$161,J$2,0)</f>
        <v>725.33</v>
      </c>
      <c r="K66">
        <f>VLOOKUP(H66,$A$1:F$161,K$2,0)</f>
        <v>664.4</v>
      </c>
      <c r="L66">
        <f>VLOOKUP(H66,$A$1:F$161,L$2,0)</f>
        <v>498.35</v>
      </c>
      <c r="M66">
        <f>VLOOKUP(H66,$A$1:F$161,M$2,0)</f>
        <v>460.19</v>
      </c>
    </row>
    <row r="67" spans="1:13" ht="15" customHeight="1" x14ac:dyDescent="0.25">
      <c r="A67" t="s">
        <v>65</v>
      </c>
      <c r="H67" t="s">
        <v>93</v>
      </c>
      <c r="I67">
        <f>VLOOKUP(H67,$A$1:F$161,I$2,0)</f>
        <v>829.09</v>
      </c>
      <c r="J67">
        <f>VLOOKUP(H67,$A$1:F$161,J$2,0)</f>
        <v>725.33</v>
      </c>
      <c r="K67">
        <f>VLOOKUP(H67,$A$1:F$161,K$2,0)</f>
        <v>664.4</v>
      </c>
      <c r="L67">
        <f>VLOOKUP(H67,$A$1:F$161,L$2,0)</f>
        <v>498.35</v>
      </c>
      <c r="M67">
        <f>VLOOKUP(H67,$A$1:F$161,M$2,0)</f>
        <v>460.19</v>
      </c>
    </row>
    <row r="68" spans="1:13" x14ac:dyDescent="0.25">
      <c r="H68" t="s">
        <v>94</v>
      </c>
      <c r="I68">
        <f>VLOOKUP(H68,$A$1:F$161,I$2,0)</f>
        <v>829.09</v>
      </c>
      <c r="J68">
        <f>VLOOKUP(H68,$A$1:F$161,J$2,0)</f>
        <v>725.33</v>
      </c>
      <c r="K68">
        <f>VLOOKUP(H68,$A$1:F$161,K$2,0)</f>
        <v>664.4</v>
      </c>
      <c r="L68">
        <f>VLOOKUP(H68,$A$1:F$161,L$2,0)</f>
        <v>498.35</v>
      </c>
      <c r="M68">
        <f>VLOOKUP(H68,$A$1:F$161,M$2,0)</f>
        <v>460.19</v>
      </c>
    </row>
    <row r="69" spans="1:13" x14ac:dyDescent="0.25">
      <c r="H69" t="s">
        <v>101</v>
      </c>
      <c r="I69">
        <f>VLOOKUP(H69,$A$1:F$161,I$2,0)</f>
        <v>271.95999999999998</v>
      </c>
      <c r="J69">
        <f>VLOOKUP(H69,$A$1:F$161,J$2,0)</f>
        <v>29.14</v>
      </c>
      <c r="K69">
        <f>VLOOKUP(H69,$A$1:F$161,K$2,0)</f>
        <v>369.04</v>
      </c>
      <c r="L69">
        <f>VLOOKUP(H69,$A$1:F$161,L$2,0)</f>
        <v>174.78</v>
      </c>
      <c r="M69">
        <f>VLOOKUP(H69,$A$1:F$161,M$2,0)</f>
        <v>169.93</v>
      </c>
    </row>
    <row r="70" spans="1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55.27</v>
      </c>
      <c r="L70">
        <f>VLOOKUP(H70,$A$1:F$161,L$2,0)</f>
        <v>35.93</v>
      </c>
      <c r="M70">
        <f>VLOOKUP(H70,$A$1:F$161,M$2,0)</f>
        <v>34.590000000000003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164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8655.77</v>
      </c>
      <c r="C97">
        <v>6736.88</v>
      </c>
      <c r="D97">
        <v>6295.35</v>
      </c>
      <c r="E97">
        <v>6004.63</v>
      </c>
      <c r="F97">
        <v>5232.78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116.39</v>
      </c>
    </row>
    <row r="99" spans="1:6" x14ac:dyDescent="0.25">
      <c r="A99" t="s">
        <v>70</v>
      </c>
      <c r="B99">
        <v>8655.77</v>
      </c>
      <c r="C99">
        <v>6736.88</v>
      </c>
      <c r="D99">
        <v>6295.35</v>
      </c>
      <c r="E99">
        <v>6004.63</v>
      </c>
      <c r="F99">
        <v>5116.3900000000003</v>
      </c>
    </row>
    <row r="100" spans="1:6" x14ac:dyDescent="0.25">
      <c r="A100" t="s">
        <v>71</v>
      </c>
      <c r="B100">
        <v>106.01</v>
      </c>
      <c r="C100">
        <v>80.709999999999994</v>
      </c>
      <c r="D100">
        <v>70.47</v>
      </c>
      <c r="E100">
        <v>57.23</v>
      </c>
      <c r="F100">
        <v>49.34</v>
      </c>
    </row>
    <row r="101" spans="1:6" x14ac:dyDescent="0.25">
      <c r="A101" t="s">
        <v>72</v>
      </c>
      <c r="B101">
        <v>8761.7800000000007</v>
      </c>
      <c r="C101">
        <v>6817.59</v>
      </c>
      <c r="D101">
        <v>6365.82</v>
      </c>
      <c r="E101">
        <v>6061.86</v>
      </c>
      <c r="F101">
        <v>5165.7299999999996</v>
      </c>
    </row>
    <row r="102" spans="1:6" x14ac:dyDescent="0.25">
      <c r="A102" t="s">
        <v>73</v>
      </c>
      <c r="B102">
        <v>64.59</v>
      </c>
      <c r="C102">
        <v>51.49</v>
      </c>
      <c r="D102">
        <v>68.52</v>
      </c>
      <c r="E102">
        <v>60.03</v>
      </c>
      <c r="F102">
        <v>45.87</v>
      </c>
    </row>
    <row r="103" spans="1:6" x14ac:dyDescent="0.25">
      <c r="A103" t="s">
        <v>74</v>
      </c>
      <c r="B103">
        <v>8826.3700000000008</v>
      </c>
      <c r="C103">
        <v>6869.08</v>
      </c>
      <c r="D103">
        <v>6434.34</v>
      </c>
      <c r="E103">
        <v>6121.89</v>
      </c>
      <c r="F103">
        <v>5211.6000000000004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5046.7700000000004</v>
      </c>
      <c r="C105">
        <v>3437.58</v>
      </c>
      <c r="D105">
        <v>3227.95</v>
      </c>
      <c r="E105">
        <v>3416.5</v>
      </c>
      <c r="F105">
        <v>2678.14</v>
      </c>
    </row>
    <row r="106" spans="1:6" x14ac:dyDescent="0.25">
      <c r="A106" t="s">
        <v>77</v>
      </c>
      <c r="B106">
        <v>763.79</v>
      </c>
      <c r="C106">
        <v>617.63</v>
      </c>
      <c r="D106">
        <v>516.66</v>
      </c>
      <c r="E106">
        <v>457.06</v>
      </c>
      <c r="F106">
        <v>431.79</v>
      </c>
    </row>
    <row r="107" spans="1:6" x14ac:dyDescent="0.25">
      <c r="A107" t="s">
        <v>78</v>
      </c>
      <c r="B107">
        <v>-381.49</v>
      </c>
      <c r="C107">
        <v>-186.65</v>
      </c>
      <c r="D107">
        <v>-18.8</v>
      </c>
      <c r="E107">
        <v>-173.95</v>
      </c>
      <c r="F107">
        <v>-99.97</v>
      </c>
    </row>
    <row r="108" spans="1:6" x14ac:dyDescent="0.25">
      <c r="A108" t="s">
        <v>79</v>
      </c>
      <c r="B108">
        <v>543.12</v>
      </c>
      <c r="C108">
        <v>485.14</v>
      </c>
      <c r="D108">
        <v>452.5</v>
      </c>
      <c r="E108">
        <v>408.51</v>
      </c>
      <c r="F108">
        <v>356.58</v>
      </c>
    </row>
    <row r="109" spans="1:6" x14ac:dyDescent="0.25">
      <c r="A109" t="s">
        <v>80</v>
      </c>
      <c r="B109">
        <v>50.72</v>
      </c>
      <c r="C109">
        <v>44.1</v>
      </c>
      <c r="D109">
        <v>47.04</v>
      </c>
      <c r="E109">
        <v>32.33</v>
      </c>
      <c r="F109">
        <v>24.55</v>
      </c>
    </row>
    <row r="110" spans="1:6" x14ac:dyDescent="0.25">
      <c r="A110" t="s">
        <v>82</v>
      </c>
      <c r="B110">
        <v>226.51</v>
      </c>
      <c r="C110">
        <v>211.14</v>
      </c>
      <c r="D110">
        <v>191.01</v>
      </c>
      <c r="E110">
        <v>137.77000000000001</v>
      </c>
      <c r="F110">
        <v>124.21</v>
      </c>
    </row>
    <row r="111" spans="1:6" x14ac:dyDescent="0.25">
      <c r="A111" t="s">
        <v>83</v>
      </c>
      <c r="B111">
        <v>1458.52</v>
      </c>
      <c r="C111">
        <v>1275.9100000000001</v>
      </c>
      <c r="D111">
        <v>1126.52</v>
      </c>
      <c r="E111">
        <v>1072.17</v>
      </c>
      <c r="F111">
        <v>992.2</v>
      </c>
    </row>
    <row r="112" spans="1:6" x14ac:dyDescent="0.25">
      <c r="A112" t="s">
        <v>84</v>
      </c>
      <c r="B112">
        <v>7707.94</v>
      </c>
      <c r="C112">
        <v>5884.85</v>
      </c>
      <c r="D112">
        <v>5542.88</v>
      </c>
      <c r="E112">
        <v>5350.39</v>
      </c>
      <c r="F112">
        <v>4507.5</v>
      </c>
    </row>
    <row r="113" spans="1:6" x14ac:dyDescent="0.25">
      <c r="A113" t="s">
        <v>85</v>
      </c>
      <c r="B113">
        <v>1118.43</v>
      </c>
      <c r="C113">
        <v>984.23</v>
      </c>
      <c r="D113">
        <v>891.46</v>
      </c>
      <c r="E113">
        <v>771.5</v>
      </c>
      <c r="F113">
        <v>704.1</v>
      </c>
    </row>
    <row r="114" spans="1:6" x14ac:dyDescent="0.25">
      <c r="A114" t="s">
        <v>87</v>
      </c>
      <c r="B114">
        <v>1118.43</v>
      </c>
      <c r="C114">
        <v>984.23</v>
      </c>
      <c r="D114">
        <v>891.46</v>
      </c>
      <c r="E114">
        <v>771.5</v>
      </c>
      <c r="F114">
        <v>704.1</v>
      </c>
    </row>
    <row r="115" spans="1:6" ht="24" customHeight="1" x14ac:dyDescent="0.25">
      <c r="A115" t="s">
        <v>88</v>
      </c>
    </row>
    <row r="116" spans="1:6" x14ac:dyDescent="0.25">
      <c r="A116" t="s">
        <v>89</v>
      </c>
      <c r="B116">
        <v>286.06</v>
      </c>
      <c r="C116">
        <v>257.88</v>
      </c>
      <c r="D116">
        <v>248.14</v>
      </c>
      <c r="E116">
        <v>267.62</v>
      </c>
      <c r="F116">
        <v>245.64</v>
      </c>
    </row>
    <row r="117" spans="1:6" x14ac:dyDescent="0.25">
      <c r="A117" t="s">
        <v>90</v>
      </c>
      <c r="B117">
        <v>3.28</v>
      </c>
      <c r="C117">
        <v>1.02</v>
      </c>
      <c r="D117">
        <v>-21.08</v>
      </c>
      <c r="E117">
        <v>5.53</v>
      </c>
      <c r="F117">
        <v>-1.73</v>
      </c>
    </row>
    <row r="118" spans="1:6" x14ac:dyDescent="0.25">
      <c r="A118" t="s">
        <v>91</v>
      </c>
      <c r="B118">
        <v>289.33999999999997</v>
      </c>
      <c r="C118">
        <v>258.89999999999998</v>
      </c>
      <c r="D118">
        <v>227.06</v>
      </c>
      <c r="E118">
        <v>273.14999999999998</v>
      </c>
      <c r="F118">
        <v>243.91</v>
      </c>
    </row>
    <row r="119" spans="1:6" x14ac:dyDescent="0.25">
      <c r="A119" t="s">
        <v>92</v>
      </c>
      <c r="B119">
        <v>829.09</v>
      </c>
      <c r="C119">
        <v>725.33</v>
      </c>
      <c r="D119">
        <v>664.4</v>
      </c>
      <c r="E119">
        <v>498.35</v>
      </c>
      <c r="F119">
        <v>460.19</v>
      </c>
    </row>
    <row r="120" spans="1:6" x14ac:dyDescent="0.25">
      <c r="A120" t="s">
        <v>93</v>
      </c>
      <c r="B120">
        <v>829.09</v>
      </c>
      <c r="C120">
        <v>725.33</v>
      </c>
      <c r="D120">
        <v>664.4</v>
      </c>
      <c r="E120">
        <v>498.35</v>
      </c>
      <c r="F120">
        <v>460.19</v>
      </c>
    </row>
    <row r="121" spans="1:6" x14ac:dyDescent="0.25">
      <c r="A121" t="s">
        <v>94</v>
      </c>
      <c r="B121">
        <v>829.09</v>
      </c>
      <c r="C121">
        <v>725.33</v>
      </c>
      <c r="D121">
        <v>664.4</v>
      </c>
      <c r="E121">
        <v>498.35</v>
      </c>
      <c r="F121">
        <v>460.19</v>
      </c>
    </row>
    <row r="122" spans="1:6" x14ac:dyDescent="0.25">
      <c r="A122" t="s">
        <v>116</v>
      </c>
      <c r="B122">
        <v>-0.13</v>
      </c>
      <c r="C122">
        <v>0.03</v>
      </c>
      <c r="D122">
        <v>1.71</v>
      </c>
      <c r="E122">
        <v>0.41</v>
      </c>
      <c r="F122">
        <v>0</v>
      </c>
    </row>
    <row r="123" spans="1:6" x14ac:dyDescent="0.25">
      <c r="A123" t="s">
        <v>130</v>
      </c>
      <c r="B123">
        <v>3.86</v>
      </c>
      <c r="C123">
        <v>-5.61</v>
      </c>
      <c r="D123">
        <v>-8.3000000000000007</v>
      </c>
      <c r="E123">
        <v>-0.9</v>
      </c>
      <c r="F123">
        <v>0.64</v>
      </c>
    </row>
    <row r="124" spans="1:6" x14ac:dyDescent="0.25">
      <c r="A124" t="s">
        <v>113</v>
      </c>
      <c r="B124">
        <v>832.82</v>
      </c>
      <c r="C124">
        <v>719.75</v>
      </c>
      <c r="D124">
        <v>657.81</v>
      </c>
      <c r="E124">
        <v>497.86</v>
      </c>
      <c r="F124">
        <v>460.83</v>
      </c>
    </row>
    <row r="125" spans="1:6" ht="24" customHeight="1" x14ac:dyDescent="0.25">
      <c r="A125" t="s">
        <v>45</v>
      </c>
    </row>
    <row r="126" spans="1:6" ht="24" customHeight="1" x14ac:dyDescent="0.25">
      <c r="A126" t="s">
        <v>95</v>
      </c>
    </row>
    <row r="127" spans="1:6" x14ac:dyDescent="0.25">
      <c r="A127" t="s">
        <v>96</v>
      </c>
      <c r="B127">
        <v>9</v>
      </c>
      <c r="C127">
        <v>7</v>
      </c>
      <c r="D127">
        <v>7</v>
      </c>
      <c r="E127">
        <v>5</v>
      </c>
      <c r="F127">
        <v>5</v>
      </c>
    </row>
    <row r="128" spans="1:6" x14ac:dyDescent="0.25">
      <c r="A128" t="s">
        <v>97</v>
      </c>
      <c r="B128">
        <v>9</v>
      </c>
      <c r="C128">
        <v>7</v>
      </c>
      <c r="D128">
        <v>7</v>
      </c>
      <c r="E128">
        <v>5</v>
      </c>
      <c r="F128">
        <v>5</v>
      </c>
    </row>
    <row r="129" spans="1:6" ht="36" customHeight="1" x14ac:dyDescent="0.25">
      <c r="A129" t="s">
        <v>100</v>
      </c>
    </row>
    <row r="130" spans="1:6" x14ac:dyDescent="0.25">
      <c r="A130" t="s">
        <v>101</v>
      </c>
      <c r="B130">
        <v>271.95999999999998</v>
      </c>
      <c r="C130">
        <v>29.14</v>
      </c>
      <c r="D130">
        <v>369.04</v>
      </c>
      <c r="E130">
        <v>174.78</v>
      </c>
      <c r="F130">
        <v>169.93</v>
      </c>
    </row>
    <row r="131" spans="1:6" x14ac:dyDescent="0.25">
      <c r="A131" t="s">
        <v>102</v>
      </c>
      <c r="B131">
        <v>0</v>
      </c>
      <c r="C131">
        <v>0</v>
      </c>
      <c r="D131">
        <v>55.27</v>
      </c>
      <c r="E131">
        <v>35.93</v>
      </c>
      <c r="F131">
        <v>34.590000000000003</v>
      </c>
    </row>
    <row r="135" spans="1:6" ht="15" customHeight="1" x14ac:dyDescent="0.25">
      <c r="A135" t="s">
        <v>65</v>
      </c>
    </row>
  </sheetData>
  <hyperlinks>
    <hyperlink ref="B1" r:id="rId1" display="javascript:void(0);" xr:uid="{9B97DB3D-E2A2-45AE-B143-D2D3BC4F819F}"/>
    <hyperlink ref="B90" r:id="rId2" display="javascript:void(0);" xr:uid="{315C4DBD-5E98-4453-9DED-C7F06E9D408E}"/>
  </hyperlinks>
  <pageMargins left="0.7" right="0.7" top="0.75" bottom="0.75" header="0.3" footer="0.3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0392D-5E1A-4FAB-A6D9-10ACBDA48C13}">
  <sheetPr codeName="Sheet32"/>
  <dimension ref="A1:M136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165</v>
      </c>
      <c r="B1" t="s">
        <v>1</v>
      </c>
      <c r="H1" t="str">
        <f>A1</f>
        <v>United Spirits</v>
      </c>
    </row>
    <row r="2" spans="1:13" x14ac:dyDescent="0.25">
      <c r="A2" t="s">
        <v>2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145.30000000000001</v>
      </c>
      <c r="J4">
        <f>VLOOKUP(H4,$A$1:F$161,J$2,0)</f>
        <v>145.30000000000001</v>
      </c>
      <c r="K4">
        <f>VLOOKUP(H4,$A$1:F$161,K$2,0)</f>
        <v>145.30000000000001</v>
      </c>
      <c r="L4">
        <f>VLOOKUP(H4,$A$1:F$161,L$2,0)</f>
        <v>145.30000000000001</v>
      </c>
      <c r="M4">
        <f>VLOOKUP(H4,$A$1:F$161,M$2,0)</f>
        <v>145.30000000000001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145.30000000000001</v>
      </c>
      <c r="J5">
        <f>VLOOKUP(H5,$A$1:F$161,J$2,0)</f>
        <v>145.30000000000001</v>
      </c>
      <c r="K5">
        <f>VLOOKUP(H5,$A$1:F$161,K$2,0)</f>
        <v>145.30000000000001</v>
      </c>
      <c r="L5">
        <f>VLOOKUP(H5,$A$1:F$161,L$2,0)</f>
        <v>145.30000000000001</v>
      </c>
      <c r="M5">
        <f>VLOOKUP(H5,$A$1:F$161,M$2,0)</f>
        <v>145.30000000000001</v>
      </c>
    </row>
    <row r="6" spans="1:13" x14ac:dyDescent="0.25">
      <c r="H6" t="s">
        <v>10</v>
      </c>
      <c r="I6">
        <f>VLOOKUP(H6,$A$1:F$161,I$2,0)</f>
        <v>4756.3999999999996</v>
      </c>
      <c r="J6">
        <f>VLOOKUP(H6,$A$1:F$161,J$2,0)</f>
        <v>3981.5</v>
      </c>
      <c r="K6">
        <f>VLOOKUP(H6,$A$1:F$161,K$2,0)</f>
        <v>3664.4</v>
      </c>
      <c r="L6">
        <f>VLOOKUP(H6,$A$1:F$161,L$2,0)</f>
        <v>2986.2</v>
      </c>
      <c r="M6">
        <f>VLOOKUP(H6,$A$1:F$161,M$2,0)</f>
        <v>2358.5</v>
      </c>
    </row>
    <row r="7" spans="1:13" ht="24" customHeight="1" x14ac:dyDescent="0.25">
      <c r="A7" t="s">
        <v>6</v>
      </c>
      <c r="H7" t="s">
        <v>11</v>
      </c>
      <c r="I7">
        <f>VLOOKUP(H7,$A$1:F$161,I$2,0)</f>
        <v>4756.3999999999996</v>
      </c>
      <c r="J7">
        <f>VLOOKUP(H7,$A$1:F$161,J$2,0)</f>
        <v>3981.5</v>
      </c>
      <c r="K7">
        <f>VLOOKUP(H7,$A$1:F$161,K$2,0)</f>
        <v>3664.4</v>
      </c>
      <c r="L7">
        <f>VLOOKUP(H7,$A$1:F$161,L$2,0)</f>
        <v>2986.2</v>
      </c>
      <c r="M7">
        <f>VLOOKUP(H7,$A$1:F$161,M$2,0)</f>
        <v>2358.5</v>
      </c>
    </row>
    <row r="8" spans="1:13" ht="24" customHeight="1" x14ac:dyDescent="0.25">
      <c r="A8" t="s">
        <v>7</v>
      </c>
      <c r="H8" t="s">
        <v>12</v>
      </c>
      <c r="I8">
        <f>VLOOKUP(H8,$A$1:F$161,I$2,0)</f>
        <v>4901.7</v>
      </c>
      <c r="J8">
        <f>VLOOKUP(H8,$A$1:F$161,J$2,0)</f>
        <v>4126.8</v>
      </c>
      <c r="K8">
        <f>VLOOKUP(H8,$A$1:F$161,K$2,0)</f>
        <v>3809.7</v>
      </c>
      <c r="L8">
        <f>VLOOKUP(H8,$A$1:F$161,L$2,0)</f>
        <v>3131.5</v>
      </c>
      <c r="M8">
        <f>VLOOKUP(H8,$A$1:F$161,M$2,0)</f>
        <v>2503.8000000000002</v>
      </c>
    </row>
    <row r="9" spans="1:13" x14ac:dyDescent="0.25">
      <c r="A9" t="s">
        <v>8</v>
      </c>
      <c r="B9">
        <v>145.30000000000001</v>
      </c>
      <c r="C9">
        <v>145.30000000000001</v>
      </c>
      <c r="D9">
        <v>145.30000000000001</v>
      </c>
      <c r="E9">
        <v>145.30000000000001</v>
      </c>
      <c r="F9">
        <v>145.30000000000001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764.3</v>
      </c>
      <c r="M9">
        <f>VLOOKUP(H9,$A$1:F$161,M$2,0)</f>
        <v>752.7</v>
      </c>
    </row>
    <row r="10" spans="1:13" x14ac:dyDescent="0.25">
      <c r="A10" t="s">
        <v>9</v>
      </c>
      <c r="B10">
        <v>145.30000000000001</v>
      </c>
      <c r="C10">
        <v>145.30000000000001</v>
      </c>
      <c r="D10">
        <v>145.30000000000001</v>
      </c>
      <c r="E10">
        <v>145.30000000000001</v>
      </c>
      <c r="F10">
        <v>145.30000000000001</v>
      </c>
      <c r="H10" t="s">
        <v>16</v>
      </c>
      <c r="I10">
        <f>VLOOKUP(H10,$A$1:F$161,I$2,0)</f>
        <v>134.1</v>
      </c>
      <c r="J10">
        <f>VLOOKUP(H10,$A$1:F$161,J$2,0)</f>
        <v>92.5</v>
      </c>
      <c r="K10">
        <f>VLOOKUP(H10,$A$1:F$161,K$2,0)</f>
        <v>120.3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</v>
      </c>
      <c r="B11">
        <v>4756.3999999999996</v>
      </c>
      <c r="C11">
        <v>3981.5</v>
      </c>
      <c r="D11">
        <v>3664.4</v>
      </c>
      <c r="E11">
        <v>2986.2</v>
      </c>
      <c r="F11">
        <v>2358.5</v>
      </c>
      <c r="H11" t="s">
        <v>17</v>
      </c>
      <c r="I11">
        <f>VLOOKUP(H11,$A$1:F$161,I$2,0)</f>
        <v>13.2</v>
      </c>
      <c r="J11">
        <f>VLOOKUP(H11,$A$1:F$161,J$2,0)</f>
        <v>7.5</v>
      </c>
      <c r="K11">
        <f>VLOOKUP(H11,$A$1:F$161,K$2,0)</f>
        <v>7</v>
      </c>
      <c r="L11">
        <f>VLOOKUP(H11,$A$1:F$161,L$2,0)</f>
        <v>51.8</v>
      </c>
      <c r="M11">
        <f>VLOOKUP(H11,$A$1:F$161,M$2,0)</f>
        <v>51.2</v>
      </c>
    </row>
    <row r="12" spans="1:13" x14ac:dyDescent="0.25">
      <c r="A12" t="s">
        <v>11</v>
      </c>
      <c r="B12">
        <v>4756.3999999999996</v>
      </c>
      <c r="C12">
        <v>3981.5</v>
      </c>
      <c r="D12">
        <v>3664.4</v>
      </c>
      <c r="E12">
        <v>2986.2</v>
      </c>
      <c r="F12">
        <v>2358.5</v>
      </c>
      <c r="H12" t="s">
        <v>18</v>
      </c>
      <c r="I12">
        <f>VLOOKUP(H12,$A$1:F$161,I$2,0)</f>
        <v>147.30000000000001</v>
      </c>
      <c r="J12">
        <f>VLOOKUP(H12,$A$1:F$161,J$2,0)</f>
        <v>100</v>
      </c>
      <c r="K12">
        <f>VLOOKUP(H12,$A$1:F$161,K$2,0)</f>
        <v>127.3</v>
      </c>
      <c r="L12">
        <f>VLOOKUP(H12,$A$1:F$161,L$2,0)</f>
        <v>816.1</v>
      </c>
      <c r="M12">
        <f>VLOOKUP(H12,$A$1:F$161,M$2,0)</f>
        <v>803.9</v>
      </c>
    </row>
    <row r="13" spans="1:13" x14ac:dyDescent="0.25">
      <c r="A13" t="s">
        <v>12</v>
      </c>
      <c r="B13">
        <v>4901.7</v>
      </c>
      <c r="C13">
        <v>4126.8</v>
      </c>
      <c r="D13">
        <v>3809.7</v>
      </c>
      <c r="E13">
        <v>3131.5</v>
      </c>
      <c r="F13">
        <v>2503.8000000000002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1504.8</v>
      </c>
      <c r="J14">
        <f>VLOOKUP(H14,$A$1:F$161,J$2,0)</f>
        <v>1381.3</v>
      </c>
      <c r="K14">
        <f>VLOOKUP(H14,$A$1:F$161,K$2,0)</f>
        <v>1171.2</v>
      </c>
      <c r="L14">
        <f>VLOOKUP(H14,$A$1:F$161,L$2,0)</f>
        <v>1336</v>
      </c>
      <c r="M14">
        <f>VLOOKUP(H14,$A$1:F$161,M$2,0)</f>
        <v>1424</v>
      </c>
    </row>
    <row r="15" spans="1:13" x14ac:dyDescent="0.25">
      <c r="A15" t="s">
        <v>14</v>
      </c>
      <c r="B15">
        <v>0</v>
      </c>
      <c r="C15">
        <v>0</v>
      </c>
      <c r="D15">
        <v>0</v>
      </c>
      <c r="E15">
        <v>764.3</v>
      </c>
      <c r="F15">
        <v>752.7</v>
      </c>
      <c r="H15" t="s">
        <v>22</v>
      </c>
      <c r="I15">
        <f>VLOOKUP(H15,$A$1:F$161,I$2,0)</f>
        <v>1403.9</v>
      </c>
      <c r="J15">
        <f>VLOOKUP(H15,$A$1:F$161,J$2,0)</f>
        <v>1439.6</v>
      </c>
      <c r="K15">
        <f>VLOOKUP(H15,$A$1:F$161,K$2,0)</f>
        <v>1695.8</v>
      </c>
      <c r="L15">
        <f>VLOOKUP(H15,$A$1:F$161,L$2,0)</f>
        <v>1244.2</v>
      </c>
      <c r="M15">
        <f>VLOOKUP(H15,$A$1:F$161,M$2,0)</f>
        <v>1503.3</v>
      </c>
    </row>
    <row r="16" spans="1:13" x14ac:dyDescent="0.25">
      <c r="A16" t="s">
        <v>16</v>
      </c>
      <c r="B16">
        <v>134.1</v>
      </c>
      <c r="C16">
        <v>92.5</v>
      </c>
      <c r="D16">
        <v>120.3</v>
      </c>
      <c r="E16">
        <v>0</v>
      </c>
      <c r="F16">
        <v>0</v>
      </c>
      <c r="H16" t="s">
        <v>23</v>
      </c>
      <c r="I16">
        <f>VLOOKUP(H16,$A$1:F$161,I$2,0)</f>
        <v>457.6</v>
      </c>
      <c r="J16">
        <f>VLOOKUP(H16,$A$1:F$161,J$2,0)</f>
        <v>537.9</v>
      </c>
      <c r="K16">
        <f>VLOOKUP(H16,$A$1:F$161,K$2,0)</f>
        <v>427.5</v>
      </c>
      <c r="L16">
        <f>VLOOKUP(H16,$A$1:F$161,L$2,0)</f>
        <v>325.89999999999998</v>
      </c>
      <c r="M16">
        <f>VLOOKUP(H16,$A$1:F$161,M$2,0)</f>
        <v>293</v>
      </c>
    </row>
    <row r="17" spans="1:13" x14ac:dyDescent="0.25">
      <c r="A17" t="s">
        <v>17</v>
      </c>
      <c r="B17">
        <v>13.2</v>
      </c>
      <c r="C17">
        <v>7.5</v>
      </c>
      <c r="D17">
        <v>7</v>
      </c>
      <c r="E17">
        <v>51.8</v>
      </c>
      <c r="F17">
        <v>51.2</v>
      </c>
      <c r="H17" t="s">
        <v>24</v>
      </c>
      <c r="I17">
        <f>VLOOKUP(H17,$A$1:F$161,I$2,0)</f>
        <v>3366.3</v>
      </c>
      <c r="J17">
        <f>VLOOKUP(H17,$A$1:F$161,J$2,0)</f>
        <v>3914.4</v>
      </c>
      <c r="K17">
        <f>VLOOKUP(H17,$A$1:F$161,K$2,0)</f>
        <v>4617.5</v>
      </c>
      <c r="L17">
        <f>VLOOKUP(H17,$A$1:F$161,L$2,0)</f>
        <v>4714.7</v>
      </c>
      <c r="M17">
        <f>VLOOKUP(H17,$A$1:F$161,M$2,0)</f>
        <v>5363.8</v>
      </c>
    </row>
    <row r="18" spans="1:13" x14ac:dyDescent="0.25">
      <c r="A18" t="s">
        <v>18</v>
      </c>
      <c r="B18">
        <v>147.30000000000001</v>
      </c>
      <c r="C18">
        <v>100</v>
      </c>
      <c r="D18">
        <v>127.3</v>
      </c>
      <c r="E18">
        <v>816.1</v>
      </c>
      <c r="F18">
        <v>803.9</v>
      </c>
      <c r="H18" t="s">
        <v>25</v>
      </c>
      <c r="I18">
        <f>VLOOKUP(H18,$A$1:F$161,I$2,0)</f>
        <v>8415.2999999999993</v>
      </c>
      <c r="J18">
        <f>VLOOKUP(H18,$A$1:F$161,J$2,0)</f>
        <v>8141.2</v>
      </c>
      <c r="K18">
        <f>VLOOKUP(H18,$A$1:F$161,K$2,0)</f>
        <v>8554.5</v>
      </c>
      <c r="L18">
        <f>VLOOKUP(H18,$A$1:F$161,L$2,0)</f>
        <v>8662.2999999999993</v>
      </c>
      <c r="M18">
        <f>VLOOKUP(H18,$A$1:F$161,M$2,0)</f>
        <v>8671.5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20</v>
      </c>
      <c r="B20">
        <v>0</v>
      </c>
      <c r="C20">
        <v>555.6</v>
      </c>
      <c r="D20">
        <v>1323</v>
      </c>
      <c r="E20">
        <v>1808.6</v>
      </c>
      <c r="F20">
        <v>2143.5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21</v>
      </c>
      <c r="B21">
        <v>1504.8</v>
      </c>
      <c r="C21">
        <v>1381.3</v>
      </c>
      <c r="D21">
        <v>1171.2</v>
      </c>
      <c r="E21">
        <v>1336</v>
      </c>
      <c r="F21">
        <v>1424</v>
      </c>
      <c r="H21" t="s">
        <v>28</v>
      </c>
      <c r="I21">
        <f>VLOOKUP(H21,$A$1:F$161,I$2,0)</f>
        <v>1276.5999999999999</v>
      </c>
      <c r="J21">
        <f>VLOOKUP(H21,$A$1:F$161,J$2,0)</f>
        <v>1269.2</v>
      </c>
      <c r="K21">
        <f>VLOOKUP(H21,$A$1:F$161,K$2,0)</f>
        <v>1304.4000000000001</v>
      </c>
      <c r="L21">
        <f>VLOOKUP(H21,$A$1:F$161,L$2,0)</f>
        <v>1115.0999999999999</v>
      </c>
      <c r="M21">
        <f>VLOOKUP(H21,$A$1:F$161,M$2,0)</f>
        <v>990.1</v>
      </c>
    </row>
    <row r="22" spans="1:13" x14ac:dyDescent="0.25">
      <c r="A22" t="s">
        <v>22</v>
      </c>
      <c r="B22">
        <v>1403.9</v>
      </c>
      <c r="C22">
        <v>1439.6</v>
      </c>
      <c r="D22">
        <v>1695.8</v>
      </c>
      <c r="E22">
        <v>1244.2</v>
      </c>
      <c r="F22">
        <v>1503.3</v>
      </c>
      <c r="H22" t="s">
        <v>29</v>
      </c>
      <c r="I22">
        <f>VLOOKUP(H22,$A$1:F$161,I$2,0)</f>
        <v>81.7</v>
      </c>
      <c r="J22">
        <f>VLOOKUP(H22,$A$1:F$161,J$2,0)</f>
        <v>78.099999999999994</v>
      </c>
      <c r="K22">
        <f>VLOOKUP(H22,$A$1:F$161,K$2,0)</f>
        <v>101.7</v>
      </c>
      <c r="L22">
        <f>VLOOKUP(H22,$A$1:F$161,L$2,0)</f>
        <v>100.6</v>
      </c>
      <c r="M22">
        <f>VLOOKUP(H22,$A$1:F$161,M$2,0)</f>
        <v>98</v>
      </c>
    </row>
    <row r="23" spans="1:13" x14ac:dyDescent="0.25">
      <c r="A23" t="s">
        <v>23</v>
      </c>
      <c r="B23">
        <v>457.6</v>
      </c>
      <c r="C23">
        <v>537.9</v>
      </c>
      <c r="D23">
        <v>427.5</v>
      </c>
      <c r="E23">
        <v>325.89999999999998</v>
      </c>
      <c r="F23">
        <v>293</v>
      </c>
      <c r="H23" t="s">
        <v>30</v>
      </c>
      <c r="I23">
        <f>VLOOKUP(H23,$A$1:F$161,I$2,0)</f>
        <v>1390.9</v>
      </c>
      <c r="J23">
        <f>VLOOKUP(H23,$A$1:F$161,J$2,0)</f>
        <v>1387.3</v>
      </c>
      <c r="K23">
        <f>VLOOKUP(H23,$A$1:F$161,K$2,0)</f>
        <v>1453.4</v>
      </c>
      <c r="L23">
        <f>VLOOKUP(H23,$A$1:F$161,L$2,0)</f>
        <v>1245.3</v>
      </c>
      <c r="M23">
        <f>VLOOKUP(H23,$A$1:F$161,M$2,0)</f>
        <v>1100.0999999999999</v>
      </c>
    </row>
    <row r="24" spans="1:13" x14ac:dyDescent="0.25">
      <c r="A24" t="s">
        <v>24</v>
      </c>
      <c r="B24">
        <v>3366.3</v>
      </c>
      <c r="C24">
        <v>3914.4</v>
      </c>
      <c r="D24">
        <v>4617.5</v>
      </c>
      <c r="E24">
        <v>4714.7</v>
      </c>
      <c r="F24">
        <v>5363.8</v>
      </c>
      <c r="H24" t="s">
        <v>32</v>
      </c>
      <c r="I24">
        <f>VLOOKUP(H24,$A$1:F$161,I$2,0)</f>
        <v>147.80000000000001</v>
      </c>
      <c r="J24">
        <f>VLOOKUP(H24,$A$1:F$161,J$2,0)</f>
        <v>171.1</v>
      </c>
      <c r="K24">
        <f>VLOOKUP(H24,$A$1:F$161,K$2,0)</f>
        <v>159</v>
      </c>
      <c r="L24">
        <f>VLOOKUP(H24,$A$1:F$161,L$2,0)</f>
        <v>187.8</v>
      </c>
      <c r="M24">
        <f>VLOOKUP(H24,$A$1:F$161,M$2,0)</f>
        <v>85.6</v>
      </c>
    </row>
    <row r="25" spans="1:13" x14ac:dyDescent="0.25">
      <c r="A25" t="s">
        <v>25</v>
      </c>
      <c r="B25">
        <v>8415.2999999999993</v>
      </c>
      <c r="C25">
        <v>8141.2</v>
      </c>
      <c r="D25">
        <v>8554.5</v>
      </c>
      <c r="E25">
        <v>8662.2999999999993</v>
      </c>
      <c r="F25">
        <v>8671.5</v>
      </c>
      <c r="H25" t="s">
        <v>33</v>
      </c>
      <c r="I25">
        <f>VLOOKUP(H25,$A$1:F$161,I$2,0)</f>
        <v>0</v>
      </c>
      <c r="J25">
        <f>VLOOKUP(H25,$A$1:F$161,J$2,0)</f>
        <v>174.2</v>
      </c>
      <c r="K25">
        <f>VLOOKUP(H25,$A$1:F$161,K$2,0)</f>
        <v>400</v>
      </c>
      <c r="L25">
        <f>VLOOKUP(H25,$A$1:F$161,L$2,0)</f>
        <v>647.5</v>
      </c>
      <c r="M25">
        <f>VLOOKUP(H25,$A$1:F$161,M$2,0)</f>
        <v>580</v>
      </c>
    </row>
    <row r="26" spans="1:13" x14ac:dyDescent="0.25">
      <c r="A26" t="s">
        <v>26</v>
      </c>
      <c r="H26" t="s">
        <v>34</v>
      </c>
      <c r="I26">
        <f>VLOOKUP(H26,$A$1:F$161,I$2,0)</f>
        <v>1512.7</v>
      </c>
      <c r="J26">
        <f>VLOOKUP(H26,$A$1:F$161,J$2,0)</f>
        <v>1407.3</v>
      </c>
      <c r="K26">
        <f>VLOOKUP(H26,$A$1:F$161,K$2,0)</f>
        <v>1507.6</v>
      </c>
      <c r="L26">
        <f>VLOOKUP(H26,$A$1:F$161,L$2,0)</f>
        <v>1376.1</v>
      </c>
      <c r="M26">
        <f>VLOOKUP(H26,$A$1:F$161,M$2,0)</f>
        <v>1026.5</v>
      </c>
    </row>
    <row r="27" spans="1:13" ht="24" customHeight="1" x14ac:dyDescent="0.25">
      <c r="A27" t="s">
        <v>27</v>
      </c>
      <c r="H27" t="s">
        <v>35</v>
      </c>
      <c r="I27">
        <f>VLOOKUP(H27,$A$1:F$161,I$2,0)</f>
        <v>3268.3</v>
      </c>
      <c r="J27">
        <f>VLOOKUP(H27,$A$1:F$161,J$2,0)</f>
        <v>3342</v>
      </c>
      <c r="K27">
        <f>VLOOKUP(H27,$A$1:F$161,K$2,0)</f>
        <v>3772.6</v>
      </c>
      <c r="L27">
        <f>VLOOKUP(H27,$A$1:F$161,L$2,0)</f>
        <v>3755.1</v>
      </c>
      <c r="M27">
        <f>VLOOKUP(H27,$A$1:F$161,M$2,0)</f>
        <v>3069.7</v>
      </c>
    </row>
    <row r="28" spans="1:13" x14ac:dyDescent="0.25">
      <c r="A28" t="s">
        <v>28</v>
      </c>
      <c r="B28">
        <v>1276.5999999999999</v>
      </c>
      <c r="C28">
        <v>1269.2</v>
      </c>
      <c r="D28">
        <v>1304.4000000000001</v>
      </c>
      <c r="E28">
        <v>1115.0999999999999</v>
      </c>
      <c r="F28">
        <v>990.1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106</v>
      </c>
      <c r="B29">
        <v>24.6</v>
      </c>
      <c r="C29">
        <v>31.6</v>
      </c>
      <c r="D29">
        <v>30.3</v>
      </c>
      <c r="E29">
        <v>13.1</v>
      </c>
      <c r="F29">
        <v>12</v>
      </c>
      <c r="H29" t="s">
        <v>38</v>
      </c>
      <c r="I29">
        <f>VLOOKUP(H29,$A$1:F$161,I$2,0)</f>
        <v>2077.1</v>
      </c>
      <c r="J29">
        <f>VLOOKUP(H29,$A$1:F$161,J$2,0)</f>
        <v>1981</v>
      </c>
      <c r="K29">
        <f>VLOOKUP(H29,$A$1:F$161,K$2,0)</f>
        <v>1836.1</v>
      </c>
      <c r="L29">
        <f>VLOOKUP(H29,$A$1:F$161,L$2,0)</f>
        <v>1876.7</v>
      </c>
      <c r="M29">
        <f>VLOOKUP(H29,$A$1:F$161,M$2,0)</f>
        <v>1869.4</v>
      </c>
    </row>
    <row r="30" spans="1:13" x14ac:dyDescent="0.25">
      <c r="A30" t="s">
        <v>29</v>
      </c>
      <c r="B30">
        <v>81.7</v>
      </c>
      <c r="C30">
        <v>78.099999999999994</v>
      </c>
      <c r="D30">
        <v>101.7</v>
      </c>
      <c r="E30">
        <v>100.6</v>
      </c>
      <c r="F30">
        <v>98</v>
      </c>
      <c r="H30" t="s">
        <v>39</v>
      </c>
      <c r="I30">
        <f>VLOOKUP(H30,$A$1:F$161,I$2,0)</f>
        <v>2302.1</v>
      </c>
      <c r="J30">
        <f>VLOOKUP(H30,$A$1:F$161,J$2,0)</f>
        <v>2160.1</v>
      </c>
      <c r="K30">
        <f>VLOOKUP(H30,$A$1:F$161,K$2,0)</f>
        <v>2283.5</v>
      </c>
      <c r="L30">
        <f>VLOOKUP(H30,$A$1:F$161,L$2,0)</f>
        <v>2518.1</v>
      </c>
      <c r="M30">
        <f>VLOOKUP(H30,$A$1:F$161,M$2,0)</f>
        <v>2699.8</v>
      </c>
    </row>
    <row r="31" spans="1:13" x14ac:dyDescent="0.25">
      <c r="A31" t="s">
        <v>120</v>
      </c>
      <c r="B31">
        <v>8</v>
      </c>
      <c r="C31">
        <v>8.4</v>
      </c>
      <c r="D31">
        <v>17</v>
      </c>
      <c r="E31">
        <v>16.5</v>
      </c>
      <c r="F31">
        <v>0</v>
      </c>
      <c r="H31" t="s">
        <v>40</v>
      </c>
      <c r="I31">
        <f>VLOOKUP(H31,$A$1:F$161,I$2,0)</f>
        <v>32.799999999999997</v>
      </c>
      <c r="J31">
        <f>VLOOKUP(H31,$A$1:F$161,J$2,0)</f>
        <v>55.3</v>
      </c>
      <c r="K31">
        <f>VLOOKUP(H31,$A$1:F$161,K$2,0)</f>
        <v>34.5</v>
      </c>
      <c r="L31">
        <f>VLOOKUP(H31,$A$1:F$161,L$2,0)</f>
        <v>58.8</v>
      </c>
      <c r="M31">
        <f>VLOOKUP(H31,$A$1:F$161,M$2,0)</f>
        <v>119.8</v>
      </c>
    </row>
    <row r="32" spans="1:13" x14ac:dyDescent="0.25">
      <c r="A32" t="s">
        <v>30</v>
      </c>
      <c r="B32">
        <v>1390.9</v>
      </c>
      <c r="C32">
        <v>1387.3</v>
      </c>
      <c r="D32">
        <v>1453.4</v>
      </c>
      <c r="E32">
        <v>1245.3</v>
      </c>
      <c r="F32">
        <v>1100.0999999999999</v>
      </c>
      <c r="H32" t="s">
        <v>41</v>
      </c>
      <c r="I32">
        <f>VLOOKUP(H32,$A$1:F$161,I$2,0)</f>
        <v>138.69999999999999</v>
      </c>
      <c r="J32">
        <f>VLOOKUP(H32,$A$1:F$161,J$2,0)</f>
        <v>100.5</v>
      </c>
      <c r="K32">
        <f>VLOOKUP(H32,$A$1:F$161,K$2,0)</f>
        <v>15.9</v>
      </c>
      <c r="L32">
        <f>VLOOKUP(H32,$A$1:F$161,L$2,0)</f>
        <v>16.899999999999999</v>
      </c>
      <c r="M32">
        <f>VLOOKUP(H32,$A$1:F$161,M$2,0)</f>
        <v>26.3</v>
      </c>
    </row>
    <row r="33" spans="1:13" x14ac:dyDescent="0.25">
      <c r="A33" t="s">
        <v>31</v>
      </c>
      <c r="B33">
        <v>216.9</v>
      </c>
      <c r="C33">
        <v>202.1</v>
      </c>
      <c r="D33">
        <v>252.6</v>
      </c>
      <c r="E33">
        <v>298.39999999999998</v>
      </c>
      <c r="F33">
        <v>277.5</v>
      </c>
      <c r="H33" t="s">
        <v>42</v>
      </c>
      <c r="I33">
        <f>VLOOKUP(H33,$A$1:F$161,I$2,0)</f>
        <v>374.2</v>
      </c>
      <c r="J33">
        <f>VLOOKUP(H33,$A$1:F$161,J$2,0)</f>
        <v>502.3</v>
      </c>
      <c r="K33">
        <f>VLOOKUP(H33,$A$1:F$161,K$2,0)</f>
        <v>611.9</v>
      </c>
      <c r="L33">
        <f>VLOOKUP(H33,$A$1:F$161,L$2,0)</f>
        <v>436.7</v>
      </c>
      <c r="M33">
        <f>VLOOKUP(H33,$A$1:F$161,M$2,0)</f>
        <v>886.5</v>
      </c>
    </row>
    <row r="34" spans="1:13" x14ac:dyDescent="0.25">
      <c r="A34" t="s">
        <v>32</v>
      </c>
      <c r="B34">
        <v>147.80000000000001</v>
      </c>
      <c r="C34">
        <v>171.1</v>
      </c>
      <c r="D34">
        <v>159</v>
      </c>
      <c r="E34">
        <v>187.8</v>
      </c>
      <c r="F34">
        <v>85.6</v>
      </c>
      <c r="H34" t="s">
        <v>43</v>
      </c>
      <c r="I34">
        <f>VLOOKUP(H34,$A$1:F$161,I$2,0)</f>
        <v>5147</v>
      </c>
      <c r="J34">
        <f>VLOOKUP(H34,$A$1:F$161,J$2,0)</f>
        <v>4799.2</v>
      </c>
      <c r="K34">
        <f>VLOOKUP(H34,$A$1:F$161,K$2,0)</f>
        <v>4781.8999999999996</v>
      </c>
      <c r="L34">
        <f>VLOOKUP(H34,$A$1:F$161,L$2,0)</f>
        <v>4907.2</v>
      </c>
      <c r="M34">
        <f>VLOOKUP(H34,$A$1:F$161,M$2,0)</f>
        <v>5601.8</v>
      </c>
    </row>
    <row r="35" spans="1:13" x14ac:dyDescent="0.25">
      <c r="A35" t="s">
        <v>33</v>
      </c>
      <c r="B35">
        <v>0</v>
      </c>
      <c r="C35">
        <v>174.2</v>
      </c>
      <c r="D35">
        <v>400</v>
      </c>
      <c r="E35">
        <v>647.5</v>
      </c>
      <c r="F35">
        <v>580</v>
      </c>
      <c r="H35" t="s">
        <v>44</v>
      </c>
      <c r="I35">
        <f>VLOOKUP(H35,$A$1:F$161,I$2,0)</f>
        <v>8415.2999999999993</v>
      </c>
      <c r="J35">
        <f>VLOOKUP(H35,$A$1:F$161,J$2,0)</f>
        <v>8141.2</v>
      </c>
      <c r="K35">
        <f>VLOOKUP(H35,$A$1:F$161,K$2,0)</f>
        <v>8554.5</v>
      </c>
      <c r="L35">
        <f>VLOOKUP(H35,$A$1:F$161,L$2,0)</f>
        <v>8662.2999999999993</v>
      </c>
      <c r="M35">
        <f>VLOOKUP(H35,$A$1:F$161,M$2,0)</f>
        <v>8671.5</v>
      </c>
    </row>
    <row r="36" spans="1:13" x14ac:dyDescent="0.25">
      <c r="A36" t="s">
        <v>34</v>
      </c>
      <c r="B36">
        <v>1512.7</v>
      </c>
      <c r="C36">
        <v>1407.3</v>
      </c>
      <c r="D36">
        <v>1507.6</v>
      </c>
      <c r="E36">
        <v>1376.1</v>
      </c>
      <c r="F36">
        <v>1026.5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3268.3</v>
      </c>
      <c r="C37">
        <v>3342</v>
      </c>
      <c r="D37">
        <v>3772.6</v>
      </c>
      <c r="E37">
        <v>3755.1</v>
      </c>
      <c r="F37">
        <v>3069.7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2046.4</v>
      </c>
      <c r="J38">
        <f>VLOOKUP(H38,$A$1:F$161,J$2,0)</f>
        <v>1928.7</v>
      </c>
      <c r="K38">
        <f>VLOOKUP(H38,$A$1:F$161,K$2,0)</f>
        <v>1747.9</v>
      </c>
      <c r="L38">
        <f>VLOOKUP(H38,$A$1:F$161,L$2,0)</f>
        <v>1805.9</v>
      </c>
      <c r="M38">
        <f>VLOOKUP(H38,$A$1:F$161,M$2,0)</f>
        <v>1425.7</v>
      </c>
    </row>
    <row r="39" spans="1:13" x14ac:dyDescent="0.25">
      <c r="A39" t="s">
        <v>37</v>
      </c>
      <c r="B39">
        <v>222.1</v>
      </c>
      <c r="C39">
        <v>0</v>
      </c>
      <c r="D39">
        <v>0</v>
      </c>
      <c r="E39">
        <v>0</v>
      </c>
      <c r="F39">
        <v>0</v>
      </c>
      <c r="H39" t="s">
        <v>62</v>
      </c>
      <c r="I39">
        <f>VLOOKUP(H39,$A$1:F$161,I$2,0)</f>
        <v>222.1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38</v>
      </c>
      <c r="B40">
        <v>2077.1</v>
      </c>
      <c r="C40">
        <v>1981</v>
      </c>
      <c r="D40">
        <v>1836.1</v>
      </c>
      <c r="E40">
        <v>1876.7</v>
      </c>
      <c r="F40">
        <v>1869.4</v>
      </c>
      <c r="H40" t="s">
        <v>63</v>
      </c>
      <c r="I40" t="str">
        <f>VLOOKUP(H40,$A$1:F$161,I$2,0)</f>
        <v>-</v>
      </c>
      <c r="J40" t="str">
        <f>VLOOKUP(H40,$A$1:F$161,J$2,0)</f>
        <v>-</v>
      </c>
      <c r="K40" t="str">
        <f>VLOOKUP(H40,$A$1:F$161,K$2,0)</f>
        <v>-</v>
      </c>
      <c r="L40" t="str">
        <f>VLOOKUP(H40,$A$1:F$161,L$2,0)</f>
        <v>-</v>
      </c>
      <c r="M40" t="str">
        <f>VLOOKUP(H40,$A$1:F$161,M$2,0)</f>
        <v>-</v>
      </c>
    </row>
    <row r="41" spans="1:13" x14ac:dyDescent="0.25">
      <c r="A41" t="s">
        <v>39</v>
      </c>
      <c r="B41">
        <v>2302.1</v>
      </c>
      <c r="C41">
        <v>2160.1</v>
      </c>
      <c r="D41">
        <v>2283.5</v>
      </c>
      <c r="E41">
        <v>2518.1</v>
      </c>
      <c r="F41">
        <v>2699.8</v>
      </c>
      <c r="H41" t="s">
        <v>64</v>
      </c>
      <c r="I41" t="str">
        <f>VLOOKUP(H41,$A$1:F$161,I$2,0)</f>
        <v>-</v>
      </c>
      <c r="J41" t="str">
        <f>VLOOKUP(H41,$A$1:F$161,J$2,0)</f>
        <v>-</v>
      </c>
      <c r="K41" t="str">
        <f>VLOOKUP(H41,$A$1:F$161,K$2,0)</f>
        <v>-</v>
      </c>
      <c r="L41" t="str">
        <f>VLOOKUP(H41,$A$1:F$161,L$2,0)</f>
        <v>-</v>
      </c>
      <c r="M41" t="str">
        <f>VLOOKUP(H41,$A$1:F$161,M$2,0)</f>
        <v>-</v>
      </c>
    </row>
    <row r="42" spans="1:13" x14ac:dyDescent="0.25">
      <c r="A42" t="s">
        <v>40</v>
      </c>
      <c r="B42">
        <v>32.799999999999997</v>
      </c>
      <c r="C42">
        <v>55.3</v>
      </c>
      <c r="D42">
        <v>34.5</v>
      </c>
      <c r="E42">
        <v>58.8</v>
      </c>
      <c r="F42">
        <v>119.8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41</v>
      </c>
      <c r="B43">
        <v>138.69999999999999</v>
      </c>
      <c r="C43">
        <v>100.5</v>
      </c>
      <c r="D43">
        <v>15.9</v>
      </c>
      <c r="E43">
        <v>16.899999999999999</v>
      </c>
      <c r="F43">
        <v>26.3</v>
      </c>
      <c r="H43" t="s">
        <v>68</v>
      </c>
      <c r="I43">
        <f>VLOOKUP(H43,$A$1:F$161,I$2,0)</f>
        <v>31004.1</v>
      </c>
      <c r="J43">
        <f>VLOOKUP(H43,$A$1:F$161,J$2,0)</f>
        <v>27385.1</v>
      </c>
      <c r="K43">
        <f>VLOOKUP(H43,$A$1:F$161,K$2,0)</f>
        <v>28776.2</v>
      </c>
      <c r="L43">
        <f>VLOOKUP(H43,$A$1:F$161,L$2,0)</f>
        <v>28813.8</v>
      </c>
      <c r="M43">
        <f>VLOOKUP(H43,$A$1:F$161,M$2,0)</f>
        <v>26335.1</v>
      </c>
    </row>
    <row r="44" spans="1:13" x14ac:dyDescent="0.25">
      <c r="A44" t="s">
        <v>42</v>
      </c>
      <c r="B44">
        <v>374.2</v>
      </c>
      <c r="C44">
        <v>502.3</v>
      </c>
      <c r="D44">
        <v>611.9</v>
      </c>
      <c r="E44">
        <v>436.7</v>
      </c>
      <c r="F44">
        <v>886.5</v>
      </c>
      <c r="H44" t="s">
        <v>70</v>
      </c>
      <c r="I44">
        <f>VLOOKUP(H44,$A$1:F$161,I$2,0)</f>
        <v>9654.7000000000007</v>
      </c>
      <c r="J44">
        <f>VLOOKUP(H44,$A$1:F$161,J$2,0)</f>
        <v>8097.9</v>
      </c>
      <c r="K44">
        <f>VLOOKUP(H44,$A$1:F$161,K$2,0)</f>
        <v>9277.9</v>
      </c>
      <c r="L44">
        <f>VLOOKUP(H44,$A$1:F$161,L$2,0)</f>
        <v>9282.1</v>
      </c>
      <c r="M44">
        <f>VLOOKUP(H44,$A$1:F$161,M$2,0)</f>
        <v>8369.7999999999993</v>
      </c>
    </row>
    <row r="45" spans="1:13" x14ac:dyDescent="0.25">
      <c r="A45" t="s">
        <v>43</v>
      </c>
      <c r="B45">
        <v>5147</v>
      </c>
      <c r="C45">
        <v>4799.2</v>
      </c>
      <c r="D45">
        <v>4781.8999999999996</v>
      </c>
      <c r="E45">
        <v>4907.2</v>
      </c>
      <c r="F45">
        <v>5601.8</v>
      </c>
      <c r="H45" t="s">
        <v>71</v>
      </c>
      <c r="I45">
        <f>VLOOKUP(H45,$A$1:F$161,I$2,0)</f>
        <v>57.7</v>
      </c>
      <c r="J45">
        <f>VLOOKUP(H45,$A$1:F$161,J$2,0)</f>
        <v>33.4</v>
      </c>
      <c r="K45">
        <f>VLOOKUP(H45,$A$1:F$161,K$2,0)</f>
        <v>47.5</v>
      </c>
      <c r="L45">
        <f>VLOOKUP(H45,$A$1:F$161,L$2,0)</f>
        <v>58.7</v>
      </c>
      <c r="M45">
        <f>VLOOKUP(H45,$A$1:F$161,M$2,0)</f>
        <v>220.8</v>
      </c>
    </row>
    <row r="46" spans="1:13" x14ac:dyDescent="0.25">
      <c r="A46" t="s">
        <v>44</v>
      </c>
      <c r="B46">
        <v>8415.2999999999993</v>
      </c>
      <c r="C46">
        <v>8141.2</v>
      </c>
      <c r="D46">
        <v>8554.5</v>
      </c>
      <c r="E46">
        <v>8662.2999999999993</v>
      </c>
      <c r="F46">
        <v>8671.5</v>
      </c>
      <c r="H46" t="s">
        <v>72</v>
      </c>
      <c r="I46">
        <f>VLOOKUP(H46,$A$1:F$161,I$2,0)</f>
        <v>9712.4</v>
      </c>
      <c r="J46">
        <f>VLOOKUP(H46,$A$1:F$161,J$2,0)</f>
        <v>8131.3</v>
      </c>
      <c r="K46">
        <f>VLOOKUP(H46,$A$1:F$161,K$2,0)</f>
        <v>9325.4</v>
      </c>
      <c r="L46">
        <f>VLOOKUP(H46,$A$1:F$161,L$2,0)</f>
        <v>9340.7999999999993</v>
      </c>
      <c r="M46">
        <f>VLOOKUP(H46,$A$1:F$161,M$2,0)</f>
        <v>8590.6</v>
      </c>
    </row>
    <row r="47" spans="1:13" ht="24" customHeight="1" x14ac:dyDescent="0.25">
      <c r="A47" t="s">
        <v>45</v>
      </c>
      <c r="H47" t="s">
        <v>73</v>
      </c>
      <c r="I47">
        <f>VLOOKUP(H47,$A$1:F$161,I$2,0)</f>
        <v>35.5</v>
      </c>
      <c r="J47">
        <f>VLOOKUP(H47,$A$1:F$161,J$2,0)</f>
        <v>39.6</v>
      </c>
      <c r="K47">
        <f>VLOOKUP(H47,$A$1:F$161,K$2,0)</f>
        <v>22</v>
      </c>
      <c r="L47">
        <f>VLOOKUP(H47,$A$1:F$161,L$2,0)</f>
        <v>69.2</v>
      </c>
      <c r="M47">
        <f>VLOOKUP(H47,$A$1:F$161,M$2,0)</f>
        <v>218.9</v>
      </c>
    </row>
    <row r="48" spans="1:13" ht="36" customHeight="1" x14ac:dyDescent="0.25">
      <c r="A48" t="s">
        <v>46</v>
      </c>
      <c r="H48" t="s">
        <v>74</v>
      </c>
      <c r="I48">
        <f>VLOOKUP(H48,$A$1:F$161,I$2,0)</f>
        <v>9747.9</v>
      </c>
      <c r="J48">
        <f>VLOOKUP(H48,$A$1:F$161,J$2,0)</f>
        <v>8170.9</v>
      </c>
      <c r="K48">
        <f>VLOOKUP(H48,$A$1:F$161,K$2,0)</f>
        <v>9347.4</v>
      </c>
      <c r="L48">
        <f>VLOOKUP(H48,$A$1:F$161,L$2,0)</f>
        <v>9410</v>
      </c>
      <c r="M48">
        <f>VLOOKUP(H48,$A$1:F$161,M$2,0)</f>
        <v>8809.5</v>
      </c>
    </row>
    <row r="49" spans="1:13" x14ac:dyDescent="0.25">
      <c r="A49" t="s">
        <v>47</v>
      </c>
      <c r="B49">
        <v>2046.4</v>
      </c>
      <c r="C49">
        <v>1928.7</v>
      </c>
      <c r="D49">
        <v>1747.9</v>
      </c>
      <c r="E49">
        <v>1805.9</v>
      </c>
      <c r="F49">
        <v>1425.7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48</v>
      </c>
      <c r="H50" t="s">
        <v>76</v>
      </c>
      <c r="I50">
        <f>VLOOKUP(H50,$A$1:F$161,I$2,0)</f>
        <v>4796.8999999999996</v>
      </c>
      <c r="J50">
        <f>VLOOKUP(H50,$A$1:F$161,J$2,0)</f>
        <v>3973.1</v>
      </c>
      <c r="K50">
        <f>VLOOKUP(H50,$A$1:F$161,K$2,0)</f>
        <v>4639.8</v>
      </c>
      <c r="L50">
        <f>VLOOKUP(H50,$A$1:F$161,L$2,0)</f>
        <v>4254.5</v>
      </c>
      <c r="M50">
        <f>VLOOKUP(H50,$A$1:F$161,M$2,0)</f>
        <v>4125.8999999999996</v>
      </c>
    </row>
    <row r="51" spans="1:13" ht="24" customHeight="1" x14ac:dyDescent="0.25">
      <c r="A51" t="s">
        <v>49</v>
      </c>
      <c r="H51" t="s">
        <v>77</v>
      </c>
      <c r="I51">
        <f>VLOOKUP(H51,$A$1:F$161,I$2,0)</f>
        <v>577.29999999999995</v>
      </c>
      <c r="J51">
        <f>VLOOKUP(H51,$A$1:F$161,J$2,0)</f>
        <v>349.4</v>
      </c>
      <c r="K51">
        <f>VLOOKUP(H51,$A$1:F$161,K$2,0)</f>
        <v>290.7</v>
      </c>
      <c r="L51">
        <f>VLOOKUP(H51,$A$1:F$161,L$2,0)</f>
        <v>283.2</v>
      </c>
      <c r="M51">
        <f>VLOOKUP(H51,$A$1:F$161,M$2,0)</f>
        <v>228.8</v>
      </c>
    </row>
    <row r="52" spans="1:13" x14ac:dyDescent="0.25">
      <c r="A52" t="s">
        <v>50</v>
      </c>
      <c r="B52">
        <v>663.38</v>
      </c>
      <c r="C52">
        <v>378.08</v>
      </c>
      <c r="D52">
        <v>510.41</v>
      </c>
      <c r="E52">
        <v>295.88</v>
      </c>
      <c r="F52">
        <v>249.2</v>
      </c>
      <c r="H52" t="s">
        <v>78</v>
      </c>
      <c r="I52">
        <f>VLOOKUP(H52,$A$1:F$161,I$2,0)</f>
        <v>-82.7</v>
      </c>
      <c r="J52">
        <f>VLOOKUP(H52,$A$1:F$161,J$2,0)</f>
        <v>133.1</v>
      </c>
      <c r="K52">
        <f>VLOOKUP(H52,$A$1:F$161,K$2,0)</f>
        <v>98.4</v>
      </c>
      <c r="L52">
        <f>VLOOKUP(H52,$A$1:F$161,L$2,0)</f>
        <v>65.7</v>
      </c>
      <c r="M52">
        <f>VLOOKUP(H52,$A$1:F$161,M$2,0)</f>
        <v>-14.1</v>
      </c>
    </row>
    <row r="53" spans="1:13" ht="48" customHeight="1" x14ac:dyDescent="0.25">
      <c r="A53" t="s">
        <v>51</v>
      </c>
      <c r="H53" t="s">
        <v>79</v>
      </c>
      <c r="I53">
        <f>VLOOKUP(H53,$A$1:F$161,I$2,0)</f>
        <v>653.1</v>
      </c>
      <c r="J53">
        <f>VLOOKUP(H53,$A$1:F$161,J$2,0)</f>
        <v>556.4</v>
      </c>
      <c r="K53">
        <f>VLOOKUP(H53,$A$1:F$161,K$2,0)</f>
        <v>530</v>
      </c>
      <c r="L53">
        <f>VLOOKUP(H53,$A$1:F$161,L$2,0)</f>
        <v>689.8</v>
      </c>
      <c r="M53">
        <f>VLOOKUP(H53,$A$1:F$161,M$2,0)</f>
        <v>680.9</v>
      </c>
    </row>
    <row r="54" spans="1:13" x14ac:dyDescent="0.25">
      <c r="A54" t="s">
        <v>52</v>
      </c>
      <c r="B54" t="s">
        <v>53</v>
      </c>
      <c r="C54" t="s">
        <v>53</v>
      </c>
      <c r="D54" t="s">
        <v>53</v>
      </c>
      <c r="E54" t="s">
        <v>53</v>
      </c>
      <c r="F54" t="s">
        <v>53</v>
      </c>
      <c r="H54" t="s">
        <v>80</v>
      </c>
      <c r="I54">
        <f>VLOOKUP(H54,$A$1:F$161,I$2,0)</f>
        <v>88</v>
      </c>
      <c r="J54">
        <f>VLOOKUP(H54,$A$1:F$161,J$2,0)</f>
        <v>187.6</v>
      </c>
      <c r="K54">
        <f>VLOOKUP(H54,$A$1:F$161,K$2,0)</f>
        <v>212</v>
      </c>
      <c r="L54">
        <f>VLOOKUP(H54,$A$1:F$161,L$2,0)</f>
        <v>237.2</v>
      </c>
      <c r="M54">
        <f>VLOOKUP(H54,$A$1:F$161,M$2,0)</f>
        <v>271</v>
      </c>
    </row>
    <row r="55" spans="1:13" ht="24" customHeight="1" x14ac:dyDescent="0.25">
      <c r="A55" t="s">
        <v>54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55</v>
      </c>
      <c r="B56" t="s">
        <v>53</v>
      </c>
      <c r="C56" t="s">
        <v>53</v>
      </c>
      <c r="D56" t="s">
        <v>53</v>
      </c>
      <c r="E56" t="s">
        <v>53</v>
      </c>
      <c r="F56" t="s">
        <v>53</v>
      </c>
      <c r="H56" t="s">
        <v>82</v>
      </c>
      <c r="I56">
        <f>VLOOKUP(H56,$A$1:F$161,I$2,0)</f>
        <v>303.8</v>
      </c>
      <c r="J56">
        <f>VLOOKUP(H56,$A$1:F$161,J$2,0)</f>
        <v>299.10000000000002</v>
      </c>
      <c r="K56">
        <f>VLOOKUP(H56,$A$1:F$161,K$2,0)</f>
        <v>285.3</v>
      </c>
      <c r="L56">
        <f>VLOOKUP(H56,$A$1:F$161,L$2,0)</f>
        <v>214.7</v>
      </c>
      <c r="M56">
        <f>VLOOKUP(H56,$A$1:F$161,M$2,0)</f>
        <v>192.3</v>
      </c>
    </row>
    <row r="57" spans="1:13" x14ac:dyDescent="0.25">
      <c r="A57" t="s">
        <v>56</v>
      </c>
      <c r="B57">
        <v>162.01</v>
      </c>
      <c r="C57">
        <v>217.09</v>
      </c>
      <c r="D57">
        <v>317.27999999999997</v>
      </c>
      <c r="E57">
        <v>109.52</v>
      </c>
      <c r="F57">
        <v>93</v>
      </c>
      <c r="H57" t="s">
        <v>83</v>
      </c>
      <c r="I57">
        <f>VLOOKUP(H57,$A$1:F$161,I$2,0)</f>
        <v>2159.6999999999998</v>
      </c>
      <c r="J57">
        <f>VLOOKUP(H57,$A$1:F$161,J$2,0)</f>
        <v>2066.6</v>
      </c>
      <c r="K57">
        <f>VLOOKUP(H57,$A$1:F$161,K$2,0)</f>
        <v>2194.1999999999998</v>
      </c>
      <c r="L57">
        <f>VLOOKUP(H57,$A$1:F$161,L$2,0)</f>
        <v>2654</v>
      </c>
      <c r="M57">
        <f>VLOOKUP(H57,$A$1:F$161,M$2,0)</f>
        <v>2368.4</v>
      </c>
    </row>
    <row r="58" spans="1:13" ht="15" customHeight="1" x14ac:dyDescent="0.25">
      <c r="A58" t="s">
        <v>57</v>
      </c>
      <c r="H58" t="s">
        <v>84</v>
      </c>
      <c r="I58">
        <f>VLOOKUP(H58,$A$1:F$161,I$2,0)</f>
        <v>8496.1</v>
      </c>
      <c r="J58">
        <f>VLOOKUP(H58,$A$1:F$161,J$2,0)</f>
        <v>7565.3</v>
      </c>
      <c r="K58">
        <f>VLOOKUP(H58,$A$1:F$161,K$2,0)</f>
        <v>8250.4</v>
      </c>
      <c r="L58">
        <f>VLOOKUP(H58,$A$1:F$161,L$2,0)</f>
        <v>8399.1</v>
      </c>
      <c r="M58">
        <f>VLOOKUP(H58,$A$1:F$161,M$2,0)</f>
        <v>7853.2</v>
      </c>
    </row>
    <row r="59" spans="1:13" x14ac:dyDescent="0.25">
      <c r="A59" t="s">
        <v>58</v>
      </c>
      <c r="B59" t="s">
        <v>53</v>
      </c>
      <c r="C59" t="s">
        <v>53</v>
      </c>
      <c r="D59" t="s">
        <v>53</v>
      </c>
      <c r="E59" t="s">
        <v>53</v>
      </c>
      <c r="F59" t="s">
        <v>53</v>
      </c>
      <c r="H59" t="s">
        <v>85</v>
      </c>
      <c r="I59">
        <f>VLOOKUP(H59,$A$1:F$161,I$2,0)</f>
        <v>1251.8</v>
      </c>
      <c r="J59">
        <f>VLOOKUP(H59,$A$1:F$161,J$2,0)</f>
        <v>605.6</v>
      </c>
      <c r="K59">
        <f>VLOOKUP(H59,$A$1:F$161,K$2,0)</f>
        <v>1097</v>
      </c>
      <c r="L59">
        <f>VLOOKUP(H59,$A$1:F$161,L$2,0)</f>
        <v>1010.9</v>
      </c>
      <c r="M59">
        <f>VLOOKUP(H59,$A$1:F$161,M$2,0)</f>
        <v>956.3</v>
      </c>
    </row>
    <row r="60" spans="1:13" ht="24" customHeight="1" x14ac:dyDescent="0.25">
      <c r="A60" t="s">
        <v>59</v>
      </c>
      <c r="H60" t="s">
        <v>87</v>
      </c>
      <c r="I60">
        <f>VLOOKUP(H60,$A$1:F$161,I$2,0)</f>
        <v>1086.5999999999999</v>
      </c>
      <c r="J60">
        <f>VLOOKUP(H60,$A$1:F$161,J$2,0)</f>
        <v>541.29999999999995</v>
      </c>
      <c r="K60">
        <f>VLOOKUP(H60,$A$1:F$161,K$2,0)</f>
        <v>1163.5999999999999</v>
      </c>
      <c r="L60">
        <f>VLOOKUP(H60,$A$1:F$161,L$2,0)</f>
        <v>1013.5</v>
      </c>
      <c r="M60">
        <f>VLOOKUP(H60,$A$1:F$161,M$2,0)</f>
        <v>911.8</v>
      </c>
    </row>
    <row r="61" spans="1:13" x14ac:dyDescent="0.25">
      <c r="A61" t="s">
        <v>60</v>
      </c>
      <c r="B61" t="s">
        <v>53</v>
      </c>
      <c r="C61" t="s">
        <v>53</v>
      </c>
      <c r="D61" t="s">
        <v>53</v>
      </c>
      <c r="E61">
        <v>142.69999999999999</v>
      </c>
      <c r="F61" t="s">
        <v>53</v>
      </c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A62" t="s">
        <v>61</v>
      </c>
      <c r="B62" t="s">
        <v>53</v>
      </c>
      <c r="C62" t="s">
        <v>53</v>
      </c>
      <c r="D62" t="s">
        <v>53</v>
      </c>
      <c r="E62">
        <v>726.8</v>
      </c>
      <c r="F62" t="s">
        <v>53</v>
      </c>
      <c r="H62" t="s">
        <v>89</v>
      </c>
      <c r="I62">
        <f>VLOOKUP(H62,$A$1:F$161,I$2,0)</f>
        <v>259.3</v>
      </c>
      <c r="J62">
        <f>VLOOKUP(H62,$A$1:F$161,J$2,0)</f>
        <v>176.4</v>
      </c>
      <c r="K62">
        <f>VLOOKUP(H62,$A$1:F$161,K$2,0)</f>
        <v>306.3</v>
      </c>
      <c r="L62">
        <f>VLOOKUP(H62,$A$1:F$161,L$2,0)</f>
        <v>446.7</v>
      </c>
      <c r="M62">
        <f>VLOOKUP(H62,$A$1:F$161,M$2,0)</f>
        <v>253.2</v>
      </c>
    </row>
    <row r="63" spans="1:13" ht="24" customHeight="1" x14ac:dyDescent="0.25">
      <c r="A63" t="s">
        <v>62</v>
      </c>
      <c r="H63" t="s">
        <v>90</v>
      </c>
      <c r="I63">
        <f>VLOOKUP(H63,$A$1:F$161,I$2,0)</f>
        <v>41.4</v>
      </c>
      <c r="J63">
        <f>VLOOKUP(H63,$A$1:F$161,J$2,0)</f>
        <v>4.5999999999999996</v>
      </c>
      <c r="K63">
        <f>VLOOKUP(H63,$A$1:F$161,K$2,0)</f>
        <v>137.30000000000001</v>
      </c>
      <c r="L63">
        <f>VLOOKUP(H63,$A$1:F$161,L$2,0)</f>
        <v>-107</v>
      </c>
      <c r="M63">
        <f>VLOOKUP(H63,$A$1:F$161,M$2,0)</f>
        <v>17.100000000000001</v>
      </c>
    </row>
    <row r="64" spans="1:13" x14ac:dyDescent="0.25">
      <c r="A64" t="s">
        <v>63</v>
      </c>
      <c r="B64" t="s">
        <v>53</v>
      </c>
      <c r="C64" t="s">
        <v>53</v>
      </c>
      <c r="D64" t="s">
        <v>53</v>
      </c>
      <c r="E64" t="s">
        <v>53</v>
      </c>
      <c r="F64" t="s">
        <v>53</v>
      </c>
      <c r="H64" t="s">
        <v>112</v>
      </c>
      <c r="I64">
        <f>VLOOKUP(H64,$A$1:F$161,I$2,0)</f>
        <v>-24.7</v>
      </c>
      <c r="J64">
        <f>VLOOKUP(H64,$A$1:F$161,J$2,0)</f>
        <v>-3.1</v>
      </c>
      <c r="K64">
        <f>VLOOKUP(H64,$A$1:F$161,K$2,0)</f>
        <v>85.7</v>
      </c>
      <c r="L64">
        <f>VLOOKUP(H64,$A$1:F$161,L$2,0)</f>
        <v>0</v>
      </c>
      <c r="M64">
        <f>VLOOKUP(H64,$A$1:F$161,M$2,0)</f>
        <v>0</v>
      </c>
    </row>
    <row r="65" spans="1:13" x14ac:dyDescent="0.25">
      <c r="A65" t="s">
        <v>64</v>
      </c>
      <c r="B65" t="s">
        <v>53</v>
      </c>
      <c r="C65" t="s">
        <v>53</v>
      </c>
      <c r="D65" t="s">
        <v>53</v>
      </c>
      <c r="E65" t="s">
        <v>53</v>
      </c>
      <c r="F65" t="s">
        <v>53</v>
      </c>
      <c r="H65" t="s">
        <v>91</v>
      </c>
      <c r="I65">
        <f>VLOOKUP(H65,$A$1:F$161,I$2,0)</f>
        <v>276</v>
      </c>
      <c r="J65">
        <f>VLOOKUP(H65,$A$1:F$161,J$2,0)</f>
        <v>177.9</v>
      </c>
      <c r="K65">
        <f>VLOOKUP(H65,$A$1:F$161,K$2,0)</f>
        <v>539.70000000000005</v>
      </c>
      <c r="L65">
        <f>VLOOKUP(H65,$A$1:F$161,L$2,0)</f>
        <v>328.1</v>
      </c>
      <c r="M65">
        <f>VLOOKUP(H65,$A$1:F$161,M$2,0)</f>
        <v>259.89999999999998</v>
      </c>
    </row>
    <row r="66" spans="1:13" x14ac:dyDescent="0.25">
      <c r="H66" t="s">
        <v>92</v>
      </c>
      <c r="I66">
        <f>VLOOKUP(H66,$A$1:F$161,I$2,0)</f>
        <v>810.6</v>
      </c>
      <c r="J66">
        <f>VLOOKUP(H66,$A$1:F$161,J$2,0)</f>
        <v>363.4</v>
      </c>
      <c r="K66">
        <f>VLOOKUP(H66,$A$1:F$161,K$2,0)</f>
        <v>623.9</v>
      </c>
      <c r="L66">
        <f>VLOOKUP(H66,$A$1:F$161,L$2,0)</f>
        <v>685.4</v>
      </c>
      <c r="M66">
        <f>VLOOKUP(H66,$A$1:F$161,M$2,0)</f>
        <v>651.9</v>
      </c>
    </row>
    <row r="67" spans="1:13" x14ac:dyDescent="0.25">
      <c r="H67" t="s">
        <v>93</v>
      </c>
      <c r="I67">
        <f>VLOOKUP(H67,$A$1:F$161,I$2,0)</f>
        <v>810.6</v>
      </c>
      <c r="J67">
        <f>VLOOKUP(H67,$A$1:F$161,J$2,0)</f>
        <v>363.4</v>
      </c>
      <c r="K67">
        <f>VLOOKUP(H67,$A$1:F$161,K$2,0)</f>
        <v>623.9</v>
      </c>
      <c r="L67">
        <f>VLOOKUP(H67,$A$1:F$161,L$2,0)</f>
        <v>685.4</v>
      </c>
      <c r="M67">
        <f>VLOOKUP(H67,$A$1:F$161,M$2,0)</f>
        <v>651.9</v>
      </c>
    </row>
    <row r="68" spans="1:13" x14ac:dyDescent="0.25">
      <c r="H68" t="s">
        <v>94</v>
      </c>
      <c r="I68">
        <f>VLOOKUP(H68,$A$1:F$161,I$2,0)</f>
        <v>810.6</v>
      </c>
      <c r="J68">
        <f>VLOOKUP(H68,$A$1:F$161,J$2,0)</f>
        <v>363.4</v>
      </c>
      <c r="K68">
        <f>VLOOKUP(H68,$A$1:F$161,K$2,0)</f>
        <v>623.9</v>
      </c>
      <c r="L68">
        <f>VLOOKUP(H68,$A$1:F$161,L$2,0)</f>
        <v>685.4</v>
      </c>
      <c r="M68">
        <f>VLOOKUP(H68,$A$1:F$161,M$2,0)</f>
        <v>651.9</v>
      </c>
    </row>
    <row r="69" spans="1:13" ht="15" customHeight="1" x14ac:dyDescent="0.25">
      <c r="A69" t="s">
        <v>65</v>
      </c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1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1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165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31004.1</v>
      </c>
      <c r="C97">
        <v>27385.1</v>
      </c>
      <c r="D97">
        <v>28776.2</v>
      </c>
      <c r="E97">
        <v>28813.8</v>
      </c>
      <c r="F97">
        <v>26335.1</v>
      </c>
    </row>
    <row r="98" spans="1:6" x14ac:dyDescent="0.25">
      <c r="A98" t="s">
        <v>69</v>
      </c>
      <c r="B98">
        <v>21349.4</v>
      </c>
      <c r="C98">
        <v>19287.2</v>
      </c>
      <c r="D98">
        <v>19498.3</v>
      </c>
      <c r="E98">
        <v>19531.7</v>
      </c>
      <c r="F98">
        <v>17965.3</v>
      </c>
    </row>
    <row r="99" spans="1:6" x14ac:dyDescent="0.25">
      <c r="A99" t="s">
        <v>70</v>
      </c>
      <c r="B99">
        <v>9654.7000000000007</v>
      </c>
      <c r="C99">
        <v>8097.9</v>
      </c>
      <c r="D99">
        <v>9277.9</v>
      </c>
      <c r="E99">
        <v>9282.1</v>
      </c>
      <c r="F99">
        <v>8369.7999999999993</v>
      </c>
    </row>
    <row r="100" spans="1:6" x14ac:dyDescent="0.25">
      <c r="A100" t="s">
        <v>71</v>
      </c>
      <c r="B100">
        <v>57.7</v>
      </c>
      <c r="C100">
        <v>33.4</v>
      </c>
      <c r="D100">
        <v>47.5</v>
      </c>
      <c r="E100">
        <v>58.7</v>
      </c>
      <c r="F100">
        <v>220.8</v>
      </c>
    </row>
    <row r="101" spans="1:6" x14ac:dyDescent="0.25">
      <c r="A101" t="s">
        <v>72</v>
      </c>
      <c r="B101">
        <v>9712.4</v>
      </c>
      <c r="C101">
        <v>8131.3</v>
      </c>
      <c r="D101">
        <v>9325.4</v>
      </c>
      <c r="E101">
        <v>9340.7999999999993</v>
      </c>
      <c r="F101">
        <v>8590.6</v>
      </c>
    </row>
    <row r="102" spans="1:6" x14ac:dyDescent="0.25">
      <c r="A102" t="s">
        <v>73</v>
      </c>
      <c r="B102">
        <v>35.5</v>
      </c>
      <c r="C102">
        <v>39.6</v>
      </c>
      <c r="D102">
        <v>22</v>
      </c>
      <c r="E102">
        <v>69.2</v>
      </c>
      <c r="F102">
        <v>218.9</v>
      </c>
    </row>
    <row r="103" spans="1:6" x14ac:dyDescent="0.25">
      <c r="A103" t="s">
        <v>74</v>
      </c>
      <c r="B103">
        <v>9747.9</v>
      </c>
      <c r="C103">
        <v>8170.9</v>
      </c>
      <c r="D103">
        <v>9347.4</v>
      </c>
      <c r="E103">
        <v>9410</v>
      </c>
      <c r="F103">
        <v>8809.5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4796.8999999999996</v>
      </c>
      <c r="C105">
        <v>3973.1</v>
      </c>
      <c r="D105">
        <v>4639.8</v>
      </c>
      <c r="E105">
        <v>4254.5</v>
      </c>
      <c r="F105">
        <v>4125.8999999999996</v>
      </c>
    </row>
    <row r="106" spans="1:6" x14ac:dyDescent="0.25">
      <c r="A106" t="s">
        <v>77</v>
      </c>
      <c r="B106">
        <v>577.29999999999995</v>
      </c>
      <c r="C106">
        <v>349.4</v>
      </c>
      <c r="D106">
        <v>290.7</v>
      </c>
      <c r="E106">
        <v>283.2</v>
      </c>
      <c r="F106">
        <v>228.8</v>
      </c>
    </row>
    <row r="107" spans="1:6" x14ac:dyDescent="0.25">
      <c r="A107" t="s">
        <v>78</v>
      </c>
      <c r="B107">
        <v>-82.7</v>
      </c>
      <c r="C107">
        <v>133.1</v>
      </c>
      <c r="D107">
        <v>98.4</v>
      </c>
      <c r="E107">
        <v>65.7</v>
      </c>
      <c r="F107">
        <v>-14.1</v>
      </c>
    </row>
    <row r="108" spans="1:6" x14ac:dyDescent="0.25">
      <c r="A108" t="s">
        <v>79</v>
      </c>
      <c r="B108">
        <v>653.1</v>
      </c>
      <c r="C108">
        <v>556.4</v>
      </c>
      <c r="D108">
        <v>530</v>
      </c>
      <c r="E108">
        <v>689.8</v>
      </c>
      <c r="F108">
        <v>680.9</v>
      </c>
    </row>
    <row r="109" spans="1:6" x14ac:dyDescent="0.25">
      <c r="A109" t="s">
        <v>80</v>
      </c>
      <c r="B109">
        <v>88</v>
      </c>
      <c r="C109">
        <v>187.6</v>
      </c>
      <c r="D109">
        <v>212</v>
      </c>
      <c r="E109">
        <v>237.2</v>
      </c>
      <c r="F109">
        <v>271</v>
      </c>
    </row>
    <row r="110" spans="1:6" x14ac:dyDescent="0.25">
      <c r="A110" t="s">
        <v>82</v>
      </c>
      <c r="B110">
        <v>303.8</v>
      </c>
      <c r="C110">
        <v>299.10000000000002</v>
      </c>
      <c r="D110">
        <v>285.3</v>
      </c>
      <c r="E110">
        <v>214.7</v>
      </c>
      <c r="F110">
        <v>192.3</v>
      </c>
    </row>
    <row r="111" spans="1:6" x14ac:dyDescent="0.25">
      <c r="A111" t="s">
        <v>83</v>
      </c>
      <c r="B111">
        <v>2159.6999999999998</v>
      </c>
      <c r="C111">
        <v>2066.6</v>
      </c>
      <c r="D111">
        <v>2194.1999999999998</v>
      </c>
      <c r="E111">
        <v>2654</v>
      </c>
      <c r="F111">
        <v>2368.4</v>
      </c>
    </row>
    <row r="112" spans="1:6" x14ac:dyDescent="0.25">
      <c r="A112" t="s">
        <v>84</v>
      </c>
      <c r="B112">
        <v>8496.1</v>
      </c>
      <c r="C112">
        <v>7565.3</v>
      </c>
      <c r="D112">
        <v>8250.4</v>
      </c>
      <c r="E112">
        <v>8399.1</v>
      </c>
      <c r="F112">
        <v>7853.2</v>
      </c>
    </row>
    <row r="113" spans="1:6" x14ac:dyDescent="0.25">
      <c r="A113" t="s">
        <v>85</v>
      </c>
      <c r="B113">
        <v>1251.8</v>
      </c>
      <c r="C113">
        <v>605.6</v>
      </c>
      <c r="D113">
        <v>1097</v>
      </c>
      <c r="E113">
        <v>1010.9</v>
      </c>
      <c r="F113">
        <v>956.3</v>
      </c>
    </row>
    <row r="114" spans="1:6" x14ac:dyDescent="0.25">
      <c r="A114" t="s">
        <v>86</v>
      </c>
      <c r="B114">
        <v>-165.2</v>
      </c>
      <c r="C114">
        <v>-64.3</v>
      </c>
      <c r="D114">
        <v>66.599999999999994</v>
      </c>
      <c r="E114">
        <v>2.6</v>
      </c>
      <c r="F114">
        <v>-44.5</v>
      </c>
    </row>
    <row r="115" spans="1:6" x14ac:dyDescent="0.25">
      <c r="A115" t="s">
        <v>87</v>
      </c>
      <c r="B115">
        <v>1086.5999999999999</v>
      </c>
      <c r="C115">
        <v>541.29999999999995</v>
      </c>
      <c r="D115">
        <v>1163.5999999999999</v>
      </c>
      <c r="E115">
        <v>1013.5</v>
      </c>
      <c r="F115">
        <v>911.8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259.3</v>
      </c>
      <c r="C117">
        <v>176.4</v>
      </c>
      <c r="D117">
        <v>306.3</v>
      </c>
      <c r="E117">
        <v>446.7</v>
      </c>
      <c r="F117">
        <v>253.2</v>
      </c>
    </row>
    <row r="118" spans="1:6" x14ac:dyDescent="0.25">
      <c r="A118" t="s">
        <v>160</v>
      </c>
      <c r="B118">
        <v>0</v>
      </c>
      <c r="C118">
        <v>0</v>
      </c>
      <c r="D118">
        <v>-10.4</v>
      </c>
      <c r="E118">
        <v>11.6</v>
      </c>
      <c r="F118">
        <v>10.4</v>
      </c>
    </row>
    <row r="119" spans="1:6" x14ac:dyDescent="0.25">
      <c r="A119" t="s">
        <v>90</v>
      </c>
      <c r="B119">
        <v>41.4</v>
      </c>
      <c r="C119">
        <v>4.5999999999999996</v>
      </c>
      <c r="D119">
        <v>137.30000000000001</v>
      </c>
      <c r="E119">
        <v>-107</v>
      </c>
      <c r="F119">
        <v>17.100000000000001</v>
      </c>
    </row>
    <row r="120" spans="1:6" x14ac:dyDescent="0.25">
      <c r="A120" t="s">
        <v>112</v>
      </c>
      <c r="B120">
        <v>-24.7</v>
      </c>
      <c r="C120">
        <v>-3.1</v>
      </c>
      <c r="D120">
        <v>85.7</v>
      </c>
      <c r="E120">
        <v>0</v>
      </c>
      <c r="F120">
        <v>0</v>
      </c>
    </row>
    <row r="121" spans="1:6" x14ac:dyDescent="0.25">
      <c r="A121" t="s">
        <v>91</v>
      </c>
      <c r="B121">
        <v>276</v>
      </c>
      <c r="C121">
        <v>177.9</v>
      </c>
      <c r="D121">
        <v>539.70000000000005</v>
      </c>
      <c r="E121">
        <v>328.1</v>
      </c>
      <c r="F121">
        <v>259.89999999999998</v>
      </c>
    </row>
    <row r="122" spans="1:6" x14ac:dyDescent="0.25">
      <c r="A122" t="s">
        <v>92</v>
      </c>
      <c r="B122">
        <v>810.6</v>
      </c>
      <c r="C122">
        <v>363.4</v>
      </c>
      <c r="D122">
        <v>623.9</v>
      </c>
      <c r="E122">
        <v>685.4</v>
      </c>
      <c r="F122">
        <v>651.9</v>
      </c>
    </row>
    <row r="123" spans="1:6" x14ac:dyDescent="0.25">
      <c r="A123" t="s">
        <v>93</v>
      </c>
      <c r="B123">
        <v>810.6</v>
      </c>
      <c r="C123">
        <v>363.4</v>
      </c>
      <c r="D123">
        <v>623.9</v>
      </c>
      <c r="E123">
        <v>685.4</v>
      </c>
      <c r="F123">
        <v>651.9</v>
      </c>
    </row>
    <row r="124" spans="1:6" x14ac:dyDescent="0.25">
      <c r="A124" t="s">
        <v>94</v>
      </c>
      <c r="B124">
        <v>810.6</v>
      </c>
      <c r="C124">
        <v>363.4</v>
      </c>
      <c r="D124">
        <v>623.9</v>
      </c>
      <c r="E124">
        <v>685.4</v>
      </c>
      <c r="F124">
        <v>651.9</v>
      </c>
    </row>
    <row r="125" spans="1:6" x14ac:dyDescent="0.25">
      <c r="A125" t="s">
        <v>116</v>
      </c>
      <c r="B125">
        <v>18</v>
      </c>
      <c r="C125">
        <v>21.5</v>
      </c>
      <c r="D125">
        <v>38.299999999999997</v>
      </c>
      <c r="E125">
        <v>16.600000000000001</v>
      </c>
      <c r="F125">
        <v>-18.100000000000001</v>
      </c>
    </row>
    <row r="126" spans="1:6" x14ac:dyDescent="0.25">
      <c r="A126" t="s">
        <v>130</v>
      </c>
      <c r="B126">
        <v>0</v>
      </c>
      <c r="C126">
        <v>-1.3</v>
      </c>
      <c r="D126">
        <v>-3.3</v>
      </c>
      <c r="E126">
        <v>-1.8</v>
      </c>
      <c r="F126">
        <v>0</v>
      </c>
    </row>
    <row r="127" spans="1:6" x14ac:dyDescent="0.25">
      <c r="A127" t="s">
        <v>113</v>
      </c>
      <c r="B127">
        <v>828.6</v>
      </c>
      <c r="C127">
        <v>383.6</v>
      </c>
      <c r="D127">
        <v>658.9</v>
      </c>
      <c r="E127">
        <v>700.2</v>
      </c>
      <c r="F127">
        <v>633.79999999999995</v>
      </c>
    </row>
    <row r="128" spans="1:6" ht="24" customHeight="1" x14ac:dyDescent="0.25">
      <c r="A128" t="s">
        <v>45</v>
      </c>
    </row>
    <row r="129" spans="1:6" ht="24" customHeight="1" x14ac:dyDescent="0.25">
      <c r="A129" t="s">
        <v>95</v>
      </c>
    </row>
    <row r="130" spans="1:6" x14ac:dyDescent="0.25">
      <c r="A130" t="s">
        <v>96</v>
      </c>
      <c r="B130">
        <v>12</v>
      </c>
      <c r="C130">
        <v>5</v>
      </c>
      <c r="D130">
        <v>9</v>
      </c>
      <c r="E130">
        <v>10</v>
      </c>
      <c r="F130">
        <v>45</v>
      </c>
    </row>
    <row r="131" spans="1:6" x14ac:dyDescent="0.25">
      <c r="A131" t="s">
        <v>97</v>
      </c>
      <c r="B131">
        <v>12</v>
      </c>
      <c r="C131">
        <v>5</v>
      </c>
      <c r="D131">
        <v>9</v>
      </c>
      <c r="E131">
        <v>10</v>
      </c>
      <c r="F131">
        <v>45</v>
      </c>
    </row>
    <row r="132" spans="1:6" ht="36" customHeight="1" x14ac:dyDescent="0.25">
      <c r="A132" t="s">
        <v>100</v>
      </c>
    </row>
    <row r="136" spans="1:6" ht="15" customHeight="1" x14ac:dyDescent="0.25">
      <c r="A136" t="s">
        <v>65</v>
      </c>
    </row>
  </sheetData>
  <hyperlinks>
    <hyperlink ref="B1" r:id="rId1" display="javascript:void(0);" xr:uid="{5ED4BCD3-4DAC-4FCE-A527-0319CECD49D8}"/>
    <hyperlink ref="B90" r:id="rId2" display="javascript:void(0);" xr:uid="{78C21AA5-9052-48B5-8329-79DEC4AF6D2C}"/>
  </hyperlinks>
  <pageMargins left="0.7" right="0.7" top="0.75" bottom="0.75" header="0.3" footer="0.3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BE2F6-5514-4524-874E-DF6D04F5CBE2}">
  <sheetPr codeName="Sheet33"/>
  <dimension ref="A1:M139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166</v>
      </c>
      <c r="B1" t="s">
        <v>1</v>
      </c>
      <c r="H1" t="str">
        <f>A1</f>
        <v>TTK Prestige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13.86</v>
      </c>
      <c r="J4">
        <f>VLOOKUP(H4,$A$1:F$161,J$2,0)</f>
        <v>13.86</v>
      </c>
      <c r="K4">
        <f>VLOOKUP(H4,$A$1:F$161,K$2,0)</f>
        <v>13.86</v>
      </c>
      <c r="L4">
        <f>VLOOKUP(H4,$A$1:F$161,L$2,0)</f>
        <v>11.56</v>
      </c>
      <c r="M4">
        <f>VLOOKUP(H4,$A$1:F$161,M$2,0)</f>
        <v>11.56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13.86</v>
      </c>
      <c r="J5">
        <f>VLOOKUP(H5,$A$1:F$161,J$2,0)</f>
        <v>13.86</v>
      </c>
      <c r="K5">
        <f>VLOOKUP(H5,$A$1:F$161,K$2,0)</f>
        <v>13.86</v>
      </c>
      <c r="L5">
        <f>VLOOKUP(H5,$A$1:F$161,L$2,0)</f>
        <v>11.56</v>
      </c>
      <c r="M5">
        <f>VLOOKUP(H5,$A$1:F$161,M$2,0)</f>
        <v>11.56</v>
      </c>
    </row>
    <row r="6" spans="1:13" x14ac:dyDescent="0.25">
      <c r="H6" t="s">
        <v>10</v>
      </c>
      <c r="I6">
        <f>VLOOKUP(H6,$A$1:F$161,I$2,0)</f>
        <v>1713.56</v>
      </c>
      <c r="J6">
        <f>VLOOKUP(H6,$A$1:F$161,J$2,0)</f>
        <v>1489</v>
      </c>
      <c r="K6">
        <f>VLOOKUP(H6,$A$1:F$161,K$2,0)</f>
        <v>1290.25</v>
      </c>
      <c r="L6">
        <f>VLOOKUP(H6,$A$1:F$161,L$2,0)</f>
        <v>1152.58</v>
      </c>
      <c r="M6">
        <f>VLOOKUP(H6,$A$1:F$161,M$2,0)</f>
        <v>1008.12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1715.71</v>
      </c>
      <c r="J7">
        <f>VLOOKUP(H7,$A$1:F$161,J$2,0)</f>
        <v>1491.15</v>
      </c>
      <c r="K7">
        <f>VLOOKUP(H7,$A$1:F$161,K$2,0)</f>
        <v>1292.4000000000001</v>
      </c>
      <c r="L7">
        <f>VLOOKUP(H7,$A$1:F$161,L$2,0)</f>
        <v>1154.73</v>
      </c>
      <c r="M7">
        <f>VLOOKUP(H7,$A$1:F$161,M$2,0)</f>
        <v>1008.12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1729.57</v>
      </c>
      <c r="J8">
        <f>VLOOKUP(H8,$A$1:F$161,J$2,0)</f>
        <v>1505.01</v>
      </c>
      <c r="K8">
        <f>VLOOKUP(H8,$A$1:F$161,K$2,0)</f>
        <v>1306.26</v>
      </c>
      <c r="L8">
        <f>VLOOKUP(H8,$A$1:F$161,L$2,0)</f>
        <v>1166.29</v>
      </c>
      <c r="M8">
        <f>VLOOKUP(H8,$A$1:F$161,M$2,0)</f>
        <v>1019.68</v>
      </c>
    </row>
    <row r="9" spans="1:13" x14ac:dyDescent="0.25">
      <c r="A9" t="s">
        <v>8</v>
      </c>
      <c r="B9">
        <v>13.86</v>
      </c>
      <c r="C9">
        <v>13.86</v>
      </c>
      <c r="D9">
        <v>13.86</v>
      </c>
      <c r="E9">
        <v>11.56</v>
      </c>
      <c r="F9">
        <v>11.56</v>
      </c>
      <c r="H9" t="s">
        <v>14</v>
      </c>
      <c r="I9">
        <f>VLOOKUP(H9,$A$1:F$161,I$2,0)</f>
        <v>0</v>
      </c>
      <c r="J9">
        <f>VLOOKUP(H9,$A$1:F$161,J$2,0)</f>
        <v>40.380000000000003</v>
      </c>
      <c r="K9">
        <f>VLOOKUP(H9,$A$1:F$161,K$2,0)</f>
        <v>18.62</v>
      </c>
      <c r="L9">
        <f>VLOOKUP(H9,$A$1:F$161,L$2,0)</f>
        <v>54.29</v>
      </c>
      <c r="M9">
        <f>VLOOKUP(H9,$A$1:F$161,M$2,0)</f>
        <v>92.29</v>
      </c>
    </row>
    <row r="10" spans="1:13" x14ac:dyDescent="0.25">
      <c r="A10" t="s">
        <v>9</v>
      </c>
      <c r="B10">
        <v>13.86</v>
      </c>
      <c r="C10">
        <v>13.86</v>
      </c>
      <c r="D10">
        <v>13.86</v>
      </c>
      <c r="E10">
        <v>11.56</v>
      </c>
      <c r="F10">
        <v>11.56</v>
      </c>
      <c r="H10" t="s">
        <v>16</v>
      </c>
      <c r="I10">
        <f>VLOOKUP(H10,$A$1:F$161,I$2,0)</f>
        <v>44.26</v>
      </c>
      <c r="J10">
        <f>VLOOKUP(H10,$A$1:F$161,J$2,0)</f>
        <v>36.119999999999997</v>
      </c>
      <c r="K10">
        <f>VLOOKUP(H10,$A$1:F$161,K$2,0)</f>
        <v>24.74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109</v>
      </c>
      <c r="B11">
        <v>2.15</v>
      </c>
      <c r="C11">
        <v>2.15</v>
      </c>
      <c r="D11">
        <v>2.15</v>
      </c>
      <c r="E11">
        <v>2.15</v>
      </c>
      <c r="F11">
        <v>0</v>
      </c>
      <c r="H11" t="s">
        <v>17</v>
      </c>
      <c r="I11">
        <f>VLOOKUP(H11,$A$1:F$161,I$2,0)</f>
        <v>1.04</v>
      </c>
      <c r="J11">
        <f>VLOOKUP(H11,$A$1:F$161,J$2,0)</f>
        <v>0.05</v>
      </c>
      <c r="K11">
        <f>VLOOKUP(H11,$A$1:F$161,K$2,0)</f>
        <v>4.45</v>
      </c>
      <c r="L11">
        <f>VLOOKUP(H11,$A$1:F$161,L$2,0)</f>
        <v>2.98</v>
      </c>
      <c r="M11">
        <f>VLOOKUP(H11,$A$1:F$161,M$2,0)</f>
        <v>5.37</v>
      </c>
    </row>
    <row r="12" spans="1:13" x14ac:dyDescent="0.25">
      <c r="A12" t="s">
        <v>10</v>
      </c>
      <c r="B12">
        <v>1713.56</v>
      </c>
      <c r="C12">
        <v>1489</v>
      </c>
      <c r="D12">
        <v>1290.25</v>
      </c>
      <c r="E12">
        <v>1152.58</v>
      </c>
      <c r="F12">
        <v>1008.12</v>
      </c>
      <c r="H12" t="s">
        <v>18</v>
      </c>
      <c r="I12">
        <f>VLOOKUP(H12,$A$1:F$161,I$2,0)</f>
        <v>82.49</v>
      </c>
      <c r="J12">
        <f>VLOOKUP(H12,$A$1:F$161,J$2,0)</f>
        <v>111.4</v>
      </c>
      <c r="K12">
        <f>VLOOKUP(H12,$A$1:F$161,K$2,0)</f>
        <v>80.73</v>
      </c>
      <c r="L12">
        <f>VLOOKUP(H12,$A$1:F$161,L$2,0)</f>
        <v>101.61</v>
      </c>
      <c r="M12">
        <f>VLOOKUP(H12,$A$1:F$161,M$2,0)</f>
        <v>139.31</v>
      </c>
    </row>
    <row r="13" spans="1:13" x14ac:dyDescent="0.25">
      <c r="A13" t="s">
        <v>11</v>
      </c>
      <c r="B13">
        <v>1715.71</v>
      </c>
      <c r="C13">
        <v>1491.15</v>
      </c>
      <c r="D13">
        <v>1292.4000000000001</v>
      </c>
      <c r="E13">
        <v>1154.73</v>
      </c>
      <c r="F13">
        <v>1008.12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1729.57</v>
      </c>
      <c r="C14">
        <v>1505.01</v>
      </c>
      <c r="D14">
        <v>1306.26</v>
      </c>
      <c r="E14">
        <v>1166.29</v>
      </c>
      <c r="F14">
        <v>1019.68</v>
      </c>
      <c r="H14" t="s">
        <v>21</v>
      </c>
      <c r="I14">
        <f>VLOOKUP(H14,$A$1:F$161,I$2,0)</f>
        <v>389.36</v>
      </c>
      <c r="J14">
        <f>VLOOKUP(H14,$A$1:F$161,J$2,0)</f>
        <v>225.65</v>
      </c>
      <c r="K14">
        <f>VLOOKUP(H14,$A$1:F$161,K$2,0)</f>
        <v>197.78</v>
      </c>
      <c r="L14">
        <f>VLOOKUP(H14,$A$1:F$161,L$2,0)</f>
        <v>203.25</v>
      </c>
      <c r="M14">
        <f>VLOOKUP(H14,$A$1:F$161,M$2,0)</f>
        <v>238.41</v>
      </c>
    </row>
    <row r="15" spans="1:13" x14ac:dyDescent="0.25">
      <c r="A15" t="s">
        <v>116</v>
      </c>
      <c r="B15">
        <v>0</v>
      </c>
      <c r="C15">
        <v>0</v>
      </c>
      <c r="D15">
        <v>2.41</v>
      </c>
      <c r="E15">
        <v>0</v>
      </c>
      <c r="F15">
        <v>0</v>
      </c>
      <c r="H15" t="s">
        <v>22</v>
      </c>
      <c r="I15">
        <f>VLOOKUP(H15,$A$1:F$161,I$2,0)</f>
        <v>162.72999999999999</v>
      </c>
      <c r="J15">
        <f>VLOOKUP(H15,$A$1:F$161,J$2,0)</f>
        <v>187.06</v>
      </c>
      <c r="K15">
        <f>VLOOKUP(H15,$A$1:F$161,K$2,0)</f>
        <v>195.7</v>
      </c>
      <c r="L15">
        <f>VLOOKUP(H15,$A$1:F$161,L$2,0)</f>
        <v>162</v>
      </c>
      <c r="M15">
        <f>VLOOKUP(H15,$A$1:F$161,M$2,0)</f>
        <v>118.57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10.52</v>
      </c>
      <c r="J16">
        <f>VLOOKUP(H16,$A$1:F$161,J$2,0)</f>
        <v>9.24</v>
      </c>
      <c r="K16">
        <f>VLOOKUP(H16,$A$1:F$161,K$2,0)</f>
        <v>18.59</v>
      </c>
      <c r="L16">
        <f>VLOOKUP(H16,$A$1:F$161,L$2,0)</f>
        <v>18.75</v>
      </c>
      <c r="M16">
        <f>VLOOKUP(H16,$A$1:F$161,M$2,0)</f>
        <v>16.399999999999999</v>
      </c>
    </row>
    <row r="17" spans="1:13" x14ac:dyDescent="0.25">
      <c r="A17" t="s">
        <v>14</v>
      </c>
      <c r="B17">
        <v>0</v>
      </c>
      <c r="C17">
        <v>40.380000000000003</v>
      </c>
      <c r="D17">
        <v>18.62</v>
      </c>
      <c r="E17">
        <v>54.29</v>
      </c>
      <c r="F17">
        <v>92.29</v>
      </c>
      <c r="H17" t="s">
        <v>24</v>
      </c>
      <c r="I17">
        <f>VLOOKUP(H17,$A$1:F$161,I$2,0)</f>
        <v>602.42999999999995</v>
      </c>
      <c r="J17">
        <f>VLOOKUP(H17,$A$1:F$161,J$2,0)</f>
        <v>421.95</v>
      </c>
      <c r="K17">
        <f>VLOOKUP(H17,$A$1:F$161,K$2,0)</f>
        <v>412.07</v>
      </c>
      <c r="L17">
        <f>VLOOKUP(H17,$A$1:F$161,L$2,0)</f>
        <v>384</v>
      </c>
      <c r="M17">
        <f>VLOOKUP(H17,$A$1:F$161,M$2,0)</f>
        <v>410.29</v>
      </c>
    </row>
    <row r="18" spans="1:13" x14ac:dyDescent="0.25">
      <c r="A18" t="s">
        <v>15</v>
      </c>
      <c r="B18">
        <v>37.19</v>
      </c>
      <c r="C18">
        <v>34.85</v>
      </c>
      <c r="D18">
        <v>32.92</v>
      </c>
      <c r="E18">
        <v>44.34</v>
      </c>
      <c r="F18">
        <v>41.65</v>
      </c>
      <c r="H18" t="s">
        <v>25</v>
      </c>
      <c r="I18">
        <f>VLOOKUP(H18,$A$1:F$161,I$2,0)</f>
        <v>2414.4899999999998</v>
      </c>
      <c r="J18">
        <f>VLOOKUP(H18,$A$1:F$161,J$2,0)</f>
        <v>2038.36</v>
      </c>
      <c r="K18">
        <f>VLOOKUP(H18,$A$1:F$161,K$2,0)</f>
        <v>1801.47</v>
      </c>
      <c r="L18">
        <f>VLOOKUP(H18,$A$1:F$161,L$2,0)</f>
        <v>1651.9</v>
      </c>
      <c r="M18">
        <f>VLOOKUP(H18,$A$1:F$161,M$2,0)</f>
        <v>1569.28</v>
      </c>
    </row>
    <row r="19" spans="1:13" x14ac:dyDescent="0.25">
      <c r="A19" t="s">
        <v>16</v>
      </c>
      <c r="B19">
        <v>44.26</v>
      </c>
      <c r="C19">
        <v>36.119999999999997</v>
      </c>
      <c r="D19">
        <v>24.74</v>
      </c>
      <c r="E19">
        <v>0</v>
      </c>
      <c r="F19">
        <v>0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1.04</v>
      </c>
      <c r="C20">
        <v>0.05</v>
      </c>
      <c r="D20">
        <v>4.45</v>
      </c>
      <c r="E20">
        <v>2.98</v>
      </c>
      <c r="F20">
        <v>5.37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82.49</v>
      </c>
      <c r="C21">
        <v>111.4</v>
      </c>
      <c r="D21">
        <v>80.73</v>
      </c>
      <c r="E21">
        <v>101.61</v>
      </c>
      <c r="F21">
        <v>139.31</v>
      </c>
      <c r="H21" t="s">
        <v>28</v>
      </c>
      <c r="I21">
        <f>VLOOKUP(H21,$A$1:F$161,I$2,0)</f>
        <v>461.73</v>
      </c>
      <c r="J21">
        <f>VLOOKUP(H21,$A$1:F$161,J$2,0)</f>
        <v>440.52</v>
      </c>
      <c r="K21">
        <f>VLOOKUP(H21,$A$1:F$161,K$2,0)</f>
        <v>444.38</v>
      </c>
      <c r="L21">
        <f>VLOOKUP(H21,$A$1:F$161,L$2,0)</f>
        <v>370.83</v>
      </c>
      <c r="M21">
        <f>VLOOKUP(H21,$A$1:F$161,M$2,0)</f>
        <v>358.74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6.61</v>
      </c>
      <c r="J22">
        <f>VLOOKUP(H22,$A$1:F$161,J$2,0)</f>
        <v>18.010000000000002</v>
      </c>
      <c r="K22">
        <f>VLOOKUP(H22,$A$1:F$161,K$2,0)</f>
        <v>5.73</v>
      </c>
      <c r="L22">
        <f>VLOOKUP(H22,$A$1:F$161,L$2,0)</f>
        <v>20.6</v>
      </c>
      <c r="M22">
        <f>VLOOKUP(H22,$A$1:F$161,M$2,0)</f>
        <v>4.33</v>
      </c>
    </row>
    <row r="23" spans="1:13" x14ac:dyDescent="0.25">
      <c r="A23" t="s">
        <v>20</v>
      </c>
      <c r="B23">
        <v>39.82</v>
      </c>
      <c r="C23">
        <v>0</v>
      </c>
      <c r="D23">
        <v>0</v>
      </c>
      <c r="E23">
        <v>0</v>
      </c>
      <c r="F23">
        <v>36.909999999999997</v>
      </c>
      <c r="H23" t="s">
        <v>30</v>
      </c>
      <c r="I23">
        <f>VLOOKUP(H23,$A$1:F$161,I$2,0)</f>
        <v>475.17</v>
      </c>
      <c r="J23">
        <f>VLOOKUP(H23,$A$1:F$161,J$2,0)</f>
        <v>460.7</v>
      </c>
      <c r="K23">
        <f>VLOOKUP(H23,$A$1:F$161,K$2,0)</f>
        <v>453.07</v>
      </c>
      <c r="L23">
        <f>VLOOKUP(H23,$A$1:F$161,L$2,0)</f>
        <v>394.8</v>
      </c>
      <c r="M23">
        <f>VLOOKUP(H23,$A$1:F$161,M$2,0)</f>
        <v>363.96</v>
      </c>
    </row>
    <row r="24" spans="1:13" x14ac:dyDescent="0.25">
      <c r="A24" t="s">
        <v>21</v>
      </c>
      <c r="B24">
        <v>389.36</v>
      </c>
      <c r="C24">
        <v>225.65</v>
      </c>
      <c r="D24">
        <v>197.78</v>
      </c>
      <c r="E24">
        <v>203.25</v>
      </c>
      <c r="F24">
        <v>238.41</v>
      </c>
      <c r="H24" t="s">
        <v>32</v>
      </c>
      <c r="I24" t="e">
        <f>VLOOKUP(H24,$A$1:F$161,I$2,0)</f>
        <v>#N/A</v>
      </c>
      <c r="J24" t="e">
        <f>VLOOKUP(H24,$A$1:F$161,J$2,0)</f>
        <v>#N/A</v>
      </c>
      <c r="K24" t="e">
        <f>VLOOKUP(H24,$A$1:F$161,K$2,0)</f>
        <v>#N/A</v>
      </c>
      <c r="L24" t="e">
        <f>VLOOKUP(H24,$A$1:F$161,L$2,0)</f>
        <v>#N/A</v>
      </c>
      <c r="M24" t="e">
        <f>VLOOKUP(H24,$A$1:F$161,M$2,0)</f>
        <v>#N/A</v>
      </c>
    </row>
    <row r="25" spans="1:13" x14ac:dyDescent="0.25">
      <c r="A25" t="s">
        <v>22</v>
      </c>
      <c r="B25">
        <v>162.72999999999999</v>
      </c>
      <c r="C25">
        <v>187.06</v>
      </c>
      <c r="D25">
        <v>195.7</v>
      </c>
      <c r="E25">
        <v>162</v>
      </c>
      <c r="F25">
        <v>118.57</v>
      </c>
      <c r="H25" t="s">
        <v>33</v>
      </c>
      <c r="I25" t="e">
        <f>VLOOKUP(H25,$A$1:F$161,I$2,0)</f>
        <v>#N/A</v>
      </c>
      <c r="J25" t="e">
        <f>VLOOKUP(H25,$A$1:F$161,J$2,0)</f>
        <v>#N/A</v>
      </c>
      <c r="K25" t="e">
        <f>VLOOKUP(H25,$A$1:F$161,K$2,0)</f>
        <v>#N/A</v>
      </c>
      <c r="L25" t="e">
        <f>VLOOKUP(H25,$A$1:F$161,L$2,0)</f>
        <v>#N/A</v>
      </c>
      <c r="M25" t="e">
        <f>VLOOKUP(H25,$A$1:F$161,M$2,0)</f>
        <v>#N/A</v>
      </c>
    </row>
    <row r="26" spans="1:13" x14ac:dyDescent="0.25">
      <c r="A26" t="s">
        <v>23</v>
      </c>
      <c r="B26">
        <v>10.52</v>
      </c>
      <c r="C26">
        <v>9.24</v>
      </c>
      <c r="D26">
        <v>18.59</v>
      </c>
      <c r="E26">
        <v>18.75</v>
      </c>
      <c r="F26">
        <v>16.399999999999999</v>
      </c>
      <c r="H26" t="s">
        <v>34</v>
      </c>
      <c r="I26">
        <f>VLOOKUP(H26,$A$1:F$161,I$2,0)</f>
        <v>57.33</v>
      </c>
      <c r="J26">
        <f>VLOOKUP(H26,$A$1:F$161,J$2,0)</f>
        <v>51.76</v>
      </c>
      <c r="K26">
        <f>VLOOKUP(H26,$A$1:F$161,K$2,0)</f>
        <v>35.130000000000003</v>
      </c>
      <c r="L26">
        <f>VLOOKUP(H26,$A$1:F$161,L$2,0)</f>
        <v>31.42</v>
      </c>
      <c r="M26">
        <f>VLOOKUP(H26,$A$1:F$161,M$2,0)</f>
        <v>27.56</v>
      </c>
    </row>
    <row r="27" spans="1:13" x14ac:dyDescent="0.25">
      <c r="A27" t="s">
        <v>24</v>
      </c>
      <c r="B27">
        <v>602.42999999999995</v>
      </c>
      <c r="C27">
        <v>421.95</v>
      </c>
      <c r="D27">
        <v>412.07</v>
      </c>
      <c r="E27">
        <v>384</v>
      </c>
      <c r="F27">
        <v>410.29</v>
      </c>
      <c r="H27" t="s">
        <v>35</v>
      </c>
      <c r="I27">
        <f>VLOOKUP(H27,$A$1:F$161,I$2,0)</f>
        <v>680.12</v>
      </c>
      <c r="J27">
        <f>VLOOKUP(H27,$A$1:F$161,J$2,0)</f>
        <v>642.41</v>
      </c>
      <c r="K27">
        <f>VLOOKUP(H27,$A$1:F$161,K$2,0)</f>
        <v>613.37</v>
      </c>
      <c r="L27">
        <f>VLOOKUP(H27,$A$1:F$161,L$2,0)</f>
        <v>580.39</v>
      </c>
      <c r="M27">
        <f>VLOOKUP(H27,$A$1:F$161,M$2,0)</f>
        <v>522</v>
      </c>
    </row>
    <row r="28" spans="1:13" x14ac:dyDescent="0.25">
      <c r="A28" t="s">
        <v>25</v>
      </c>
      <c r="B28">
        <v>2414.4899999999998</v>
      </c>
      <c r="C28">
        <v>2038.36</v>
      </c>
      <c r="D28">
        <v>1801.47</v>
      </c>
      <c r="E28">
        <v>1651.9</v>
      </c>
      <c r="F28">
        <v>1569.28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585.62</v>
      </c>
      <c r="J29">
        <f>VLOOKUP(H29,$A$1:F$161,J$2,0)</f>
        <v>447.93</v>
      </c>
      <c r="K29">
        <f>VLOOKUP(H29,$A$1:F$161,K$2,0)</f>
        <v>470.64</v>
      </c>
      <c r="L29">
        <f>VLOOKUP(H29,$A$1:F$161,L$2,0)</f>
        <v>471.37</v>
      </c>
      <c r="M29">
        <f>VLOOKUP(H29,$A$1:F$161,M$2,0)</f>
        <v>437.19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329.71</v>
      </c>
      <c r="J30">
        <f>VLOOKUP(H30,$A$1:F$161,J$2,0)</f>
        <v>290.87</v>
      </c>
      <c r="K30">
        <f>VLOOKUP(H30,$A$1:F$161,K$2,0)</f>
        <v>278.10000000000002</v>
      </c>
      <c r="L30">
        <f>VLOOKUP(H30,$A$1:F$161,L$2,0)</f>
        <v>305.08</v>
      </c>
      <c r="M30">
        <f>VLOOKUP(H30,$A$1:F$161,M$2,0)</f>
        <v>258.29000000000002</v>
      </c>
    </row>
    <row r="31" spans="1:13" x14ac:dyDescent="0.25">
      <c r="A31" t="s">
        <v>28</v>
      </c>
      <c r="B31">
        <v>461.73</v>
      </c>
      <c r="C31">
        <v>440.52</v>
      </c>
      <c r="D31">
        <v>444.38</v>
      </c>
      <c r="E31">
        <v>370.83</v>
      </c>
      <c r="F31">
        <v>358.74</v>
      </c>
      <c r="H31" t="s">
        <v>40</v>
      </c>
      <c r="I31">
        <f>VLOOKUP(H31,$A$1:F$161,I$2,0)</f>
        <v>404.63</v>
      </c>
      <c r="J31">
        <f>VLOOKUP(H31,$A$1:F$161,J$2,0)</f>
        <v>161.16</v>
      </c>
      <c r="K31">
        <f>VLOOKUP(H31,$A$1:F$161,K$2,0)</f>
        <v>57.57</v>
      </c>
      <c r="L31">
        <f>VLOOKUP(H31,$A$1:F$161,L$2,0)</f>
        <v>81.05</v>
      </c>
      <c r="M31">
        <f>VLOOKUP(H31,$A$1:F$161,M$2,0)</f>
        <v>135.52000000000001</v>
      </c>
    </row>
    <row r="32" spans="1:13" x14ac:dyDescent="0.25">
      <c r="A32" t="s">
        <v>106</v>
      </c>
      <c r="B32">
        <v>6.83</v>
      </c>
      <c r="C32">
        <v>2.17</v>
      </c>
      <c r="D32">
        <v>2.96</v>
      </c>
      <c r="E32">
        <v>3.37</v>
      </c>
      <c r="F32">
        <v>0.89</v>
      </c>
      <c r="H32" t="s">
        <v>41</v>
      </c>
      <c r="I32" t="e">
        <f>VLOOKUP(H32,$A$1:F$161,I$2,0)</f>
        <v>#N/A</v>
      </c>
      <c r="J32" t="e">
        <f>VLOOKUP(H32,$A$1:F$161,J$2,0)</f>
        <v>#N/A</v>
      </c>
      <c r="K32" t="e">
        <f>VLOOKUP(H32,$A$1:F$161,K$2,0)</f>
        <v>#N/A</v>
      </c>
      <c r="L32" t="e">
        <f>VLOOKUP(H32,$A$1:F$161,L$2,0)</f>
        <v>#N/A</v>
      </c>
      <c r="M32" t="e">
        <f>VLOOKUP(H32,$A$1:F$161,M$2,0)</f>
        <v>#N/A</v>
      </c>
    </row>
    <row r="33" spans="1:13" x14ac:dyDescent="0.25">
      <c r="A33" t="s">
        <v>29</v>
      </c>
      <c r="B33">
        <v>6.61</v>
      </c>
      <c r="C33">
        <v>18.010000000000002</v>
      </c>
      <c r="D33">
        <v>5.73</v>
      </c>
      <c r="E33">
        <v>20.6</v>
      </c>
      <c r="F33">
        <v>4.33</v>
      </c>
      <c r="H33" t="s">
        <v>42</v>
      </c>
      <c r="I33">
        <f>VLOOKUP(H33,$A$1:F$161,I$2,0)</f>
        <v>78.349999999999994</v>
      </c>
      <c r="J33">
        <f>VLOOKUP(H33,$A$1:F$161,J$2,0)</f>
        <v>75.62</v>
      </c>
      <c r="K33">
        <f>VLOOKUP(H33,$A$1:F$161,K$2,0)</f>
        <v>50.84</v>
      </c>
      <c r="L33">
        <f>VLOOKUP(H33,$A$1:F$161,L$2,0)</f>
        <v>48.48</v>
      </c>
      <c r="M33">
        <f>VLOOKUP(H33,$A$1:F$161,M$2,0)</f>
        <v>49.34</v>
      </c>
    </row>
    <row r="34" spans="1:13" x14ac:dyDescent="0.25">
      <c r="A34" t="s">
        <v>30</v>
      </c>
      <c r="B34">
        <v>475.17</v>
      </c>
      <c r="C34">
        <v>460.7</v>
      </c>
      <c r="D34">
        <v>453.07</v>
      </c>
      <c r="E34">
        <v>394.8</v>
      </c>
      <c r="F34">
        <v>363.96</v>
      </c>
      <c r="H34" t="s">
        <v>43</v>
      </c>
      <c r="I34">
        <f>VLOOKUP(H34,$A$1:F$161,I$2,0)</f>
        <v>1734.37</v>
      </c>
      <c r="J34">
        <f>VLOOKUP(H34,$A$1:F$161,J$2,0)</f>
        <v>1395.95</v>
      </c>
      <c r="K34">
        <f>VLOOKUP(H34,$A$1:F$161,K$2,0)</f>
        <v>1188.0999999999999</v>
      </c>
      <c r="L34">
        <f>VLOOKUP(H34,$A$1:F$161,L$2,0)</f>
        <v>1071.51</v>
      </c>
      <c r="M34">
        <f>VLOOKUP(H34,$A$1:F$161,M$2,0)</f>
        <v>1047.28</v>
      </c>
    </row>
    <row r="35" spans="1:13" x14ac:dyDescent="0.25">
      <c r="A35" t="s">
        <v>31</v>
      </c>
      <c r="B35">
        <v>19.54</v>
      </c>
      <c r="C35">
        <v>7.0000000000000007E-2</v>
      </c>
      <c r="D35">
        <v>0.05</v>
      </c>
      <c r="E35">
        <v>26.4</v>
      </c>
      <c r="F35">
        <v>0.15</v>
      </c>
      <c r="H35" t="s">
        <v>44</v>
      </c>
      <c r="I35">
        <f>VLOOKUP(H35,$A$1:F$161,I$2,0)</f>
        <v>2414.4899999999998</v>
      </c>
      <c r="J35">
        <f>VLOOKUP(H35,$A$1:F$161,J$2,0)</f>
        <v>2038.36</v>
      </c>
      <c r="K35">
        <f>VLOOKUP(H35,$A$1:F$161,K$2,0)</f>
        <v>1801.47</v>
      </c>
      <c r="L35">
        <f>VLOOKUP(H35,$A$1:F$161,L$2,0)</f>
        <v>1651.9</v>
      </c>
      <c r="M35">
        <f>VLOOKUP(H35,$A$1:F$161,M$2,0)</f>
        <v>1569.28</v>
      </c>
    </row>
    <row r="36" spans="1:13" x14ac:dyDescent="0.25">
      <c r="A36" t="s">
        <v>34</v>
      </c>
      <c r="B36">
        <v>57.33</v>
      </c>
      <c r="C36">
        <v>51.76</v>
      </c>
      <c r="D36">
        <v>35.130000000000003</v>
      </c>
      <c r="E36">
        <v>31.42</v>
      </c>
      <c r="F36">
        <v>27.56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35</v>
      </c>
      <c r="B37">
        <v>680.12</v>
      </c>
      <c r="C37">
        <v>642.41</v>
      </c>
      <c r="D37">
        <v>613.37</v>
      </c>
      <c r="E37">
        <v>580.39</v>
      </c>
      <c r="F37">
        <v>522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ht="15" customHeight="1" x14ac:dyDescent="0.25">
      <c r="A38" t="s">
        <v>36</v>
      </c>
      <c r="H38" t="s">
        <v>47</v>
      </c>
      <c r="I38">
        <f>VLOOKUP(H38,$A$1:F$161,I$2,0)</f>
        <v>87.79</v>
      </c>
      <c r="J38">
        <f>VLOOKUP(H38,$A$1:F$161,J$2,0)</f>
        <v>58.9</v>
      </c>
      <c r="K38">
        <f>VLOOKUP(H38,$A$1:F$161,K$2,0)</f>
        <v>39.700000000000003</v>
      </c>
      <c r="L38">
        <f>VLOOKUP(H38,$A$1:F$161,L$2,0)</f>
        <v>78.23</v>
      </c>
      <c r="M38">
        <f>VLOOKUP(H38,$A$1:F$161,M$2,0)</f>
        <v>40.39</v>
      </c>
    </row>
    <row r="39" spans="1:13" x14ac:dyDescent="0.25">
      <c r="A39" t="s">
        <v>37</v>
      </c>
      <c r="B39">
        <v>336.06</v>
      </c>
      <c r="C39">
        <v>420.37</v>
      </c>
      <c r="D39">
        <v>330.95</v>
      </c>
      <c r="E39">
        <v>165.53</v>
      </c>
      <c r="F39">
        <v>166.94</v>
      </c>
      <c r="H39" t="s">
        <v>62</v>
      </c>
      <c r="I39">
        <f>VLOOKUP(H39,$A$1:F$161,I$2,0)</f>
        <v>336.06</v>
      </c>
      <c r="J39">
        <f>VLOOKUP(H39,$A$1:F$161,J$2,0)</f>
        <v>420.37</v>
      </c>
      <c r="K39">
        <f>VLOOKUP(H39,$A$1:F$161,K$2,0)</f>
        <v>330.95</v>
      </c>
      <c r="L39">
        <f>VLOOKUP(H39,$A$1:F$161,L$2,0)</f>
        <v>165.53</v>
      </c>
      <c r="M39">
        <f>VLOOKUP(H39,$A$1:F$161,M$2,0)</f>
        <v>166.94</v>
      </c>
    </row>
    <row r="40" spans="1:13" x14ac:dyDescent="0.25">
      <c r="A40" t="s">
        <v>38</v>
      </c>
      <c r="B40">
        <v>585.62</v>
      </c>
      <c r="C40">
        <v>447.93</v>
      </c>
      <c r="D40">
        <v>470.64</v>
      </c>
      <c r="E40">
        <v>471.37</v>
      </c>
      <c r="F40">
        <v>437.19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39</v>
      </c>
      <c r="B41">
        <v>329.71</v>
      </c>
      <c r="C41">
        <v>290.87</v>
      </c>
      <c r="D41">
        <v>278.10000000000002</v>
      </c>
      <c r="E41">
        <v>305.08</v>
      </c>
      <c r="F41">
        <v>258.29000000000002</v>
      </c>
      <c r="H41" t="s">
        <v>64</v>
      </c>
      <c r="I41">
        <f>VLOOKUP(H41,$A$1:F$161,I$2,0)</f>
        <v>336.06</v>
      </c>
      <c r="J41">
        <f>VLOOKUP(H41,$A$1:F$161,J$2,0)</f>
        <v>420.37</v>
      </c>
      <c r="K41">
        <f>VLOOKUP(H41,$A$1:F$161,K$2,0)</f>
        <v>330.95</v>
      </c>
      <c r="L41">
        <f>VLOOKUP(H41,$A$1:F$161,L$2,0)</f>
        <v>165.53</v>
      </c>
      <c r="M41">
        <f>VLOOKUP(H41,$A$1:F$161,M$2,0)</f>
        <v>0</v>
      </c>
    </row>
    <row r="42" spans="1:13" x14ac:dyDescent="0.25">
      <c r="A42" t="s">
        <v>40</v>
      </c>
      <c r="B42">
        <v>404.63</v>
      </c>
      <c r="C42">
        <v>161.16</v>
      </c>
      <c r="D42">
        <v>57.57</v>
      </c>
      <c r="E42">
        <v>81.05</v>
      </c>
      <c r="F42">
        <v>135.52000000000001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42</v>
      </c>
      <c r="B43">
        <v>78.349999999999994</v>
      </c>
      <c r="C43">
        <v>75.62</v>
      </c>
      <c r="D43">
        <v>50.84</v>
      </c>
      <c r="E43">
        <v>48.48</v>
      </c>
      <c r="F43">
        <v>49.34</v>
      </c>
      <c r="H43" t="s">
        <v>68</v>
      </c>
      <c r="I43">
        <f>VLOOKUP(H43,$A$1:F$161,I$2,0)</f>
        <v>2721.4</v>
      </c>
      <c r="J43">
        <f>VLOOKUP(H43,$A$1:F$161,J$2,0)</f>
        <v>2184.0500000000002</v>
      </c>
      <c r="K43">
        <f>VLOOKUP(H43,$A$1:F$161,K$2,0)</f>
        <v>2064.04</v>
      </c>
      <c r="L43">
        <f>VLOOKUP(H43,$A$1:F$161,L$2,0)</f>
        <v>2096.2600000000002</v>
      </c>
      <c r="M43">
        <f>VLOOKUP(H43,$A$1:F$161,M$2,0)</f>
        <v>1871.35</v>
      </c>
    </row>
    <row r="44" spans="1:13" x14ac:dyDescent="0.25">
      <c r="A44" t="s">
        <v>43</v>
      </c>
      <c r="B44">
        <v>1734.37</v>
      </c>
      <c r="C44">
        <v>1395.95</v>
      </c>
      <c r="D44">
        <v>1188.0999999999999</v>
      </c>
      <c r="E44">
        <v>1071.51</v>
      </c>
      <c r="F44">
        <v>1047.28</v>
      </c>
      <c r="H44" t="s">
        <v>70</v>
      </c>
      <c r="I44">
        <f>VLOOKUP(H44,$A$1:F$161,I$2,0)</f>
        <v>2721.4</v>
      </c>
      <c r="J44">
        <f>VLOOKUP(H44,$A$1:F$161,J$2,0)</f>
        <v>2184.0500000000002</v>
      </c>
      <c r="K44">
        <f>VLOOKUP(H44,$A$1:F$161,K$2,0)</f>
        <v>2064.04</v>
      </c>
      <c r="L44">
        <f>VLOOKUP(H44,$A$1:F$161,L$2,0)</f>
        <v>2096.2600000000002</v>
      </c>
      <c r="M44">
        <f>VLOOKUP(H44,$A$1:F$161,M$2,0)</f>
        <v>1871.35</v>
      </c>
    </row>
    <row r="45" spans="1:13" x14ac:dyDescent="0.25">
      <c r="A45" t="s">
        <v>44</v>
      </c>
      <c r="B45">
        <v>2414.4899999999998</v>
      </c>
      <c r="C45">
        <v>2038.36</v>
      </c>
      <c r="D45">
        <v>1801.47</v>
      </c>
      <c r="E45">
        <v>1651.9</v>
      </c>
      <c r="F45">
        <v>1569.28</v>
      </c>
      <c r="H45" t="s">
        <v>71</v>
      </c>
      <c r="I45">
        <f>VLOOKUP(H45,$A$1:F$161,I$2,0)</f>
        <v>1.05</v>
      </c>
      <c r="J45">
        <f>VLOOKUP(H45,$A$1:F$161,J$2,0)</f>
        <v>2.88</v>
      </c>
      <c r="K45">
        <f>VLOOKUP(H45,$A$1:F$161,K$2,0)</f>
        <v>8.9499999999999993</v>
      </c>
      <c r="L45">
        <f>VLOOKUP(H45,$A$1:F$161,L$2,0)</f>
        <v>10.65</v>
      </c>
      <c r="M45">
        <f>VLOOKUP(H45,$A$1:F$161,M$2,0)</f>
        <v>0</v>
      </c>
    </row>
    <row r="46" spans="1:13" ht="24" customHeight="1" x14ac:dyDescent="0.25">
      <c r="A46" t="s">
        <v>45</v>
      </c>
      <c r="H46" t="s">
        <v>72</v>
      </c>
      <c r="I46">
        <f>VLOOKUP(H46,$A$1:F$161,I$2,0)</f>
        <v>2722.45</v>
      </c>
      <c r="J46">
        <f>VLOOKUP(H46,$A$1:F$161,J$2,0)</f>
        <v>2186.9299999999998</v>
      </c>
      <c r="K46">
        <f>VLOOKUP(H46,$A$1:F$161,K$2,0)</f>
        <v>2072.9899999999998</v>
      </c>
      <c r="L46">
        <f>VLOOKUP(H46,$A$1:F$161,L$2,0)</f>
        <v>2106.91</v>
      </c>
      <c r="M46">
        <f>VLOOKUP(H46,$A$1:F$161,M$2,0)</f>
        <v>1871.35</v>
      </c>
    </row>
    <row r="47" spans="1:13" ht="36" customHeight="1" x14ac:dyDescent="0.25">
      <c r="A47" t="s">
        <v>46</v>
      </c>
      <c r="H47" t="s">
        <v>73</v>
      </c>
      <c r="I47">
        <f>VLOOKUP(H47,$A$1:F$161,I$2,0)</f>
        <v>35.049999999999997</v>
      </c>
      <c r="J47">
        <f>VLOOKUP(H47,$A$1:F$161,J$2,0)</f>
        <v>28.71</v>
      </c>
      <c r="K47">
        <f>VLOOKUP(H47,$A$1:F$161,K$2,0)</f>
        <v>24.66</v>
      </c>
      <c r="L47">
        <f>VLOOKUP(H47,$A$1:F$161,L$2,0)</f>
        <v>25.24</v>
      </c>
      <c r="M47">
        <f>VLOOKUP(H47,$A$1:F$161,M$2,0)</f>
        <v>12.43</v>
      </c>
    </row>
    <row r="48" spans="1:13" x14ac:dyDescent="0.25">
      <c r="A48" t="s">
        <v>47</v>
      </c>
      <c r="B48">
        <v>87.79</v>
      </c>
      <c r="C48">
        <v>58.9</v>
      </c>
      <c r="D48">
        <v>39.700000000000003</v>
      </c>
      <c r="E48">
        <v>78.23</v>
      </c>
      <c r="F48">
        <v>40.39</v>
      </c>
      <c r="H48" t="s">
        <v>74</v>
      </c>
      <c r="I48">
        <f>VLOOKUP(H48,$A$1:F$161,I$2,0)</f>
        <v>2757.5</v>
      </c>
      <c r="J48">
        <f>VLOOKUP(H48,$A$1:F$161,J$2,0)</f>
        <v>2215.64</v>
      </c>
      <c r="K48">
        <f>VLOOKUP(H48,$A$1:F$161,K$2,0)</f>
        <v>2097.65</v>
      </c>
      <c r="L48">
        <f>VLOOKUP(H48,$A$1:F$161,L$2,0)</f>
        <v>2132.15</v>
      </c>
      <c r="M48">
        <f>VLOOKUP(H48,$A$1:F$161,M$2,0)</f>
        <v>1883.78</v>
      </c>
    </row>
    <row r="49" spans="1:13" ht="15" customHeight="1" x14ac:dyDescent="0.25">
      <c r="A49" t="s">
        <v>57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A50" t="s">
        <v>58</v>
      </c>
      <c r="B50">
        <v>10.17</v>
      </c>
      <c r="C50">
        <v>10.17</v>
      </c>
      <c r="D50">
        <v>10.17</v>
      </c>
      <c r="E50">
        <v>7.86</v>
      </c>
      <c r="F50">
        <v>7.86</v>
      </c>
      <c r="H50" t="s">
        <v>76</v>
      </c>
      <c r="I50">
        <f>VLOOKUP(H50,$A$1:F$161,I$2,0)</f>
        <v>607.78</v>
      </c>
      <c r="J50">
        <f>VLOOKUP(H50,$A$1:F$161,J$2,0)</f>
        <v>432.74</v>
      </c>
      <c r="K50">
        <f>VLOOKUP(H50,$A$1:F$161,K$2,0)</f>
        <v>426.35</v>
      </c>
      <c r="L50">
        <f>VLOOKUP(H50,$A$1:F$161,L$2,0)</f>
        <v>477.14</v>
      </c>
      <c r="M50">
        <f>VLOOKUP(H50,$A$1:F$161,M$2,0)</f>
        <v>415.58</v>
      </c>
    </row>
    <row r="51" spans="1:13" ht="24" customHeight="1" x14ac:dyDescent="0.25">
      <c r="A51" t="s">
        <v>59</v>
      </c>
      <c r="H51" t="s">
        <v>77</v>
      </c>
      <c r="I51">
        <f>VLOOKUP(H51,$A$1:F$161,I$2,0)</f>
        <v>1083.21</v>
      </c>
      <c r="J51">
        <f>VLOOKUP(H51,$A$1:F$161,J$2,0)</f>
        <v>776.35</v>
      </c>
      <c r="K51">
        <f>VLOOKUP(H51,$A$1:F$161,K$2,0)</f>
        <v>777.47</v>
      </c>
      <c r="L51">
        <f>VLOOKUP(H51,$A$1:F$161,L$2,0)</f>
        <v>774.08</v>
      </c>
      <c r="M51">
        <f>VLOOKUP(H51,$A$1:F$161,M$2,0)</f>
        <v>701.33</v>
      </c>
    </row>
    <row r="52" spans="1:13" x14ac:dyDescent="0.25">
      <c r="A52" t="s">
        <v>60</v>
      </c>
      <c r="B52">
        <v>0.12</v>
      </c>
      <c r="C52">
        <v>7.0000000000000007E-2</v>
      </c>
      <c r="D52">
        <v>0.05</v>
      </c>
      <c r="E52">
        <v>0.1</v>
      </c>
      <c r="F52">
        <v>0.15</v>
      </c>
      <c r="H52" t="s">
        <v>78</v>
      </c>
      <c r="I52">
        <f>VLOOKUP(H52,$A$1:F$161,I$2,0)</f>
        <v>-96.07</v>
      </c>
      <c r="J52">
        <f>VLOOKUP(H52,$A$1:F$161,J$2,0)</f>
        <v>59.8</v>
      </c>
      <c r="K52">
        <f>VLOOKUP(H52,$A$1:F$161,K$2,0)</f>
        <v>0.8</v>
      </c>
      <c r="L52">
        <f>VLOOKUP(H52,$A$1:F$161,L$2,0)</f>
        <v>-30.64</v>
      </c>
      <c r="M52">
        <f>VLOOKUP(H52,$A$1:F$161,M$2,0)</f>
        <v>-34.799999999999997</v>
      </c>
    </row>
    <row r="53" spans="1:13" ht="24" customHeight="1" x14ac:dyDescent="0.25">
      <c r="A53" t="s">
        <v>62</v>
      </c>
      <c r="H53" t="s">
        <v>79</v>
      </c>
      <c r="I53">
        <f>VLOOKUP(H53,$A$1:F$161,I$2,0)</f>
        <v>218.65</v>
      </c>
      <c r="J53">
        <f>VLOOKUP(H53,$A$1:F$161,J$2,0)</f>
        <v>191.15</v>
      </c>
      <c r="K53">
        <f>VLOOKUP(H53,$A$1:F$161,K$2,0)</f>
        <v>189.27</v>
      </c>
      <c r="L53">
        <f>VLOOKUP(H53,$A$1:F$161,L$2,0)</f>
        <v>185.98</v>
      </c>
      <c r="M53">
        <f>VLOOKUP(H53,$A$1:F$161,M$2,0)</f>
        <v>158.63999999999999</v>
      </c>
    </row>
    <row r="54" spans="1:13" x14ac:dyDescent="0.25">
      <c r="A54" t="s">
        <v>64</v>
      </c>
      <c r="B54">
        <v>336.06</v>
      </c>
      <c r="C54">
        <v>420.37</v>
      </c>
      <c r="D54">
        <v>330.95</v>
      </c>
      <c r="E54">
        <v>165.53</v>
      </c>
      <c r="F54">
        <v>0</v>
      </c>
      <c r="H54" t="s">
        <v>80</v>
      </c>
      <c r="I54">
        <f>VLOOKUP(H54,$A$1:F$161,I$2,0)</f>
        <v>6.22</v>
      </c>
      <c r="J54">
        <f>VLOOKUP(H54,$A$1:F$161,J$2,0)</f>
        <v>5.05</v>
      </c>
      <c r="K54">
        <f>VLOOKUP(H54,$A$1:F$161,K$2,0)</f>
        <v>5.46</v>
      </c>
      <c r="L54">
        <f>VLOOKUP(H54,$A$1:F$161,L$2,0)</f>
        <v>4.5</v>
      </c>
      <c r="M54">
        <f>VLOOKUP(H54,$A$1:F$161,M$2,0)</f>
        <v>4.09</v>
      </c>
    </row>
    <row r="55" spans="1:13" x14ac:dyDescent="0.25"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H56" t="s">
        <v>82</v>
      </c>
      <c r="I56">
        <f>VLOOKUP(H56,$A$1:F$161,I$2,0)</f>
        <v>44.15</v>
      </c>
      <c r="J56">
        <f>VLOOKUP(H56,$A$1:F$161,J$2,0)</f>
        <v>39.97</v>
      </c>
      <c r="K56">
        <f>VLOOKUP(H56,$A$1:F$161,K$2,0)</f>
        <v>36.58</v>
      </c>
      <c r="L56">
        <f>VLOOKUP(H56,$A$1:F$161,L$2,0)</f>
        <v>26.46</v>
      </c>
      <c r="M56">
        <f>VLOOKUP(H56,$A$1:F$161,M$2,0)</f>
        <v>25.61</v>
      </c>
    </row>
    <row r="57" spans="1:13" x14ac:dyDescent="0.25">
      <c r="H57" t="s">
        <v>83</v>
      </c>
      <c r="I57">
        <f>VLOOKUP(H57,$A$1:F$161,I$2,0)</f>
        <v>482.98</v>
      </c>
      <c r="J57">
        <f>VLOOKUP(H57,$A$1:F$161,J$2,0)</f>
        <v>399.61</v>
      </c>
      <c r="K57">
        <f>VLOOKUP(H57,$A$1:F$161,K$2,0)</f>
        <v>415.63</v>
      </c>
      <c r="L57">
        <f>VLOOKUP(H57,$A$1:F$161,L$2,0)</f>
        <v>408.33</v>
      </c>
      <c r="M57">
        <f>VLOOKUP(H57,$A$1:F$161,M$2,0)</f>
        <v>310.23</v>
      </c>
    </row>
    <row r="58" spans="1:13" ht="15" customHeight="1" x14ac:dyDescent="0.25">
      <c r="A58" t="s">
        <v>65</v>
      </c>
      <c r="H58" t="s">
        <v>84</v>
      </c>
      <c r="I58">
        <f>VLOOKUP(H58,$A$1:F$161,I$2,0)</f>
        <v>2346.92</v>
      </c>
      <c r="J58">
        <f>VLOOKUP(H58,$A$1:F$161,J$2,0)</f>
        <v>1904.67</v>
      </c>
      <c r="K58">
        <f>VLOOKUP(H58,$A$1:F$161,K$2,0)</f>
        <v>1851.56</v>
      </c>
      <c r="L58">
        <f>VLOOKUP(H58,$A$1:F$161,L$2,0)</f>
        <v>1845.85</v>
      </c>
      <c r="M58">
        <f>VLOOKUP(H58,$A$1:F$161,M$2,0)</f>
        <v>1653.61</v>
      </c>
    </row>
    <row r="59" spans="1:13" x14ac:dyDescent="0.25">
      <c r="H59" t="s">
        <v>85</v>
      </c>
      <c r="I59">
        <f>VLOOKUP(H59,$A$1:F$161,I$2,0)</f>
        <v>410.58</v>
      </c>
      <c r="J59">
        <f>VLOOKUP(H59,$A$1:F$161,J$2,0)</f>
        <v>310.97000000000003</v>
      </c>
      <c r="K59">
        <f>VLOOKUP(H59,$A$1:F$161,K$2,0)</f>
        <v>246.09</v>
      </c>
      <c r="L59">
        <f>VLOOKUP(H59,$A$1:F$161,L$2,0)</f>
        <v>286.3</v>
      </c>
      <c r="M59">
        <f>VLOOKUP(H59,$A$1:F$161,M$2,0)</f>
        <v>230.17</v>
      </c>
    </row>
    <row r="60" spans="1:13" x14ac:dyDescent="0.25">
      <c r="H60" t="s">
        <v>87</v>
      </c>
      <c r="I60">
        <f>VLOOKUP(H60,$A$1:F$161,I$2,0)</f>
        <v>410.58</v>
      </c>
      <c r="J60">
        <f>VLOOKUP(H60,$A$1:F$161,J$2,0)</f>
        <v>322.87</v>
      </c>
      <c r="K60">
        <f>VLOOKUP(H60,$A$1:F$161,K$2,0)</f>
        <v>234.4</v>
      </c>
      <c r="L60">
        <f>VLOOKUP(H60,$A$1:F$161,L$2,0)</f>
        <v>286.3</v>
      </c>
      <c r="M60">
        <f>VLOOKUP(H60,$A$1:F$161,M$2,0)</f>
        <v>359.13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102.8</v>
      </c>
      <c r="J62">
        <f>VLOOKUP(H62,$A$1:F$161,J$2,0)</f>
        <v>78.08</v>
      </c>
      <c r="K62">
        <f>VLOOKUP(H62,$A$1:F$161,K$2,0)</f>
        <v>61.3</v>
      </c>
      <c r="L62">
        <f>VLOOKUP(H62,$A$1:F$161,L$2,0)</f>
        <v>91.22</v>
      </c>
      <c r="M62">
        <f>VLOOKUP(H62,$A$1:F$161,M$2,0)</f>
        <v>92.67</v>
      </c>
    </row>
    <row r="63" spans="1:13" x14ac:dyDescent="0.25">
      <c r="H63" t="s">
        <v>90</v>
      </c>
      <c r="I63">
        <f>VLOOKUP(H63,$A$1:F$161,I$2,0)</f>
        <v>2.35</v>
      </c>
      <c r="J63">
        <f>VLOOKUP(H63,$A$1:F$161,J$2,0)</f>
        <v>1.9</v>
      </c>
      <c r="K63">
        <f>VLOOKUP(H63,$A$1:F$161,K$2,0)</f>
        <v>-11.44</v>
      </c>
      <c r="L63">
        <f>VLOOKUP(H63,$A$1:F$161,L$2,0)</f>
        <v>2.73</v>
      </c>
      <c r="M63">
        <f>VLOOKUP(H63,$A$1:F$161,M$2,0)</f>
        <v>2.97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105.15</v>
      </c>
      <c r="J65">
        <f>VLOOKUP(H65,$A$1:F$161,J$2,0)</f>
        <v>79.98</v>
      </c>
      <c r="K65">
        <f>VLOOKUP(H65,$A$1:F$161,K$2,0)</f>
        <v>49.86</v>
      </c>
      <c r="L65">
        <f>VLOOKUP(H65,$A$1:F$161,L$2,0)</f>
        <v>93.95</v>
      </c>
      <c r="M65">
        <f>VLOOKUP(H65,$A$1:F$161,M$2,0)</f>
        <v>95.64</v>
      </c>
    </row>
    <row r="66" spans="8:13" x14ac:dyDescent="0.25">
      <c r="H66" t="s">
        <v>92</v>
      </c>
      <c r="I66">
        <f>VLOOKUP(H66,$A$1:F$161,I$2,0)</f>
        <v>305.43</v>
      </c>
      <c r="J66">
        <f>VLOOKUP(H66,$A$1:F$161,J$2,0)</f>
        <v>242.89</v>
      </c>
      <c r="K66">
        <f>VLOOKUP(H66,$A$1:F$161,K$2,0)</f>
        <v>184.54</v>
      </c>
      <c r="L66">
        <f>VLOOKUP(H66,$A$1:F$161,L$2,0)</f>
        <v>192.35</v>
      </c>
      <c r="M66">
        <f>VLOOKUP(H66,$A$1:F$161,M$2,0)</f>
        <v>263.49</v>
      </c>
    </row>
    <row r="67" spans="8:13" x14ac:dyDescent="0.25">
      <c r="H67" t="s">
        <v>93</v>
      </c>
      <c r="I67">
        <f>VLOOKUP(H67,$A$1:F$161,I$2,0)</f>
        <v>305.43</v>
      </c>
      <c r="J67">
        <f>VLOOKUP(H67,$A$1:F$161,J$2,0)</f>
        <v>242.89</v>
      </c>
      <c r="K67">
        <f>VLOOKUP(H67,$A$1:F$161,K$2,0)</f>
        <v>184.54</v>
      </c>
      <c r="L67">
        <f>VLOOKUP(H67,$A$1:F$161,L$2,0)</f>
        <v>192.35</v>
      </c>
      <c r="M67">
        <f>VLOOKUP(H67,$A$1:F$161,M$2,0)</f>
        <v>263.49</v>
      </c>
    </row>
    <row r="68" spans="8:13" x14ac:dyDescent="0.25">
      <c r="H68" t="s">
        <v>94</v>
      </c>
      <c r="I68">
        <f>VLOOKUP(H68,$A$1:F$161,I$2,0)</f>
        <v>305.43</v>
      </c>
      <c r="J68">
        <f>VLOOKUP(H68,$A$1:F$161,J$2,0)</f>
        <v>236.78</v>
      </c>
      <c r="K68">
        <f>VLOOKUP(H68,$A$1:F$161,K$2,0)</f>
        <v>184.54</v>
      </c>
      <c r="L68">
        <f>VLOOKUP(H68,$A$1:F$161,L$2,0)</f>
        <v>192.35</v>
      </c>
      <c r="M68">
        <f>VLOOKUP(H68,$A$1:F$161,M$2,0)</f>
        <v>263.49</v>
      </c>
    </row>
    <row r="69" spans="8:13" x14ac:dyDescent="0.25">
      <c r="H69" t="s">
        <v>101</v>
      </c>
      <c r="I69">
        <f>VLOOKUP(H69,$A$1:F$161,I$2,0)</f>
        <v>76.23</v>
      </c>
      <c r="J69">
        <f>VLOOKUP(H69,$A$1:F$161,J$2,0)</f>
        <v>0</v>
      </c>
      <c r="K69">
        <f>VLOOKUP(H69,$A$1:F$161,K$2,0)</f>
        <v>50.13</v>
      </c>
      <c r="L69">
        <f>VLOOKUP(H69,$A$1:F$161,L$2,0)</f>
        <v>41.78</v>
      </c>
      <c r="M69">
        <f>VLOOKUP(H69,$A$1:F$161,M$2,0)</f>
        <v>37.72</v>
      </c>
    </row>
    <row r="70" spans="8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166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2721.4</v>
      </c>
      <c r="C97">
        <v>2184.0500000000002</v>
      </c>
      <c r="D97">
        <v>2064.04</v>
      </c>
      <c r="E97">
        <v>2096.2600000000002</v>
      </c>
      <c r="F97">
        <v>1871.35</v>
      </c>
    </row>
    <row r="98" spans="1:6" x14ac:dyDescent="0.25">
      <c r="A98" t="s">
        <v>70</v>
      </c>
      <c r="B98">
        <v>2721.4</v>
      </c>
      <c r="C98">
        <v>2184.0500000000002</v>
      </c>
      <c r="D98">
        <v>2064.04</v>
      </c>
      <c r="E98">
        <v>2096.2600000000002</v>
      </c>
      <c r="F98">
        <v>1871.35</v>
      </c>
    </row>
    <row r="99" spans="1:6" x14ac:dyDescent="0.25">
      <c r="A99" t="s">
        <v>71</v>
      </c>
      <c r="B99">
        <v>1.05</v>
      </c>
      <c r="C99">
        <v>2.88</v>
      </c>
      <c r="D99">
        <v>8.9499999999999993</v>
      </c>
      <c r="E99">
        <v>10.65</v>
      </c>
      <c r="F99">
        <v>0</v>
      </c>
    </row>
    <row r="100" spans="1:6" x14ac:dyDescent="0.25">
      <c r="A100" t="s">
        <v>72</v>
      </c>
      <c r="B100">
        <v>2722.45</v>
      </c>
      <c r="C100">
        <v>2186.9299999999998</v>
      </c>
      <c r="D100">
        <v>2072.9899999999998</v>
      </c>
      <c r="E100">
        <v>2106.91</v>
      </c>
      <c r="F100">
        <v>1871.35</v>
      </c>
    </row>
    <row r="101" spans="1:6" x14ac:dyDescent="0.25">
      <c r="A101" t="s">
        <v>73</v>
      </c>
      <c r="B101">
        <v>35.049999999999997</v>
      </c>
      <c r="C101">
        <v>28.71</v>
      </c>
      <c r="D101">
        <v>24.66</v>
      </c>
      <c r="E101">
        <v>25.24</v>
      </c>
      <c r="F101">
        <v>12.43</v>
      </c>
    </row>
    <row r="102" spans="1:6" x14ac:dyDescent="0.25">
      <c r="A102" t="s">
        <v>74</v>
      </c>
      <c r="B102">
        <v>2757.5</v>
      </c>
      <c r="C102">
        <v>2215.64</v>
      </c>
      <c r="D102">
        <v>2097.65</v>
      </c>
      <c r="E102">
        <v>2132.15</v>
      </c>
      <c r="F102">
        <v>1883.78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607.78</v>
      </c>
      <c r="C104">
        <v>432.74</v>
      </c>
      <c r="D104">
        <v>426.35</v>
      </c>
      <c r="E104">
        <v>477.14</v>
      </c>
      <c r="F104">
        <v>415.58</v>
      </c>
    </row>
    <row r="105" spans="1:6" x14ac:dyDescent="0.25">
      <c r="A105" t="s">
        <v>77</v>
      </c>
      <c r="B105">
        <v>1083.21</v>
      </c>
      <c r="C105">
        <v>776.35</v>
      </c>
      <c r="D105">
        <v>777.47</v>
      </c>
      <c r="E105">
        <v>774.08</v>
      </c>
      <c r="F105">
        <v>701.33</v>
      </c>
    </row>
    <row r="106" spans="1:6" x14ac:dyDescent="0.25">
      <c r="A106" t="s">
        <v>111</v>
      </c>
      <c r="B106">
        <v>0</v>
      </c>
      <c r="C106">
        <v>0</v>
      </c>
      <c r="D106">
        <v>0</v>
      </c>
      <c r="E106">
        <v>0</v>
      </c>
      <c r="F106">
        <v>72.930000000000007</v>
      </c>
    </row>
    <row r="107" spans="1:6" x14ac:dyDescent="0.25">
      <c r="A107" t="s">
        <v>78</v>
      </c>
      <c r="B107">
        <v>-96.07</v>
      </c>
      <c r="C107">
        <v>59.8</v>
      </c>
      <c r="D107">
        <v>0.8</v>
      </c>
      <c r="E107">
        <v>-30.64</v>
      </c>
      <c r="F107">
        <v>-34.799999999999997</v>
      </c>
    </row>
    <row r="108" spans="1:6" x14ac:dyDescent="0.25">
      <c r="A108" t="s">
        <v>79</v>
      </c>
      <c r="B108">
        <v>218.65</v>
      </c>
      <c r="C108">
        <v>191.15</v>
      </c>
      <c r="D108">
        <v>189.27</v>
      </c>
      <c r="E108">
        <v>185.98</v>
      </c>
      <c r="F108">
        <v>158.63999999999999</v>
      </c>
    </row>
    <row r="109" spans="1:6" x14ac:dyDescent="0.25">
      <c r="A109" t="s">
        <v>80</v>
      </c>
      <c r="B109">
        <v>6.22</v>
      </c>
      <c r="C109">
        <v>5.05</v>
      </c>
      <c r="D109">
        <v>5.46</v>
      </c>
      <c r="E109">
        <v>4.5</v>
      </c>
      <c r="F109">
        <v>4.09</v>
      </c>
    </row>
    <row r="110" spans="1:6" x14ac:dyDescent="0.25">
      <c r="A110" t="s">
        <v>82</v>
      </c>
      <c r="B110">
        <v>44.15</v>
      </c>
      <c r="C110">
        <v>39.97</v>
      </c>
      <c r="D110">
        <v>36.58</v>
      </c>
      <c r="E110">
        <v>26.46</v>
      </c>
      <c r="F110">
        <v>25.61</v>
      </c>
    </row>
    <row r="111" spans="1:6" x14ac:dyDescent="0.25">
      <c r="A111" t="s">
        <v>83</v>
      </c>
      <c r="B111">
        <v>482.98</v>
      </c>
      <c r="C111">
        <v>399.61</v>
      </c>
      <c r="D111">
        <v>415.63</v>
      </c>
      <c r="E111">
        <v>408.33</v>
      </c>
      <c r="F111">
        <v>310.23</v>
      </c>
    </row>
    <row r="112" spans="1:6" x14ac:dyDescent="0.25">
      <c r="A112" t="s">
        <v>84</v>
      </c>
      <c r="B112">
        <v>2346.92</v>
      </c>
      <c r="C112">
        <v>1904.67</v>
      </c>
      <c r="D112">
        <v>1851.56</v>
      </c>
      <c r="E112">
        <v>1845.85</v>
      </c>
      <c r="F112">
        <v>1653.61</v>
      </c>
    </row>
    <row r="113" spans="1:6" x14ac:dyDescent="0.25">
      <c r="A113" t="s">
        <v>85</v>
      </c>
      <c r="B113">
        <v>410.58</v>
      </c>
      <c r="C113">
        <v>310.97000000000003</v>
      </c>
      <c r="D113">
        <v>246.09</v>
      </c>
      <c r="E113">
        <v>286.3</v>
      </c>
      <c r="F113">
        <v>230.17</v>
      </c>
    </row>
    <row r="114" spans="1:6" x14ac:dyDescent="0.25">
      <c r="A114" t="s">
        <v>86</v>
      </c>
      <c r="B114">
        <v>0</v>
      </c>
      <c r="C114">
        <v>11.9</v>
      </c>
      <c r="D114">
        <v>-11.69</v>
      </c>
      <c r="E114">
        <v>0</v>
      </c>
      <c r="F114">
        <v>128.96</v>
      </c>
    </row>
    <row r="115" spans="1:6" x14ac:dyDescent="0.25">
      <c r="A115" t="s">
        <v>87</v>
      </c>
      <c r="B115">
        <v>410.58</v>
      </c>
      <c r="C115">
        <v>322.87</v>
      </c>
      <c r="D115">
        <v>234.4</v>
      </c>
      <c r="E115">
        <v>286.3</v>
      </c>
      <c r="F115">
        <v>359.13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102.8</v>
      </c>
      <c r="C117">
        <v>78.08</v>
      </c>
      <c r="D117">
        <v>61.3</v>
      </c>
      <c r="E117">
        <v>91.22</v>
      </c>
      <c r="F117">
        <v>92.67</v>
      </c>
    </row>
    <row r="118" spans="1:6" x14ac:dyDescent="0.25">
      <c r="A118" t="s">
        <v>90</v>
      </c>
      <c r="B118">
        <v>2.35</v>
      </c>
      <c r="C118">
        <v>1.9</v>
      </c>
      <c r="D118">
        <v>-11.44</v>
      </c>
      <c r="E118">
        <v>2.73</v>
      </c>
      <c r="F118">
        <v>2.97</v>
      </c>
    </row>
    <row r="119" spans="1:6" x14ac:dyDescent="0.25">
      <c r="A119" t="s">
        <v>91</v>
      </c>
      <c r="B119">
        <v>105.15</v>
      </c>
      <c r="C119">
        <v>79.98</v>
      </c>
      <c r="D119">
        <v>49.86</v>
      </c>
      <c r="E119">
        <v>93.95</v>
      </c>
      <c r="F119">
        <v>95.64</v>
      </c>
    </row>
    <row r="120" spans="1:6" x14ac:dyDescent="0.25">
      <c r="A120" t="s">
        <v>92</v>
      </c>
      <c r="B120">
        <v>305.43</v>
      </c>
      <c r="C120">
        <v>242.89</v>
      </c>
      <c r="D120">
        <v>184.54</v>
      </c>
      <c r="E120">
        <v>192.35</v>
      </c>
      <c r="F120">
        <v>263.49</v>
      </c>
    </row>
    <row r="121" spans="1:6" x14ac:dyDescent="0.25">
      <c r="A121" t="s">
        <v>93</v>
      </c>
      <c r="B121">
        <v>305.43</v>
      </c>
      <c r="C121">
        <v>242.89</v>
      </c>
      <c r="D121">
        <v>184.54</v>
      </c>
      <c r="E121">
        <v>192.35</v>
      </c>
      <c r="F121">
        <v>263.49</v>
      </c>
    </row>
    <row r="122" spans="1:6" x14ac:dyDescent="0.25">
      <c r="A122" t="s">
        <v>126</v>
      </c>
      <c r="B122">
        <v>0</v>
      </c>
      <c r="C122">
        <v>-6.11</v>
      </c>
      <c r="D122">
        <v>0</v>
      </c>
      <c r="E122">
        <v>0</v>
      </c>
      <c r="F122">
        <v>0</v>
      </c>
    </row>
    <row r="123" spans="1:6" x14ac:dyDescent="0.25">
      <c r="A123" t="s">
        <v>128</v>
      </c>
      <c r="B123">
        <v>0</v>
      </c>
      <c r="C123">
        <v>-6.11</v>
      </c>
      <c r="D123">
        <v>0</v>
      </c>
      <c r="E123">
        <v>0</v>
      </c>
      <c r="F123">
        <v>0</v>
      </c>
    </row>
    <row r="124" spans="1:6" x14ac:dyDescent="0.25">
      <c r="A124" t="s">
        <v>94</v>
      </c>
      <c r="B124">
        <v>305.43</v>
      </c>
      <c r="C124">
        <v>236.78</v>
      </c>
      <c r="D124">
        <v>184.54</v>
      </c>
      <c r="E124">
        <v>192.35</v>
      </c>
      <c r="F124">
        <v>263.49</v>
      </c>
    </row>
    <row r="125" spans="1:6" x14ac:dyDescent="0.25">
      <c r="A125" t="s">
        <v>116</v>
      </c>
      <c r="B125">
        <v>0</v>
      </c>
      <c r="C125">
        <v>0</v>
      </c>
      <c r="D125">
        <v>1.03</v>
      </c>
      <c r="E125">
        <v>0</v>
      </c>
      <c r="F125">
        <v>0</v>
      </c>
    </row>
    <row r="126" spans="1:6" x14ac:dyDescent="0.25">
      <c r="A126" t="s">
        <v>130</v>
      </c>
      <c r="B126">
        <v>-0.59</v>
      </c>
      <c r="C126">
        <v>0</v>
      </c>
      <c r="D126">
        <v>0</v>
      </c>
      <c r="E126">
        <v>0</v>
      </c>
      <c r="F126">
        <v>0</v>
      </c>
    </row>
    <row r="127" spans="1:6" x14ac:dyDescent="0.25">
      <c r="A127" t="s">
        <v>113</v>
      </c>
      <c r="B127">
        <v>304.83999999999997</v>
      </c>
      <c r="C127">
        <v>236.78</v>
      </c>
      <c r="D127">
        <v>185.57</v>
      </c>
      <c r="E127">
        <v>192.35</v>
      </c>
      <c r="F127">
        <v>263.49</v>
      </c>
    </row>
    <row r="128" spans="1:6" ht="24" customHeight="1" x14ac:dyDescent="0.25">
      <c r="A128" t="s">
        <v>45</v>
      </c>
    </row>
    <row r="129" spans="1:6" ht="24" customHeight="1" x14ac:dyDescent="0.25">
      <c r="A129" t="s">
        <v>95</v>
      </c>
    </row>
    <row r="130" spans="1:6" x14ac:dyDescent="0.25">
      <c r="A130" t="s">
        <v>96</v>
      </c>
      <c r="B130">
        <v>22</v>
      </c>
      <c r="C130">
        <v>175</v>
      </c>
      <c r="D130">
        <v>133</v>
      </c>
      <c r="E130">
        <v>139</v>
      </c>
      <c r="F130">
        <v>227</v>
      </c>
    </row>
    <row r="131" spans="1:6" x14ac:dyDescent="0.25">
      <c r="A131" t="s">
        <v>97</v>
      </c>
      <c r="B131">
        <v>22</v>
      </c>
      <c r="C131">
        <v>175</v>
      </c>
      <c r="D131">
        <v>133</v>
      </c>
      <c r="E131">
        <v>139</v>
      </c>
      <c r="F131">
        <v>227</v>
      </c>
    </row>
    <row r="132" spans="1:6" x14ac:dyDescent="0.25">
      <c r="A132" t="s">
        <v>142</v>
      </c>
      <c r="B132">
        <v>0</v>
      </c>
      <c r="C132">
        <v>0</v>
      </c>
      <c r="D132">
        <v>0</v>
      </c>
      <c r="E132">
        <v>0</v>
      </c>
      <c r="F132">
        <v>43.96</v>
      </c>
    </row>
    <row r="133" spans="1:6" x14ac:dyDescent="0.25">
      <c r="A133" t="s">
        <v>143</v>
      </c>
      <c r="B133">
        <v>0</v>
      </c>
      <c r="C133">
        <v>0</v>
      </c>
      <c r="D133">
        <v>0</v>
      </c>
      <c r="E133">
        <v>0</v>
      </c>
      <c r="F133">
        <v>371.62</v>
      </c>
    </row>
    <row r="134" spans="1:6" ht="36" customHeight="1" x14ac:dyDescent="0.25">
      <c r="A134" t="s">
        <v>100</v>
      </c>
    </row>
    <row r="135" spans="1:6" x14ac:dyDescent="0.25">
      <c r="A135" t="s">
        <v>101</v>
      </c>
      <c r="B135">
        <v>76.23</v>
      </c>
      <c r="C135">
        <v>0</v>
      </c>
      <c r="D135">
        <v>50.13</v>
      </c>
      <c r="E135">
        <v>41.78</v>
      </c>
      <c r="F135">
        <v>37.72</v>
      </c>
    </row>
    <row r="139" spans="1:6" ht="15" customHeight="1" x14ac:dyDescent="0.25">
      <c r="A139" t="s">
        <v>65</v>
      </c>
    </row>
  </sheetData>
  <hyperlinks>
    <hyperlink ref="B1" r:id="rId1" display="javascript:void(0);" xr:uid="{A610EA85-45D5-4963-88B8-5798EBBEE9F6}"/>
    <hyperlink ref="B90" r:id="rId2" display="javascript:void(0);" xr:uid="{137B0F2B-B75B-49C3-B416-80B7DF871F25}"/>
  </hyperlinks>
  <pageMargins left="0.7" right="0.7" top="0.75" bottom="0.75" header="0.3" footer="0.3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2564-D0ED-4D84-B89E-F36E672B4FD9}">
  <sheetPr codeName="Sheet34"/>
  <dimension ref="A1:M134"/>
  <sheetViews>
    <sheetView workbookViewId="0">
      <selection activeCell="H9" sqref="H9"/>
    </sheetView>
  </sheetViews>
  <sheetFormatPr defaultRowHeight="15" x14ac:dyDescent="0.25"/>
  <sheetData>
    <row r="1" spans="1:13" x14ac:dyDescent="0.25">
      <c r="A1" t="s">
        <v>167</v>
      </c>
      <c r="B1" t="s">
        <v>1</v>
      </c>
      <c r="H1" t="str">
        <f>A1</f>
        <v>3M India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11.27</v>
      </c>
      <c r="J4">
        <f>VLOOKUP(H4,$A$1:F$161,J$2,0)</f>
        <v>11.27</v>
      </c>
      <c r="K4">
        <f>VLOOKUP(H4,$A$1:F$161,K$2,0)</f>
        <v>11.27</v>
      </c>
      <c r="L4">
        <f>VLOOKUP(H4,$A$1:F$161,L$2,0)</f>
        <v>11.27</v>
      </c>
      <c r="M4">
        <f>VLOOKUP(H4,$A$1:F$161,M$2,0)</f>
        <v>11.27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11.27</v>
      </c>
      <c r="J5">
        <f>VLOOKUP(H5,$A$1:F$161,J$2,0)</f>
        <v>11.27</v>
      </c>
      <c r="K5">
        <f>VLOOKUP(H5,$A$1:F$161,K$2,0)</f>
        <v>11.27</v>
      </c>
      <c r="L5">
        <f>VLOOKUP(H5,$A$1:F$161,L$2,0)</f>
        <v>11.27</v>
      </c>
      <c r="M5">
        <f>VLOOKUP(H5,$A$1:F$161,M$2,0)</f>
        <v>11.27</v>
      </c>
    </row>
    <row r="6" spans="1:13" x14ac:dyDescent="0.25">
      <c r="H6" t="s">
        <v>10</v>
      </c>
      <c r="I6">
        <f>VLOOKUP(H6,$A$1:F$161,I$2,0)</f>
        <v>2172.31</v>
      </c>
      <c r="J6">
        <f>VLOOKUP(H6,$A$1:F$161,J$2,0)</f>
        <v>1899.06</v>
      </c>
      <c r="K6">
        <f>VLOOKUP(H6,$A$1:F$161,K$2,0)</f>
        <v>1739.61</v>
      </c>
      <c r="L6">
        <f>VLOOKUP(H6,$A$1:F$161,L$2,0)</f>
        <v>1421.57</v>
      </c>
      <c r="M6">
        <f>VLOOKUP(H6,$A$1:F$161,M$2,0)</f>
        <v>1055.45</v>
      </c>
    </row>
    <row r="7" spans="1:13" ht="24" customHeight="1" x14ac:dyDescent="0.25">
      <c r="A7" t="s">
        <v>6</v>
      </c>
      <c r="H7" t="s">
        <v>11</v>
      </c>
      <c r="I7">
        <f>VLOOKUP(H7,$A$1:F$161,I$2,0)</f>
        <v>2172.31</v>
      </c>
      <c r="J7">
        <f>VLOOKUP(H7,$A$1:F$161,J$2,0)</f>
        <v>1899.06</v>
      </c>
      <c r="K7">
        <f>VLOOKUP(H7,$A$1:F$161,K$2,0)</f>
        <v>1739.61</v>
      </c>
      <c r="L7">
        <f>VLOOKUP(H7,$A$1:F$161,L$2,0)</f>
        <v>1421.57</v>
      </c>
      <c r="M7">
        <f>VLOOKUP(H7,$A$1:F$161,M$2,0)</f>
        <v>1055.45</v>
      </c>
    </row>
    <row r="8" spans="1:13" ht="24" customHeight="1" x14ac:dyDescent="0.25">
      <c r="A8" t="s">
        <v>7</v>
      </c>
      <c r="H8" t="s">
        <v>12</v>
      </c>
      <c r="I8">
        <f>VLOOKUP(H8,$A$1:F$161,I$2,0)</f>
        <v>2183.5700000000002</v>
      </c>
      <c r="J8">
        <f>VLOOKUP(H8,$A$1:F$161,J$2,0)</f>
        <v>1910.33</v>
      </c>
      <c r="K8">
        <f>VLOOKUP(H8,$A$1:F$161,K$2,0)</f>
        <v>1750.87</v>
      </c>
      <c r="L8">
        <f>VLOOKUP(H8,$A$1:F$161,L$2,0)</f>
        <v>1432.84</v>
      </c>
      <c r="M8">
        <f>VLOOKUP(H8,$A$1:F$161,M$2,0)</f>
        <v>1066.72</v>
      </c>
    </row>
    <row r="9" spans="1:13" x14ac:dyDescent="0.25">
      <c r="A9" t="s">
        <v>8</v>
      </c>
      <c r="B9">
        <v>11.27</v>
      </c>
      <c r="C9">
        <v>11.27</v>
      </c>
      <c r="D9">
        <v>11.27</v>
      </c>
      <c r="E9">
        <v>11.27</v>
      </c>
      <c r="F9">
        <v>11.27</v>
      </c>
      <c r="H9" t="s">
        <v>14</v>
      </c>
      <c r="I9">
        <f>VLOOKUP(H9,$A$1:F$161,I$2,0)</f>
        <v>0</v>
      </c>
      <c r="J9">
        <f>VLOOKUP(H9,$A$1:F$161,J$2,0)</f>
        <v>0</v>
      </c>
      <c r="K9">
        <f>VLOOKUP(H9,$A$1:F$161,K$2,0)</f>
        <v>0</v>
      </c>
      <c r="L9">
        <f>VLOOKUP(H9,$A$1:F$161,L$2,0)</f>
        <v>7.61</v>
      </c>
      <c r="M9">
        <f>VLOOKUP(H9,$A$1:F$161,M$2,0)</f>
        <v>5.24</v>
      </c>
    </row>
    <row r="10" spans="1:13" x14ac:dyDescent="0.25">
      <c r="A10" t="s">
        <v>9</v>
      </c>
      <c r="B10">
        <v>11.27</v>
      </c>
      <c r="C10">
        <v>11.27</v>
      </c>
      <c r="D10">
        <v>11.27</v>
      </c>
      <c r="E10">
        <v>11.27</v>
      </c>
      <c r="F10">
        <v>11.27</v>
      </c>
      <c r="H10" t="s">
        <v>16</v>
      </c>
      <c r="I10">
        <f>VLOOKUP(H10,$A$1:F$161,I$2,0)</f>
        <v>6.84</v>
      </c>
      <c r="J10">
        <f>VLOOKUP(H10,$A$1:F$161,J$2,0)</f>
        <v>10.43</v>
      </c>
      <c r="K10">
        <f>VLOOKUP(H10,$A$1:F$161,K$2,0)</f>
        <v>17.64</v>
      </c>
      <c r="L10">
        <f>VLOOKUP(H10,$A$1:F$161,L$2,0)</f>
        <v>0</v>
      </c>
      <c r="M10">
        <f>VLOOKUP(H10,$A$1:F$161,M$2,0)</f>
        <v>0</v>
      </c>
    </row>
    <row r="11" spans="1:13" x14ac:dyDescent="0.25">
      <c r="A11" t="s">
        <v>10</v>
      </c>
      <c r="B11">
        <v>2172.31</v>
      </c>
      <c r="C11">
        <v>1899.06</v>
      </c>
      <c r="D11">
        <v>1739.61</v>
      </c>
      <c r="E11">
        <v>1421.57</v>
      </c>
      <c r="F11">
        <v>1055.45</v>
      </c>
      <c r="H11" t="s">
        <v>17</v>
      </c>
      <c r="I11">
        <f>VLOOKUP(H11,$A$1:F$161,I$2,0)</f>
        <v>55.07</v>
      </c>
      <c r="J11">
        <f>VLOOKUP(H11,$A$1:F$161,J$2,0)</f>
        <v>42.15</v>
      </c>
      <c r="K11">
        <f>VLOOKUP(H11,$A$1:F$161,K$2,0)</f>
        <v>31.55</v>
      </c>
      <c r="L11">
        <f>VLOOKUP(H11,$A$1:F$161,L$2,0)</f>
        <v>28.9</v>
      </c>
      <c r="M11">
        <f>VLOOKUP(H11,$A$1:F$161,M$2,0)</f>
        <v>23.69</v>
      </c>
    </row>
    <row r="12" spans="1:13" x14ac:dyDescent="0.25">
      <c r="A12" t="s">
        <v>11</v>
      </c>
      <c r="B12">
        <v>2172.31</v>
      </c>
      <c r="C12">
        <v>1899.06</v>
      </c>
      <c r="D12">
        <v>1739.61</v>
      </c>
      <c r="E12">
        <v>1421.57</v>
      </c>
      <c r="F12">
        <v>1055.45</v>
      </c>
      <c r="H12" t="s">
        <v>18</v>
      </c>
      <c r="I12">
        <f>VLOOKUP(H12,$A$1:F$161,I$2,0)</f>
        <v>61.91</v>
      </c>
      <c r="J12">
        <f>VLOOKUP(H12,$A$1:F$161,J$2,0)</f>
        <v>52.58</v>
      </c>
      <c r="K12">
        <f>VLOOKUP(H12,$A$1:F$161,K$2,0)</f>
        <v>49.19</v>
      </c>
      <c r="L12">
        <f>VLOOKUP(H12,$A$1:F$161,L$2,0)</f>
        <v>36.51</v>
      </c>
      <c r="M12">
        <f>VLOOKUP(H12,$A$1:F$161,M$2,0)</f>
        <v>28.93</v>
      </c>
    </row>
    <row r="13" spans="1:13" x14ac:dyDescent="0.25">
      <c r="A13" t="s">
        <v>12</v>
      </c>
      <c r="B13">
        <v>2183.5700000000002</v>
      </c>
      <c r="C13">
        <v>1910.33</v>
      </c>
      <c r="D13">
        <v>1750.87</v>
      </c>
      <c r="E13">
        <v>1432.84</v>
      </c>
      <c r="F13">
        <v>1066.72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ht="24" customHeight="1" x14ac:dyDescent="0.25">
      <c r="A14" t="s">
        <v>13</v>
      </c>
      <c r="H14" t="s">
        <v>21</v>
      </c>
      <c r="I14">
        <f>VLOOKUP(H14,$A$1:F$161,I$2,0)</f>
        <v>538.44000000000005</v>
      </c>
      <c r="J14">
        <f>VLOOKUP(H14,$A$1:F$161,J$2,0)</f>
        <v>410.95</v>
      </c>
      <c r="K14">
        <f>VLOOKUP(H14,$A$1:F$161,K$2,0)</f>
        <v>312.87</v>
      </c>
      <c r="L14">
        <f>VLOOKUP(H14,$A$1:F$161,L$2,0)</f>
        <v>355.82</v>
      </c>
      <c r="M14">
        <f>VLOOKUP(H14,$A$1:F$161,M$2,0)</f>
        <v>356.58</v>
      </c>
    </row>
    <row r="15" spans="1:13" x14ac:dyDescent="0.25">
      <c r="A15" t="s">
        <v>14</v>
      </c>
      <c r="B15">
        <v>0</v>
      </c>
      <c r="C15">
        <v>0</v>
      </c>
      <c r="D15">
        <v>0</v>
      </c>
      <c r="E15">
        <v>7.61</v>
      </c>
      <c r="F15">
        <v>5.24</v>
      </c>
      <c r="H15" t="s">
        <v>22</v>
      </c>
      <c r="I15">
        <f>VLOOKUP(H15,$A$1:F$161,I$2,0)</f>
        <v>164.64</v>
      </c>
      <c r="J15">
        <f>VLOOKUP(H15,$A$1:F$161,J$2,0)</f>
        <v>227</v>
      </c>
      <c r="K15">
        <f>VLOOKUP(H15,$A$1:F$161,K$2,0)</f>
        <v>195.49</v>
      </c>
      <c r="L15">
        <f>VLOOKUP(H15,$A$1:F$161,L$2,0)</f>
        <v>221.34</v>
      </c>
      <c r="M15">
        <f>VLOOKUP(H15,$A$1:F$161,M$2,0)</f>
        <v>789.73</v>
      </c>
    </row>
    <row r="16" spans="1:13" x14ac:dyDescent="0.25">
      <c r="A16" t="s">
        <v>16</v>
      </c>
      <c r="B16">
        <v>6.84</v>
      </c>
      <c r="C16">
        <v>10.43</v>
      </c>
      <c r="D16">
        <v>17.64</v>
      </c>
      <c r="E16">
        <v>0</v>
      </c>
      <c r="F16">
        <v>0</v>
      </c>
      <c r="H16" t="s">
        <v>23</v>
      </c>
      <c r="I16">
        <f>VLOOKUP(H16,$A$1:F$161,I$2,0)</f>
        <v>57.38</v>
      </c>
      <c r="J16">
        <f>VLOOKUP(H16,$A$1:F$161,J$2,0)</f>
        <v>50.67</v>
      </c>
      <c r="K16">
        <f>VLOOKUP(H16,$A$1:F$161,K$2,0)</f>
        <v>62.94</v>
      </c>
      <c r="L16">
        <f>VLOOKUP(H16,$A$1:F$161,L$2,0)</f>
        <v>71.819999999999993</v>
      </c>
      <c r="M16">
        <f>VLOOKUP(H16,$A$1:F$161,M$2,0)</f>
        <v>68.64</v>
      </c>
    </row>
    <row r="17" spans="1:13" x14ac:dyDescent="0.25">
      <c r="A17" t="s">
        <v>17</v>
      </c>
      <c r="B17">
        <v>55.07</v>
      </c>
      <c r="C17">
        <v>42.15</v>
      </c>
      <c r="D17">
        <v>31.55</v>
      </c>
      <c r="E17">
        <v>28.9</v>
      </c>
      <c r="F17">
        <v>23.69</v>
      </c>
      <c r="H17" t="s">
        <v>24</v>
      </c>
      <c r="I17">
        <f>VLOOKUP(H17,$A$1:F$161,I$2,0)</f>
        <v>760.46</v>
      </c>
      <c r="J17">
        <f>VLOOKUP(H17,$A$1:F$161,J$2,0)</f>
        <v>688.62</v>
      </c>
      <c r="K17">
        <f>VLOOKUP(H17,$A$1:F$161,K$2,0)</f>
        <v>571.29</v>
      </c>
      <c r="L17">
        <f>VLOOKUP(H17,$A$1:F$161,L$2,0)</f>
        <v>648.98</v>
      </c>
      <c r="M17">
        <f>VLOOKUP(H17,$A$1:F$161,M$2,0)</f>
        <v>1214.95</v>
      </c>
    </row>
    <row r="18" spans="1:13" x14ac:dyDescent="0.25">
      <c r="A18" t="s">
        <v>18</v>
      </c>
      <c r="B18">
        <v>61.91</v>
      </c>
      <c r="C18">
        <v>52.58</v>
      </c>
      <c r="D18">
        <v>49.19</v>
      </c>
      <c r="E18">
        <v>36.51</v>
      </c>
      <c r="F18">
        <v>28.93</v>
      </c>
      <c r="H18" t="s">
        <v>25</v>
      </c>
      <c r="I18">
        <f>VLOOKUP(H18,$A$1:F$161,I$2,0)</f>
        <v>3005.94</v>
      </c>
      <c r="J18">
        <f>VLOOKUP(H18,$A$1:F$161,J$2,0)</f>
        <v>2651.53</v>
      </c>
      <c r="K18">
        <f>VLOOKUP(H18,$A$1:F$161,K$2,0)</f>
        <v>2371.36</v>
      </c>
      <c r="L18">
        <f>VLOOKUP(H18,$A$1:F$161,L$2,0)</f>
        <v>2118.3200000000002</v>
      </c>
      <c r="M18">
        <f>VLOOKUP(H18,$A$1:F$161,M$2,0)</f>
        <v>2310.6</v>
      </c>
    </row>
    <row r="19" spans="1:13" ht="15" customHeight="1" x14ac:dyDescent="0.25">
      <c r="A19" t="s">
        <v>19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21</v>
      </c>
      <c r="B20">
        <v>538.44000000000005</v>
      </c>
      <c r="C20">
        <v>410.95</v>
      </c>
      <c r="D20">
        <v>312.87</v>
      </c>
      <c r="E20">
        <v>355.82</v>
      </c>
      <c r="F20">
        <v>356.58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22</v>
      </c>
      <c r="B21">
        <v>164.64</v>
      </c>
      <c r="C21">
        <v>227</v>
      </c>
      <c r="D21">
        <v>195.49</v>
      </c>
      <c r="E21">
        <v>221.34</v>
      </c>
      <c r="F21">
        <v>789.73</v>
      </c>
      <c r="H21" t="s">
        <v>28</v>
      </c>
      <c r="I21">
        <f>VLOOKUP(H21,$A$1:F$161,I$2,0)</f>
        <v>306.87</v>
      </c>
      <c r="J21">
        <f>VLOOKUP(H21,$A$1:F$161,J$2,0)</f>
        <v>265.89999999999998</v>
      </c>
      <c r="K21">
        <f>VLOOKUP(H21,$A$1:F$161,K$2,0)</f>
        <v>305.64</v>
      </c>
      <c r="L21">
        <f>VLOOKUP(H21,$A$1:F$161,L$2,0)</f>
        <v>285.8</v>
      </c>
      <c r="M21">
        <f>VLOOKUP(H21,$A$1:F$161,M$2,0)</f>
        <v>303.02</v>
      </c>
    </row>
    <row r="22" spans="1:13" x14ac:dyDescent="0.25">
      <c r="A22" t="s">
        <v>23</v>
      </c>
      <c r="B22">
        <v>57.38</v>
      </c>
      <c r="C22">
        <v>50.67</v>
      </c>
      <c r="D22">
        <v>62.94</v>
      </c>
      <c r="E22">
        <v>71.819999999999993</v>
      </c>
      <c r="F22">
        <v>68.64</v>
      </c>
      <c r="H22" t="s">
        <v>29</v>
      </c>
      <c r="I22">
        <f>VLOOKUP(H22,$A$1:F$161,I$2,0)</f>
        <v>22.95</v>
      </c>
      <c r="J22">
        <f>VLOOKUP(H22,$A$1:F$161,J$2,0)</f>
        <v>23.52</v>
      </c>
      <c r="K22">
        <f>VLOOKUP(H22,$A$1:F$161,K$2,0)</f>
        <v>6.91</v>
      </c>
      <c r="L22">
        <f>VLOOKUP(H22,$A$1:F$161,L$2,0)</f>
        <v>12.38</v>
      </c>
      <c r="M22">
        <f>VLOOKUP(H22,$A$1:F$161,M$2,0)</f>
        <v>5.91</v>
      </c>
    </row>
    <row r="23" spans="1:13" x14ac:dyDescent="0.25">
      <c r="A23" t="s">
        <v>24</v>
      </c>
      <c r="B23">
        <v>760.46</v>
      </c>
      <c r="C23">
        <v>688.62</v>
      </c>
      <c r="D23">
        <v>571.29</v>
      </c>
      <c r="E23">
        <v>648.98</v>
      </c>
      <c r="F23">
        <v>1214.95</v>
      </c>
      <c r="H23" t="s">
        <v>30</v>
      </c>
      <c r="I23">
        <f>VLOOKUP(H23,$A$1:F$161,I$2,0)</f>
        <v>330.38</v>
      </c>
      <c r="J23">
        <f>VLOOKUP(H23,$A$1:F$161,J$2,0)</f>
        <v>289.76</v>
      </c>
      <c r="K23">
        <f>VLOOKUP(H23,$A$1:F$161,K$2,0)</f>
        <v>312.89</v>
      </c>
      <c r="L23">
        <f>VLOOKUP(H23,$A$1:F$161,L$2,0)</f>
        <v>298.44</v>
      </c>
      <c r="M23">
        <f>VLOOKUP(H23,$A$1:F$161,M$2,0)</f>
        <v>309.33999999999997</v>
      </c>
    </row>
    <row r="24" spans="1:13" x14ac:dyDescent="0.25">
      <c r="A24" t="s">
        <v>25</v>
      </c>
      <c r="B24">
        <v>3005.94</v>
      </c>
      <c r="C24">
        <v>2651.53</v>
      </c>
      <c r="D24">
        <v>2371.36</v>
      </c>
      <c r="E24">
        <v>2118.3200000000002</v>
      </c>
      <c r="F24">
        <v>2310.6</v>
      </c>
      <c r="H24" t="s">
        <v>32</v>
      </c>
      <c r="I24">
        <f>VLOOKUP(H24,$A$1:F$161,I$2,0)</f>
        <v>32.85</v>
      </c>
      <c r="J24">
        <f>VLOOKUP(H24,$A$1:F$161,J$2,0)</f>
        <v>30.8</v>
      </c>
      <c r="K24">
        <f>VLOOKUP(H24,$A$1:F$161,K$2,0)</f>
        <v>22.36</v>
      </c>
      <c r="L24">
        <f>VLOOKUP(H24,$A$1:F$161,L$2,0)</f>
        <v>30.72</v>
      </c>
      <c r="M24">
        <f>VLOOKUP(H24,$A$1:F$161,M$2,0)</f>
        <v>18.87</v>
      </c>
    </row>
    <row r="25" spans="1:13" x14ac:dyDescent="0.25">
      <c r="A25" t="s">
        <v>26</v>
      </c>
      <c r="H25" t="s">
        <v>33</v>
      </c>
      <c r="I25">
        <f>VLOOKUP(H25,$A$1:F$161,I$2,0)</f>
        <v>0.14000000000000001</v>
      </c>
      <c r="J25">
        <f>VLOOKUP(H25,$A$1:F$161,J$2,0)</f>
        <v>8.6999999999999993</v>
      </c>
      <c r="K25">
        <f>VLOOKUP(H25,$A$1:F$161,K$2,0)</f>
        <v>12.89</v>
      </c>
      <c r="L25">
        <f>VLOOKUP(H25,$A$1:F$161,L$2,0)</f>
        <v>9.75</v>
      </c>
      <c r="M25">
        <f>VLOOKUP(H25,$A$1:F$161,M$2,0)</f>
        <v>12.38</v>
      </c>
    </row>
    <row r="26" spans="1:13" ht="24" customHeight="1" x14ac:dyDescent="0.25">
      <c r="A26" t="s">
        <v>27</v>
      </c>
      <c r="H26" t="s">
        <v>34</v>
      </c>
      <c r="I26">
        <f>VLOOKUP(H26,$A$1:F$161,I$2,0)</f>
        <v>205.57</v>
      </c>
      <c r="J26">
        <f>VLOOKUP(H26,$A$1:F$161,J$2,0)</f>
        <v>184.56</v>
      </c>
      <c r="K26">
        <f>VLOOKUP(H26,$A$1:F$161,K$2,0)</f>
        <v>154.47</v>
      </c>
      <c r="L26">
        <f>VLOOKUP(H26,$A$1:F$161,L$2,0)</f>
        <v>122.58</v>
      </c>
      <c r="M26">
        <f>VLOOKUP(H26,$A$1:F$161,M$2,0)</f>
        <v>93.72</v>
      </c>
    </row>
    <row r="27" spans="1:13" x14ac:dyDescent="0.25">
      <c r="A27" t="s">
        <v>28</v>
      </c>
      <c r="B27">
        <v>306.87</v>
      </c>
      <c r="C27">
        <v>265.89999999999998</v>
      </c>
      <c r="D27">
        <v>305.64</v>
      </c>
      <c r="E27">
        <v>285.8</v>
      </c>
      <c r="F27">
        <v>303.02</v>
      </c>
      <c r="H27" t="s">
        <v>35</v>
      </c>
      <c r="I27">
        <f>VLOOKUP(H27,$A$1:F$161,I$2,0)</f>
        <v>568.94000000000005</v>
      </c>
      <c r="J27">
        <f>VLOOKUP(H27,$A$1:F$161,J$2,0)</f>
        <v>513.80999999999995</v>
      </c>
      <c r="K27">
        <f>VLOOKUP(H27,$A$1:F$161,K$2,0)</f>
        <v>502.62</v>
      </c>
      <c r="L27">
        <f>VLOOKUP(H27,$A$1:F$161,L$2,0)</f>
        <v>461.5</v>
      </c>
      <c r="M27">
        <f>VLOOKUP(H27,$A$1:F$161,M$2,0)</f>
        <v>434.31</v>
      </c>
    </row>
    <row r="28" spans="1:13" x14ac:dyDescent="0.25">
      <c r="A28" t="s">
        <v>106</v>
      </c>
      <c r="B28">
        <v>0.56000000000000005</v>
      </c>
      <c r="C28">
        <v>0.34</v>
      </c>
      <c r="D28">
        <v>0.35</v>
      </c>
      <c r="E28">
        <v>0.26</v>
      </c>
      <c r="F28">
        <v>0.41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29</v>
      </c>
      <c r="B29">
        <v>22.95</v>
      </c>
      <c r="C29">
        <v>23.52</v>
      </c>
      <c r="D29">
        <v>6.91</v>
      </c>
      <c r="E29">
        <v>12.38</v>
      </c>
      <c r="F29">
        <v>5.91</v>
      </c>
      <c r="H29" t="s">
        <v>38</v>
      </c>
      <c r="I29">
        <f>VLOOKUP(H29,$A$1:F$161,I$2,0)</f>
        <v>489.58</v>
      </c>
      <c r="J29">
        <f>VLOOKUP(H29,$A$1:F$161,J$2,0)</f>
        <v>456.55</v>
      </c>
      <c r="K29">
        <f>VLOOKUP(H29,$A$1:F$161,K$2,0)</f>
        <v>438.66</v>
      </c>
      <c r="L29">
        <f>VLOOKUP(H29,$A$1:F$161,L$2,0)</f>
        <v>411.26</v>
      </c>
      <c r="M29">
        <f>VLOOKUP(H29,$A$1:F$161,M$2,0)</f>
        <v>367.48</v>
      </c>
    </row>
    <row r="30" spans="1:13" x14ac:dyDescent="0.25">
      <c r="A30" t="s">
        <v>30</v>
      </c>
      <c r="B30">
        <v>330.38</v>
      </c>
      <c r="C30">
        <v>289.76</v>
      </c>
      <c r="D30">
        <v>312.89</v>
      </c>
      <c r="E30">
        <v>298.44</v>
      </c>
      <c r="F30">
        <v>309.33999999999997</v>
      </c>
      <c r="H30" t="s">
        <v>39</v>
      </c>
      <c r="I30">
        <f>VLOOKUP(H30,$A$1:F$161,I$2,0)</f>
        <v>527.77</v>
      </c>
      <c r="J30">
        <f>VLOOKUP(H30,$A$1:F$161,J$2,0)</f>
        <v>488.53</v>
      </c>
      <c r="K30">
        <f>VLOOKUP(H30,$A$1:F$161,K$2,0)</f>
        <v>534.25</v>
      </c>
      <c r="L30">
        <f>VLOOKUP(H30,$A$1:F$161,L$2,0)</f>
        <v>586.55999999999995</v>
      </c>
      <c r="M30">
        <f>VLOOKUP(H30,$A$1:F$161,M$2,0)</f>
        <v>568.09</v>
      </c>
    </row>
    <row r="31" spans="1:13" x14ac:dyDescent="0.25">
      <c r="A31" t="s">
        <v>32</v>
      </c>
      <c r="B31">
        <v>32.85</v>
      </c>
      <c r="C31">
        <v>30.8</v>
      </c>
      <c r="D31">
        <v>22.36</v>
      </c>
      <c r="E31">
        <v>30.72</v>
      </c>
      <c r="F31">
        <v>18.87</v>
      </c>
      <c r="H31" t="s">
        <v>40</v>
      </c>
      <c r="I31">
        <f>VLOOKUP(H31,$A$1:F$161,I$2,0)</f>
        <v>1327.86</v>
      </c>
      <c r="J31">
        <f>VLOOKUP(H31,$A$1:F$161,J$2,0)</f>
        <v>1062.42</v>
      </c>
      <c r="K31">
        <f>VLOOKUP(H31,$A$1:F$161,K$2,0)</f>
        <v>780.57</v>
      </c>
      <c r="L31">
        <f>VLOOKUP(H31,$A$1:F$161,L$2,0)</f>
        <v>557.47</v>
      </c>
      <c r="M31">
        <f>VLOOKUP(H31,$A$1:F$161,M$2,0)</f>
        <v>854.65</v>
      </c>
    </row>
    <row r="32" spans="1:13" x14ac:dyDescent="0.25">
      <c r="A32" t="s">
        <v>33</v>
      </c>
      <c r="B32">
        <v>0.14000000000000001</v>
      </c>
      <c r="C32">
        <v>8.6999999999999993</v>
      </c>
      <c r="D32">
        <v>12.89</v>
      </c>
      <c r="E32">
        <v>9.75</v>
      </c>
      <c r="F32">
        <v>12.38</v>
      </c>
      <c r="H32" t="s">
        <v>41</v>
      </c>
      <c r="I32">
        <f>VLOOKUP(H32,$A$1:F$161,I$2,0)</f>
        <v>0.32</v>
      </c>
      <c r="J32">
        <f>VLOOKUP(H32,$A$1:F$161,J$2,0)</f>
        <v>6.78</v>
      </c>
      <c r="K32">
        <f>VLOOKUP(H32,$A$1:F$161,K$2,0)</f>
        <v>1.5</v>
      </c>
      <c r="L32">
        <f>VLOOKUP(H32,$A$1:F$161,L$2,0)</f>
        <v>4.7300000000000004</v>
      </c>
      <c r="M32">
        <f>VLOOKUP(H32,$A$1:F$161,M$2,0)</f>
        <v>2.17</v>
      </c>
    </row>
    <row r="33" spans="1:13" x14ac:dyDescent="0.25">
      <c r="A33" t="s">
        <v>34</v>
      </c>
      <c r="B33">
        <v>205.57</v>
      </c>
      <c r="C33">
        <v>184.56</v>
      </c>
      <c r="D33">
        <v>154.47</v>
      </c>
      <c r="E33">
        <v>122.58</v>
      </c>
      <c r="F33">
        <v>93.72</v>
      </c>
      <c r="H33" t="s">
        <v>42</v>
      </c>
      <c r="I33">
        <f>VLOOKUP(H33,$A$1:F$161,I$2,0)</f>
        <v>91.48</v>
      </c>
      <c r="J33">
        <f>VLOOKUP(H33,$A$1:F$161,J$2,0)</f>
        <v>123.44</v>
      </c>
      <c r="K33">
        <f>VLOOKUP(H33,$A$1:F$161,K$2,0)</f>
        <v>113.76</v>
      </c>
      <c r="L33">
        <f>VLOOKUP(H33,$A$1:F$161,L$2,0)</f>
        <v>96.81</v>
      </c>
      <c r="M33">
        <f>VLOOKUP(H33,$A$1:F$161,M$2,0)</f>
        <v>83.9</v>
      </c>
    </row>
    <row r="34" spans="1:13" x14ac:dyDescent="0.25">
      <c r="A34" t="s">
        <v>35</v>
      </c>
      <c r="B34">
        <v>568.94000000000005</v>
      </c>
      <c r="C34">
        <v>513.80999999999995</v>
      </c>
      <c r="D34">
        <v>502.62</v>
      </c>
      <c r="E34">
        <v>461.5</v>
      </c>
      <c r="F34">
        <v>434.31</v>
      </c>
      <c r="H34" t="s">
        <v>43</v>
      </c>
      <c r="I34">
        <f>VLOOKUP(H34,$A$1:F$161,I$2,0)</f>
        <v>2437.0100000000002</v>
      </c>
      <c r="J34">
        <f>VLOOKUP(H34,$A$1:F$161,J$2,0)</f>
        <v>2137.7199999999998</v>
      </c>
      <c r="K34">
        <f>VLOOKUP(H34,$A$1:F$161,K$2,0)</f>
        <v>1868.74</v>
      </c>
      <c r="L34">
        <f>VLOOKUP(H34,$A$1:F$161,L$2,0)</f>
        <v>1656.82</v>
      </c>
      <c r="M34">
        <f>VLOOKUP(H34,$A$1:F$161,M$2,0)</f>
        <v>1876.29</v>
      </c>
    </row>
    <row r="35" spans="1:13" ht="15" customHeight="1" x14ac:dyDescent="0.25">
      <c r="A35" t="s">
        <v>36</v>
      </c>
      <c r="H35" t="s">
        <v>44</v>
      </c>
      <c r="I35">
        <f>VLOOKUP(H35,$A$1:F$161,I$2,0)</f>
        <v>3005.94</v>
      </c>
      <c r="J35">
        <f>VLOOKUP(H35,$A$1:F$161,J$2,0)</f>
        <v>2651.53</v>
      </c>
      <c r="K35">
        <f>VLOOKUP(H35,$A$1:F$161,K$2,0)</f>
        <v>2371.36</v>
      </c>
      <c r="L35">
        <f>VLOOKUP(H35,$A$1:F$161,L$2,0)</f>
        <v>2118.3200000000002</v>
      </c>
      <c r="M35">
        <f>VLOOKUP(H35,$A$1:F$161,M$2,0)</f>
        <v>2310.6</v>
      </c>
    </row>
    <row r="36" spans="1:13" x14ac:dyDescent="0.25">
      <c r="A36" t="s">
        <v>38</v>
      </c>
      <c r="B36">
        <v>489.58</v>
      </c>
      <c r="C36">
        <v>456.55</v>
      </c>
      <c r="D36">
        <v>438.66</v>
      </c>
      <c r="E36">
        <v>411.26</v>
      </c>
      <c r="F36">
        <v>367.48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39</v>
      </c>
      <c r="B37">
        <v>527.77</v>
      </c>
      <c r="C37">
        <v>488.53</v>
      </c>
      <c r="D37">
        <v>534.25</v>
      </c>
      <c r="E37">
        <v>586.55999999999995</v>
      </c>
      <c r="F37">
        <v>568.09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40</v>
      </c>
      <c r="B38">
        <v>1327.86</v>
      </c>
      <c r="C38">
        <v>1062.42</v>
      </c>
      <c r="D38">
        <v>780.57</v>
      </c>
      <c r="E38">
        <v>557.47</v>
      </c>
      <c r="F38">
        <v>854.65</v>
      </c>
      <c r="H38" t="s">
        <v>47</v>
      </c>
      <c r="I38">
        <f>VLOOKUP(H38,$A$1:F$161,I$2,0)</f>
        <v>749.25</v>
      </c>
      <c r="J38">
        <f>VLOOKUP(H38,$A$1:F$161,J$2,0)</f>
        <v>516.07000000000005</v>
      </c>
      <c r="K38">
        <f>VLOOKUP(H38,$A$1:F$161,K$2,0)</f>
        <v>542.96</v>
      </c>
      <c r="L38">
        <f>VLOOKUP(H38,$A$1:F$161,L$2,0)</f>
        <v>499.72</v>
      </c>
      <c r="M38">
        <f>VLOOKUP(H38,$A$1:F$161,M$2,0)</f>
        <v>449.46</v>
      </c>
    </row>
    <row r="39" spans="1:13" x14ac:dyDescent="0.25">
      <c r="A39" t="s">
        <v>41</v>
      </c>
      <c r="B39">
        <v>0.32</v>
      </c>
      <c r="C39">
        <v>6.78</v>
      </c>
      <c r="D39">
        <v>1.5</v>
      </c>
      <c r="E39">
        <v>4.7300000000000004</v>
      </c>
      <c r="F39">
        <v>2.17</v>
      </c>
      <c r="H39" t="s">
        <v>62</v>
      </c>
      <c r="I39">
        <f>VLOOKUP(H39,$A$1:F$161,I$2,0)</f>
        <v>0</v>
      </c>
      <c r="J39">
        <f>VLOOKUP(H39,$A$1:F$161,J$2,0)</f>
        <v>0</v>
      </c>
      <c r="K39">
        <f>VLOOKUP(H39,$A$1:F$161,K$2,0)</f>
        <v>0</v>
      </c>
      <c r="L39">
        <f>VLOOKUP(H39,$A$1:F$161,L$2,0)</f>
        <v>0</v>
      </c>
      <c r="M39">
        <f>VLOOKUP(H39,$A$1:F$161,M$2,0)</f>
        <v>0</v>
      </c>
    </row>
    <row r="40" spans="1:13" x14ac:dyDescent="0.25">
      <c r="A40" t="s">
        <v>42</v>
      </c>
      <c r="B40">
        <v>91.48</v>
      </c>
      <c r="C40">
        <v>123.44</v>
      </c>
      <c r="D40">
        <v>113.76</v>
      </c>
      <c r="E40">
        <v>96.81</v>
      </c>
      <c r="F40">
        <v>83.9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x14ac:dyDescent="0.25">
      <c r="A41" t="s">
        <v>43</v>
      </c>
      <c r="B41">
        <v>2437.0100000000002</v>
      </c>
      <c r="C41">
        <v>2137.7199999999998</v>
      </c>
      <c r="D41">
        <v>1868.74</v>
      </c>
      <c r="E41">
        <v>1656.82</v>
      </c>
      <c r="F41">
        <v>1876.29</v>
      </c>
      <c r="H41" t="s">
        <v>64</v>
      </c>
      <c r="I41" t="e">
        <f>VLOOKUP(H41,$A$1:F$161,I$2,0)</f>
        <v>#N/A</v>
      </c>
      <c r="J41" t="e">
        <f>VLOOKUP(H41,$A$1:F$161,J$2,0)</f>
        <v>#N/A</v>
      </c>
      <c r="K41" t="e">
        <f>VLOOKUP(H41,$A$1:F$161,K$2,0)</f>
        <v>#N/A</v>
      </c>
      <c r="L41" t="e">
        <f>VLOOKUP(H41,$A$1:F$161,L$2,0)</f>
        <v>#N/A</v>
      </c>
      <c r="M41" t="e">
        <f>VLOOKUP(H41,$A$1:F$161,M$2,0)</f>
        <v>#N/A</v>
      </c>
    </row>
    <row r="42" spans="1:13" x14ac:dyDescent="0.25">
      <c r="A42" t="s">
        <v>44</v>
      </c>
      <c r="B42">
        <v>3005.94</v>
      </c>
      <c r="C42">
        <v>2651.53</v>
      </c>
      <c r="D42">
        <v>2371.36</v>
      </c>
      <c r="E42">
        <v>2118.3200000000002</v>
      </c>
      <c r="F42">
        <v>2310.6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ht="24" customHeight="1" x14ac:dyDescent="0.25">
      <c r="A43" t="s">
        <v>45</v>
      </c>
      <c r="H43" t="s">
        <v>68</v>
      </c>
      <c r="I43">
        <f>VLOOKUP(H43,$A$1:F$161,I$2,0)</f>
        <v>3333.94</v>
      </c>
      <c r="J43">
        <f>VLOOKUP(H43,$A$1:F$161,J$2,0)</f>
        <v>2603.09</v>
      </c>
      <c r="K43">
        <f>VLOOKUP(H43,$A$1:F$161,K$2,0)</f>
        <v>2984.41</v>
      </c>
      <c r="L43">
        <f>VLOOKUP(H43,$A$1:F$161,L$2,0)</f>
        <v>3014.38</v>
      </c>
      <c r="M43">
        <f>VLOOKUP(H43,$A$1:F$161,M$2,0)</f>
        <v>2733.25</v>
      </c>
    </row>
    <row r="44" spans="1:13" ht="36" customHeight="1" x14ac:dyDescent="0.25">
      <c r="A44" t="s">
        <v>46</v>
      </c>
      <c r="H44" t="s">
        <v>70</v>
      </c>
      <c r="I44">
        <f>VLOOKUP(H44,$A$1:F$161,I$2,0)</f>
        <v>3333.94</v>
      </c>
      <c r="J44">
        <f>VLOOKUP(H44,$A$1:F$161,J$2,0)</f>
        <v>2603.09</v>
      </c>
      <c r="K44">
        <f>VLOOKUP(H44,$A$1:F$161,K$2,0)</f>
        <v>2984.41</v>
      </c>
      <c r="L44">
        <f>VLOOKUP(H44,$A$1:F$161,L$2,0)</f>
        <v>3014.38</v>
      </c>
      <c r="M44">
        <f>VLOOKUP(H44,$A$1:F$161,M$2,0)</f>
        <v>2708.89</v>
      </c>
    </row>
    <row r="45" spans="1:13" x14ac:dyDescent="0.25">
      <c r="A45" t="s">
        <v>47</v>
      </c>
      <c r="B45">
        <v>749.25</v>
      </c>
      <c r="C45">
        <v>516.07000000000005</v>
      </c>
      <c r="D45">
        <v>542.96</v>
      </c>
      <c r="E45">
        <v>499.72</v>
      </c>
      <c r="F45">
        <v>449.46</v>
      </c>
      <c r="H45" t="s">
        <v>71</v>
      </c>
      <c r="I45">
        <f>VLOOKUP(H45,$A$1:F$161,I$2,0)</f>
        <v>1.9</v>
      </c>
      <c r="J45">
        <f>VLOOKUP(H45,$A$1:F$161,J$2,0)</f>
        <v>1.74</v>
      </c>
      <c r="K45">
        <f>VLOOKUP(H45,$A$1:F$161,K$2,0)</f>
        <v>2.14</v>
      </c>
      <c r="L45">
        <f>VLOOKUP(H45,$A$1:F$161,L$2,0)</f>
        <v>2.44</v>
      </c>
      <c r="M45">
        <f>VLOOKUP(H45,$A$1:F$161,M$2,0)</f>
        <v>0.94</v>
      </c>
    </row>
    <row r="46" spans="1:13" ht="15" customHeight="1" x14ac:dyDescent="0.25">
      <c r="A46" t="s">
        <v>57</v>
      </c>
      <c r="H46" t="s">
        <v>72</v>
      </c>
      <c r="I46">
        <f>VLOOKUP(H46,$A$1:F$161,I$2,0)</f>
        <v>3335.84</v>
      </c>
      <c r="J46">
        <f>VLOOKUP(H46,$A$1:F$161,J$2,0)</f>
        <v>2604.83</v>
      </c>
      <c r="K46">
        <f>VLOOKUP(H46,$A$1:F$161,K$2,0)</f>
        <v>2986.55</v>
      </c>
      <c r="L46">
        <f>VLOOKUP(H46,$A$1:F$161,L$2,0)</f>
        <v>3016.82</v>
      </c>
      <c r="M46">
        <f>VLOOKUP(H46,$A$1:F$161,M$2,0)</f>
        <v>2709.83</v>
      </c>
    </row>
    <row r="47" spans="1:13" ht="24" customHeight="1" x14ac:dyDescent="0.25">
      <c r="A47" t="s">
        <v>59</v>
      </c>
      <c r="H47" t="s">
        <v>73</v>
      </c>
      <c r="I47">
        <f>VLOOKUP(H47,$A$1:F$161,I$2,0)</f>
        <v>37.119999999999997</v>
      </c>
      <c r="J47">
        <f>VLOOKUP(H47,$A$1:F$161,J$2,0)</f>
        <v>24.74</v>
      </c>
      <c r="K47">
        <f>VLOOKUP(H47,$A$1:F$161,K$2,0)</f>
        <v>45.9</v>
      </c>
      <c r="L47">
        <f>VLOOKUP(H47,$A$1:F$161,L$2,0)</f>
        <v>36.83</v>
      </c>
      <c r="M47">
        <f>VLOOKUP(H47,$A$1:F$161,M$2,0)</f>
        <v>44.79</v>
      </c>
    </row>
    <row r="48" spans="1:13" ht="24" customHeight="1" x14ac:dyDescent="0.25">
      <c r="A48" t="s">
        <v>62</v>
      </c>
      <c r="H48" t="s">
        <v>74</v>
      </c>
      <c r="I48">
        <f>VLOOKUP(H48,$A$1:F$161,I$2,0)</f>
        <v>3372.96</v>
      </c>
      <c r="J48">
        <f>VLOOKUP(H48,$A$1:F$161,J$2,0)</f>
        <v>2629.57</v>
      </c>
      <c r="K48">
        <f>VLOOKUP(H48,$A$1:F$161,K$2,0)</f>
        <v>3032.45</v>
      </c>
      <c r="L48">
        <f>VLOOKUP(H48,$A$1:F$161,L$2,0)</f>
        <v>3053.65</v>
      </c>
      <c r="M48">
        <f>VLOOKUP(H48,$A$1:F$161,M$2,0)</f>
        <v>2754.62</v>
      </c>
    </row>
    <row r="49" spans="1:13" x14ac:dyDescent="0.25"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x14ac:dyDescent="0.25">
      <c r="H50" t="s">
        <v>76</v>
      </c>
      <c r="I50">
        <f>VLOOKUP(H50,$A$1:F$161,I$2,0)</f>
        <v>1407.75</v>
      </c>
      <c r="J50">
        <f>VLOOKUP(H50,$A$1:F$161,J$2,0)</f>
        <v>994.41</v>
      </c>
      <c r="K50">
        <f>VLOOKUP(H50,$A$1:F$161,K$2,0)</f>
        <v>1100.26</v>
      </c>
      <c r="L50">
        <f>VLOOKUP(H50,$A$1:F$161,L$2,0)</f>
        <v>938.54</v>
      </c>
      <c r="M50">
        <f>VLOOKUP(H50,$A$1:F$161,M$2,0)</f>
        <v>866.8</v>
      </c>
    </row>
    <row r="51" spans="1:13" x14ac:dyDescent="0.25">
      <c r="H51" t="s">
        <v>77</v>
      </c>
      <c r="I51">
        <f>VLOOKUP(H51,$A$1:F$161,I$2,0)</f>
        <v>699.77</v>
      </c>
      <c r="J51">
        <f>VLOOKUP(H51,$A$1:F$161,J$2,0)</f>
        <v>583.65</v>
      </c>
      <c r="K51">
        <f>VLOOKUP(H51,$A$1:F$161,K$2,0)</f>
        <v>640.02</v>
      </c>
      <c r="L51">
        <f>VLOOKUP(H51,$A$1:F$161,L$2,0)</f>
        <v>685.17</v>
      </c>
      <c r="M51">
        <f>VLOOKUP(H51,$A$1:F$161,M$2,0)</f>
        <v>551.37</v>
      </c>
    </row>
    <row r="52" spans="1:13" ht="15" customHeight="1" x14ac:dyDescent="0.25">
      <c r="A52" t="s">
        <v>65</v>
      </c>
      <c r="H52" t="s">
        <v>78</v>
      </c>
      <c r="I52">
        <f>VLOOKUP(H52,$A$1:F$161,I$2,0)</f>
        <v>-16.829999999999998</v>
      </c>
      <c r="J52">
        <f>VLOOKUP(H52,$A$1:F$161,J$2,0)</f>
        <v>21.01</v>
      </c>
      <c r="K52">
        <f>VLOOKUP(H52,$A$1:F$161,K$2,0)</f>
        <v>-3.99</v>
      </c>
      <c r="L52">
        <f>VLOOKUP(H52,$A$1:F$161,L$2,0)</f>
        <v>-23.54</v>
      </c>
      <c r="M52">
        <f>VLOOKUP(H52,$A$1:F$161,M$2,0)</f>
        <v>-15.29</v>
      </c>
    </row>
    <row r="53" spans="1:13" x14ac:dyDescent="0.25">
      <c r="H53" t="s">
        <v>79</v>
      </c>
      <c r="I53">
        <f>VLOOKUP(H53,$A$1:F$161,I$2,0)</f>
        <v>388.19</v>
      </c>
      <c r="J53">
        <f>VLOOKUP(H53,$A$1:F$161,J$2,0)</f>
        <v>369.9</v>
      </c>
      <c r="K53">
        <f>VLOOKUP(H53,$A$1:F$161,K$2,0)</f>
        <v>328.59</v>
      </c>
      <c r="L53">
        <f>VLOOKUP(H53,$A$1:F$161,L$2,0)</f>
        <v>330.21</v>
      </c>
      <c r="M53">
        <f>VLOOKUP(H53,$A$1:F$161,M$2,0)</f>
        <v>356.05</v>
      </c>
    </row>
    <row r="54" spans="1:13" x14ac:dyDescent="0.25">
      <c r="H54" t="s">
        <v>80</v>
      </c>
      <c r="I54">
        <f>VLOOKUP(H54,$A$1:F$161,I$2,0)</f>
        <v>3.72</v>
      </c>
      <c r="J54">
        <f>VLOOKUP(H54,$A$1:F$161,J$2,0)</f>
        <v>2.4500000000000002</v>
      </c>
      <c r="K54">
        <f>VLOOKUP(H54,$A$1:F$161,K$2,0)</f>
        <v>3.66</v>
      </c>
      <c r="L54">
        <f>VLOOKUP(H54,$A$1:F$161,L$2,0)</f>
        <v>1.1200000000000001</v>
      </c>
      <c r="M54">
        <f>VLOOKUP(H54,$A$1:F$161,M$2,0)</f>
        <v>2.0299999999999998</v>
      </c>
    </row>
    <row r="55" spans="1:13" x14ac:dyDescent="0.25"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H56" t="s">
        <v>82</v>
      </c>
      <c r="I56">
        <f>VLOOKUP(H56,$A$1:F$161,I$2,0)</f>
        <v>55.12</v>
      </c>
      <c r="J56">
        <f>VLOOKUP(H56,$A$1:F$161,J$2,0)</f>
        <v>61.85</v>
      </c>
      <c r="K56">
        <f>VLOOKUP(H56,$A$1:F$161,K$2,0)</f>
        <v>59.33</v>
      </c>
      <c r="L56">
        <f>VLOOKUP(H56,$A$1:F$161,L$2,0)</f>
        <v>43.76</v>
      </c>
      <c r="M56">
        <f>VLOOKUP(H56,$A$1:F$161,M$2,0)</f>
        <v>43.51</v>
      </c>
    </row>
    <row r="57" spans="1:13" x14ac:dyDescent="0.25">
      <c r="H57" t="s">
        <v>83</v>
      </c>
      <c r="I57">
        <f>VLOOKUP(H57,$A$1:F$161,I$2,0)</f>
        <v>467.72</v>
      </c>
      <c r="J57">
        <f>VLOOKUP(H57,$A$1:F$161,J$2,0)</f>
        <v>376.37</v>
      </c>
      <c r="K57">
        <f>VLOOKUP(H57,$A$1:F$161,K$2,0)</f>
        <v>472.02</v>
      </c>
      <c r="L57">
        <f>VLOOKUP(H57,$A$1:F$161,L$2,0)</f>
        <v>550.85</v>
      </c>
      <c r="M57">
        <f>VLOOKUP(H57,$A$1:F$161,M$2,0)</f>
        <v>452.29</v>
      </c>
    </row>
    <row r="58" spans="1:13" x14ac:dyDescent="0.25">
      <c r="H58" t="s">
        <v>84</v>
      </c>
      <c r="I58">
        <f>VLOOKUP(H58,$A$1:F$161,I$2,0)</f>
        <v>3005.44</v>
      </c>
      <c r="J58">
        <f>VLOOKUP(H58,$A$1:F$161,J$2,0)</f>
        <v>2409.65</v>
      </c>
      <c r="K58">
        <f>VLOOKUP(H58,$A$1:F$161,K$2,0)</f>
        <v>2599.88</v>
      </c>
      <c r="L58">
        <f>VLOOKUP(H58,$A$1:F$161,L$2,0)</f>
        <v>2526.11</v>
      </c>
      <c r="M58">
        <f>VLOOKUP(H58,$A$1:F$161,M$2,0)</f>
        <v>2256.75</v>
      </c>
    </row>
    <row r="59" spans="1:13" x14ac:dyDescent="0.25">
      <c r="H59" t="s">
        <v>85</v>
      </c>
      <c r="I59">
        <f>VLOOKUP(H59,$A$1:F$161,I$2,0)</f>
        <v>367.52</v>
      </c>
      <c r="J59">
        <f>VLOOKUP(H59,$A$1:F$161,J$2,0)</f>
        <v>219.92</v>
      </c>
      <c r="K59">
        <f>VLOOKUP(H59,$A$1:F$161,K$2,0)</f>
        <v>432.57</v>
      </c>
      <c r="L59">
        <f>VLOOKUP(H59,$A$1:F$161,L$2,0)</f>
        <v>527.54</v>
      </c>
      <c r="M59">
        <f>VLOOKUP(H59,$A$1:F$161,M$2,0)</f>
        <v>497.86</v>
      </c>
    </row>
    <row r="60" spans="1:13" x14ac:dyDescent="0.25">
      <c r="H60" t="s">
        <v>87</v>
      </c>
      <c r="I60">
        <f>VLOOKUP(H60,$A$1:F$161,I$2,0)</f>
        <v>367.52</v>
      </c>
      <c r="J60">
        <f>VLOOKUP(H60,$A$1:F$161,J$2,0)</f>
        <v>219.92</v>
      </c>
      <c r="K60">
        <f>VLOOKUP(H60,$A$1:F$161,K$2,0)</f>
        <v>432.57</v>
      </c>
      <c r="L60">
        <f>VLOOKUP(H60,$A$1:F$161,L$2,0)</f>
        <v>527.54</v>
      </c>
      <c r="M60">
        <f>VLOOKUP(H60,$A$1:F$161,M$2,0)</f>
        <v>497.86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98.03</v>
      </c>
      <c r="J62">
        <f>VLOOKUP(H62,$A$1:F$161,J$2,0)</f>
        <v>64.989999999999995</v>
      </c>
      <c r="K62">
        <f>VLOOKUP(H62,$A$1:F$161,K$2,0)</f>
        <v>100.65</v>
      </c>
      <c r="L62">
        <f>VLOOKUP(H62,$A$1:F$161,L$2,0)</f>
        <v>196.21</v>
      </c>
      <c r="M62">
        <f>VLOOKUP(H62,$A$1:F$161,M$2,0)</f>
        <v>179.73</v>
      </c>
    </row>
    <row r="63" spans="1:13" x14ac:dyDescent="0.25">
      <c r="H63" t="s">
        <v>90</v>
      </c>
      <c r="I63">
        <f>VLOOKUP(H63,$A$1:F$161,I$2,0)</f>
        <v>-2.48</v>
      </c>
      <c r="J63">
        <f>VLOOKUP(H63,$A$1:F$161,J$2,0)</f>
        <v>-7.45</v>
      </c>
      <c r="K63">
        <f>VLOOKUP(H63,$A$1:F$161,K$2,0)</f>
        <v>9.74</v>
      </c>
      <c r="L63">
        <f>VLOOKUP(H63,$A$1:F$161,L$2,0)</f>
        <v>-11.81</v>
      </c>
      <c r="M63">
        <f>VLOOKUP(H63,$A$1:F$161,M$2,0)</f>
        <v>-5.17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95.55</v>
      </c>
      <c r="J65">
        <f>VLOOKUP(H65,$A$1:F$161,J$2,0)</f>
        <v>57.55</v>
      </c>
      <c r="K65">
        <f>VLOOKUP(H65,$A$1:F$161,K$2,0)</f>
        <v>110.4</v>
      </c>
      <c r="L65">
        <f>VLOOKUP(H65,$A$1:F$161,L$2,0)</f>
        <v>184.39</v>
      </c>
      <c r="M65">
        <f>VLOOKUP(H65,$A$1:F$161,M$2,0)</f>
        <v>174.56</v>
      </c>
    </row>
    <row r="66" spans="8:13" x14ac:dyDescent="0.25">
      <c r="H66" t="s">
        <v>92</v>
      </c>
      <c r="I66">
        <f>VLOOKUP(H66,$A$1:F$161,I$2,0)</f>
        <v>271.97000000000003</v>
      </c>
      <c r="J66">
        <f>VLOOKUP(H66,$A$1:F$161,J$2,0)</f>
        <v>162.38</v>
      </c>
      <c r="K66">
        <f>VLOOKUP(H66,$A$1:F$161,K$2,0)</f>
        <v>322.17</v>
      </c>
      <c r="L66">
        <f>VLOOKUP(H66,$A$1:F$161,L$2,0)</f>
        <v>343.15</v>
      </c>
      <c r="M66">
        <f>VLOOKUP(H66,$A$1:F$161,M$2,0)</f>
        <v>323.3</v>
      </c>
    </row>
    <row r="67" spans="8:13" x14ac:dyDescent="0.25">
      <c r="H67" t="s">
        <v>93</v>
      </c>
      <c r="I67">
        <f>VLOOKUP(H67,$A$1:F$161,I$2,0)</f>
        <v>271.97000000000003</v>
      </c>
      <c r="J67">
        <f>VLOOKUP(H67,$A$1:F$161,J$2,0)</f>
        <v>162.38</v>
      </c>
      <c r="K67">
        <f>VLOOKUP(H67,$A$1:F$161,K$2,0)</f>
        <v>322.17</v>
      </c>
      <c r="L67">
        <f>VLOOKUP(H67,$A$1:F$161,L$2,0)</f>
        <v>343.15</v>
      </c>
      <c r="M67">
        <f>VLOOKUP(H67,$A$1:F$161,M$2,0)</f>
        <v>323.3</v>
      </c>
    </row>
    <row r="68" spans="8:13" x14ac:dyDescent="0.25">
      <c r="H68" t="s">
        <v>94</v>
      </c>
      <c r="I68">
        <f>VLOOKUP(H68,$A$1:F$161,I$2,0)</f>
        <v>271.97000000000003</v>
      </c>
      <c r="J68">
        <f>VLOOKUP(H68,$A$1:F$161,J$2,0)</f>
        <v>162.38</v>
      </c>
      <c r="K68">
        <f>VLOOKUP(H68,$A$1:F$161,K$2,0)</f>
        <v>322.17</v>
      </c>
      <c r="L68">
        <f>VLOOKUP(H68,$A$1:F$161,L$2,0)</f>
        <v>366.18</v>
      </c>
      <c r="M68">
        <f>VLOOKUP(H68,$A$1:F$161,M$2,0)</f>
        <v>333.35</v>
      </c>
    </row>
    <row r="69" spans="8:13" x14ac:dyDescent="0.25">
      <c r="H69" t="s">
        <v>101</v>
      </c>
      <c r="I69" t="e">
        <f>VLOOKUP(H69,$A$1:F$161,I$2,0)</f>
        <v>#N/A</v>
      </c>
      <c r="J69" t="e">
        <f>VLOOKUP(H69,$A$1:F$161,J$2,0)</f>
        <v>#N/A</v>
      </c>
      <c r="K69" t="e">
        <f>VLOOKUP(H69,$A$1:F$161,K$2,0)</f>
        <v>#N/A</v>
      </c>
      <c r="L69" t="e">
        <f>VLOOKUP(H69,$A$1:F$161,L$2,0)</f>
        <v>#N/A</v>
      </c>
      <c r="M69" t="e">
        <f>VLOOKUP(H69,$A$1:F$161,M$2,0)</f>
        <v>#N/A</v>
      </c>
    </row>
    <row r="70" spans="8:13" x14ac:dyDescent="0.25">
      <c r="H70" t="s">
        <v>102</v>
      </c>
      <c r="I70" t="e">
        <f>VLOOKUP(H70,$A$1:F$161,I$2,0)</f>
        <v>#N/A</v>
      </c>
      <c r="J70" t="e">
        <f>VLOOKUP(H70,$A$1:F$161,J$2,0)</f>
        <v>#N/A</v>
      </c>
      <c r="K70" t="e">
        <f>VLOOKUP(H70,$A$1:F$161,K$2,0)</f>
        <v>#N/A</v>
      </c>
      <c r="L70" t="e">
        <f>VLOOKUP(H70,$A$1:F$161,L$2,0)</f>
        <v>#N/A</v>
      </c>
      <c r="M70" t="e">
        <f>VLOOKUP(H70,$A$1:F$161,M$2,0)</f>
        <v>#N/A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167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3333.94</v>
      </c>
      <c r="C97">
        <v>2603.09</v>
      </c>
      <c r="D97">
        <v>2984.41</v>
      </c>
      <c r="E97">
        <v>3014.38</v>
      </c>
      <c r="F97">
        <v>2733.25</v>
      </c>
    </row>
    <row r="98" spans="1:6" x14ac:dyDescent="0.25">
      <c r="A98" t="s">
        <v>69</v>
      </c>
      <c r="B98">
        <v>0</v>
      </c>
      <c r="C98">
        <v>0</v>
      </c>
      <c r="D98">
        <v>0</v>
      </c>
      <c r="E98">
        <v>0</v>
      </c>
      <c r="F98">
        <v>24.36</v>
      </c>
    </row>
    <row r="99" spans="1:6" x14ac:dyDescent="0.25">
      <c r="A99" t="s">
        <v>70</v>
      </c>
      <c r="B99">
        <v>3333.94</v>
      </c>
      <c r="C99">
        <v>2603.09</v>
      </c>
      <c r="D99">
        <v>2984.41</v>
      </c>
      <c r="E99">
        <v>3014.38</v>
      </c>
      <c r="F99">
        <v>2708.89</v>
      </c>
    </row>
    <row r="100" spans="1:6" x14ac:dyDescent="0.25">
      <c r="A100" t="s">
        <v>71</v>
      </c>
      <c r="B100">
        <v>1.9</v>
      </c>
      <c r="C100">
        <v>1.74</v>
      </c>
      <c r="D100">
        <v>2.14</v>
      </c>
      <c r="E100">
        <v>2.44</v>
      </c>
      <c r="F100">
        <v>0.94</v>
      </c>
    </row>
    <row r="101" spans="1:6" x14ac:dyDescent="0.25">
      <c r="A101" t="s">
        <v>72</v>
      </c>
      <c r="B101">
        <v>3335.84</v>
      </c>
      <c r="C101">
        <v>2604.83</v>
      </c>
      <c r="D101">
        <v>2986.55</v>
      </c>
      <c r="E101">
        <v>3016.82</v>
      </c>
      <c r="F101">
        <v>2709.83</v>
      </c>
    </row>
    <row r="102" spans="1:6" x14ac:dyDescent="0.25">
      <c r="A102" t="s">
        <v>73</v>
      </c>
      <c r="B102">
        <v>37.119999999999997</v>
      </c>
      <c r="C102">
        <v>24.74</v>
      </c>
      <c r="D102">
        <v>45.9</v>
      </c>
      <c r="E102">
        <v>36.83</v>
      </c>
      <c r="F102">
        <v>44.79</v>
      </c>
    </row>
    <row r="103" spans="1:6" x14ac:dyDescent="0.25">
      <c r="A103" t="s">
        <v>74</v>
      </c>
      <c r="B103">
        <v>3372.96</v>
      </c>
      <c r="C103">
        <v>2629.57</v>
      </c>
      <c r="D103">
        <v>3032.45</v>
      </c>
      <c r="E103">
        <v>3053.65</v>
      </c>
      <c r="F103">
        <v>2754.62</v>
      </c>
    </row>
    <row r="104" spans="1:6" ht="15" customHeight="1" x14ac:dyDescent="0.25">
      <c r="A104" t="s">
        <v>75</v>
      </c>
    </row>
    <row r="105" spans="1:6" x14ac:dyDescent="0.25">
      <c r="A105" t="s">
        <v>76</v>
      </c>
      <c r="B105">
        <v>1407.75</v>
      </c>
      <c r="C105">
        <v>994.41</v>
      </c>
      <c r="D105">
        <v>1100.26</v>
      </c>
      <c r="E105">
        <v>938.54</v>
      </c>
      <c r="F105">
        <v>866.8</v>
      </c>
    </row>
    <row r="106" spans="1:6" x14ac:dyDescent="0.25">
      <c r="A106" t="s">
        <v>77</v>
      </c>
      <c r="B106">
        <v>699.77</v>
      </c>
      <c r="C106">
        <v>583.65</v>
      </c>
      <c r="D106">
        <v>640.02</v>
      </c>
      <c r="E106">
        <v>685.17</v>
      </c>
      <c r="F106">
        <v>551.37</v>
      </c>
    </row>
    <row r="107" spans="1:6" x14ac:dyDescent="0.25">
      <c r="A107" t="s">
        <v>78</v>
      </c>
      <c r="B107">
        <v>-16.829999999999998</v>
      </c>
      <c r="C107">
        <v>21.01</v>
      </c>
      <c r="D107">
        <v>-3.99</v>
      </c>
      <c r="E107">
        <v>-23.54</v>
      </c>
      <c r="F107">
        <v>-15.29</v>
      </c>
    </row>
    <row r="108" spans="1:6" x14ac:dyDescent="0.25">
      <c r="A108" t="s">
        <v>79</v>
      </c>
      <c r="B108">
        <v>388.19</v>
      </c>
      <c r="C108">
        <v>369.9</v>
      </c>
      <c r="D108">
        <v>328.59</v>
      </c>
      <c r="E108">
        <v>330.21</v>
      </c>
      <c r="F108">
        <v>356.05</v>
      </c>
    </row>
    <row r="109" spans="1:6" x14ac:dyDescent="0.25">
      <c r="A109" t="s">
        <v>80</v>
      </c>
      <c r="B109">
        <v>3.72</v>
      </c>
      <c r="C109">
        <v>2.4500000000000002</v>
      </c>
      <c r="D109">
        <v>3.66</v>
      </c>
      <c r="E109">
        <v>1.1200000000000001</v>
      </c>
      <c r="F109">
        <v>2.0299999999999998</v>
      </c>
    </row>
    <row r="110" spans="1:6" x14ac:dyDescent="0.25">
      <c r="A110" t="s">
        <v>82</v>
      </c>
      <c r="B110">
        <v>55.12</v>
      </c>
      <c r="C110">
        <v>61.85</v>
      </c>
      <c r="D110">
        <v>59.33</v>
      </c>
      <c r="E110">
        <v>43.76</v>
      </c>
      <c r="F110">
        <v>43.51</v>
      </c>
    </row>
    <row r="111" spans="1:6" x14ac:dyDescent="0.25">
      <c r="A111" t="s">
        <v>83</v>
      </c>
      <c r="B111">
        <v>467.72</v>
      </c>
      <c r="C111">
        <v>376.37</v>
      </c>
      <c r="D111">
        <v>472.02</v>
      </c>
      <c r="E111">
        <v>550.85</v>
      </c>
      <c r="F111">
        <v>452.29</v>
      </c>
    </row>
    <row r="112" spans="1:6" x14ac:dyDescent="0.25">
      <c r="A112" t="s">
        <v>84</v>
      </c>
      <c r="B112">
        <v>3005.44</v>
      </c>
      <c r="C112">
        <v>2409.65</v>
      </c>
      <c r="D112">
        <v>2599.88</v>
      </c>
      <c r="E112">
        <v>2526.11</v>
      </c>
      <c r="F112">
        <v>2256.75</v>
      </c>
    </row>
    <row r="113" spans="1:6" x14ac:dyDescent="0.25">
      <c r="A113" t="s">
        <v>85</v>
      </c>
      <c r="B113">
        <v>367.52</v>
      </c>
      <c r="C113">
        <v>219.92</v>
      </c>
      <c r="D113">
        <v>432.57</v>
      </c>
      <c r="E113">
        <v>527.54</v>
      </c>
      <c r="F113">
        <v>497.86</v>
      </c>
    </row>
    <row r="114" spans="1:6" x14ac:dyDescent="0.25">
      <c r="A114" t="s">
        <v>87</v>
      </c>
      <c r="B114">
        <v>367.52</v>
      </c>
      <c r="C114">
        <v>219.92</v>
      </c>
      <c r="D114">
        <v>432.57</v>
      </c>
      <c r="E114">
        <v>527.54</v>
      </c>
      <c r="F114">
        <v>497.86</v>
      </c>
    </row>
    <row r="115" spans="1:6" ht="24" customHeight="1" x14ac:dyDescent="0.25">
      <c r="A115" t="s">
        <v>88</v>
      </c>
    </row>
    <row r="116" spans="1:6" x14ac:dyDescent="0.25">
      <c r="A116" t="s">
        <v>89</v>
      </c>
      <c r="B116">
        <v>98.03</v>
      </c>
      <c r="C116">
        <v>64.989999999999995</v>
      </c>
      <c r="D116">
        <v>100.65</v>
      </c>
      <c r="E116">
        <v>196.21</v>
      </c>
      <c r="F116">
        <v>179.73</v>
      </c>
    </row>
    <row r="117" spans="1:6" x14ac:dyDescent="0.25">
      <c r="A117" t="s">
        <v>90</v>
      </c>
      <c r="B117">
        <v>-2.48</v>
      </c>
      <c r="C117">
        <v>-7.45</v>
      </c>
      <c r="D117">
        <v>9.74</v>
      </c>
      <c r="E117">
        <v>-11.81</v>
      </c>
      <c r="F117">
        <v>-5.17</v>
      </c>
    </row>
    <row r="118" spans="1:6" x14ac:dyDescent="0.25">
      <c r="A118" t="s">
        <v>91</v>
      </c>
      <c r="B118">
        <v>95.55</v>
      </c>
      <c r="C118">
        <v>57.55</v>
      </c>
      <c r="D118">
        <v>110.4</v>
      </c>
      <c r="E118">
        <v>184.39</v>
      </c>
      <c r="F118">
        <v>174.56</v>
      </c>
    </row>
    <row r="119" spans="1:6" x14ac:dyDescent="0.25">
      <c r="A119" t="s">
        <v>92</v>
      </c>
      <c r="B119">
        <v>271.97000000000003</v>
      </c>
      <c r="C119">
        <v>162.38</v>
      </c>
      <c r="D119">
        <v>322.17</v>
      </c>
      <c r="E119">
        <v>343.15</v>
      </c>
      <c r="F119">
        <v>323.3</v>
      </c>
    </row>
    <row r="120" spans="1:6" x14ac:dyDescent="0.25">
      <c r="A120" t="s">
        <v>93</v>
      </c>
      <c r="B120">
        <v>271.97000000000003</v>
      </c>
      <c r="C120">
        <v>162.38</v>
      </c>
      <c r="D120">
        <v>322.17</v>
      </c>
      <c r="E120">
        <v>343.15</v>
      </c>
      <c r="F120">
        <v>323.3</v>
      </c>
    </row>
    <row r="121" spans="1:6" x14ac:dyDescent="0.25">
      <c r="A121" t="s">
        <v>126</v>
      </c>
      <c r="B121">
        <v>0</v>
      </c>
      <c r="C121">
        <v>0</v>
      </c>
      <c r="D121">
        <v>0</v>
      </c>
      <c r="E121">
        <v>32.630000000000003</v>
      </c>
      <c r="F121">
        <v>16.59</v>
      </c>
    </row>
    <row r="122" spans="1:6" x14ac:dyDescent="0.25">
      <c r="A122" t="s">
        <v>127</v>
      </c>
      <c r="B122">
        <v>0</v>
      </c>
      <c r="C122">
        <v>0</v>
      </c>
      <c r="D122">
        <v>0</v>
      </c>
      <c r="E122">
        <v>9.59</v>
      </c>
      <c r="F122">
        <v>6.54</v>
      </c>
    </row>
    <row r="123" spans="1:6" x14ac:dyDescent="0.25">
      <c r="A123" t="s">
        <v>128</v>
      </c>
      <c r="B123">
        <v>0</v>
      </c>
      <c r="C123">
        <v>0</v>
      </c>
      <c r="D123">
        <v>0</v>
      </c>
      <c r="E123">
        <v>23.03</v>
      </c>
      <c r="F123">
        <v>10.050000000000001</v>
      </c>
    </row>
    <row r="124" spans="1:6" x14ac:dyDescent="0.25">
      <c r="A124" t="s">
        <v>94</v>
      </c>
      <c r="B124">
        <v>271.97000000000003</v>
      </c>
      <c r="C124">
        <v>162.38</v>
      </c>
      <c r="D124">
        <v>322.17</v>
      </c>
      <c r="E124">
        <v>366.18</v>
      </c>
      <c r="F124">
        <v>333.35</v>
      </c>
    </row>
    <row r="125" spans="1:6" x14ac:dyDescent="0.25">
      <c r="A125" t="s">
        <v>113</v>
      </c>
      <c r="B125">
        <v>271.97000000000003</v>
      </c>
      <c r="C125">
        <v>162.38</v>
      </c>
      <c r="D125">
        <v>322.17</v>
      </c>
      <c r="E125">
        <v>366.18</v>
      </c>
      <c r="F125">
        <v>333.35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241</v>
      </c>
      <c r="C128">
        <v>144</v>
      </c>
      <c r="D128">
        <v>286</v>
      </c>
      <c r="E128">
        <v>325</v>
      </c>
      <c r="F128">
        <v>296</v>
      </c>
    </row>
    <row r="129" spans="1:6" x14ac:dyDescent="0.25">
      <c r="A129" t="s">
        <v>97</v>
      </c>
      <c r="B129">
        <v>241</v>
      </c>
      <c r="C129">
        <v>144</v>
      </c>
      <c r="D129">
        <v>286</v>
      </c>
      <c r="E129">
        <v>325</v>
      </c>
      <c r="F129">
        <v>296</v>
      </c>
    </row>
    <row r="130" spans="1:6" ht="36" customHeight="1" x14ac:dyDescent="0.25">
      <c r="A130" t="s">
        <v>100</v>
      </c>
    </row>
    <row r="134" spans="1:6" ht="15" customHeight="1" x14ac:dyDescent="0.25">
      <c r="A134" t="s">
        <v>65</v>
      </c>
    </row>
  </sheetData>
  <hyperlinks>
    <hyperlink ref="B1" r:id="rId1" display="javascript:void(0);" xr:uid="{B481D8EE-D9F0-450E-BE5A-7357F8BA00EC}"/>
    <hyperlink ref="B90" r:id="rId2" display="javascript:void(0);" xr:uid="{B2A5F680-2B98-4721-97FB-645AFCE41B7B}"/>
  </hyperlinks>
  <pageMargins left="0.7" right="0.7" top="0.75" bottom="0.75" header="0.3" footer="0.3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BD88-2997-45A0-8C81-D85D7417751E}">
  <sheetPr codeName="Sheet35"/>
  <dimension ref="A1:M136"/>
  <sheetViews>
    <sheetView workbookViewId="0">
      <selection activeCell="H9" sqref="H9"/>
    </sheetView>
  </sheetViews>
  <sheetFormatPr defaultRowHeight="15" x14ac:dyDescent="0.25"/>
  <cols>
    <col min="1" max="1" width="55.28515625" bestFit="1" customWidth="1"/>
  </cols>
  <sheetData>
    <row r="1" spans="1:13" x14ac:dyDescent="0.25">
      <c r="A1" t="s">
        <v>168</v>
      </c>
      <c r="B1" t="s">
        <v>1</v>
      </c>
      <c r="H1" t="str">
        <f>A1</f>
        <v>TATA Consumer Products</v>
      </c>
    </row>
    <row r="2" spans="1:13" x14ac:dyDescent="0.25">
      <c r="A2" t="s">
        <v>107</v>
      </c>
      <c r="B2" t="s">
        <v>3</v>
      </c>
      <c r="H2" t="s">
        <v>2</v>
      </c>
      <c r="I2">
        <v>2</v>
      </c>
      <c r="J2">
        <v>3</v>
      </c>
      <c r="K2">
        <v>4</v>
      </c>
      <c r="L2">
        <v>5</v>
      </c>
      <c r="M2">
        <v>6</v>
      </c>
    </row>
    <row r="3" spans="1:13" x14ac:dyDescent="0.25">
      <c r="A3" t="s">
        <v>170</v>
      </c>
      <c r="B3" s="1">
        <v>2022</v>
      </c>
      <c r="C3" s="1">
        <v>2021</v>
      </c>
      <c r="D3" s="1">
        <v>2020</v>
      </c>
      <c r="E3" s="1">
        <v>2019</v>
      </c>
      <c r="F3" s="1">
        <v>2018</v>
      </c>
      <c r="H3" t="s">
        <v>170</v>
      </c>
      <c r="I3">
        <f>VLOOKUP(H3,$A$1:F$161,I$2,0)</f>
        <v>2022</v>
      </c>
      <c r="J3">
        <f>VLOOKUP(H3,$A$1:F$161,J$2,0)</f>
        <v>2021</v>
      </c>
      <c r="K3">
        <f>VLOOKUP(H3,$A$1:F$161,K$2,0)</f>
        <v>2020</v>
      </c>
      <c r="L3">
        <f>VLOOKUP(H3,$A$1:F$161,L$2,0)</f>
        <v>2019</v>
      </c>
      <c r="M3">
        <f>VLOOKUP(H3,$A$1:F$161,M$2,0)</f>
        <v>2018</v>
      </c>
    </row>
    <row r="4" spans="1:13" x14ac:dyDescent="0.25">
      <c r="H4" t="s">
        <v>8</v>
      </c>
      <c r="I4">
        <f>VLOOKUP(H4,$A$1:F$161,I$2,0)</f>
        <v>92.16</v>
      </c>
      <c r="J4">
        <f>VLOOKUP(H4,$A$1:F$161,J$2,0)</f>
        <v>92.16</v>
      </c>
      <c r="K4">
        <f>VLOOKUP(H4,$A$1:F$161,K$2,0)</f>
        <v>92.16</v>
      </c>
      <c r="L4">
        <f>VLOOKUP(H4,$A$1:F$161,L$2,0)</f>
        <v>63.11</v>
      </c>
      <c r="M4">
        <f>VLOOKUP(H4,$A$1:F$161,M$2,0)</f>
        <v>63.11</v>
      </c>
    </row>
    <row r="5" spans="1:13" x14ac:dyDescent="0.25">
      <c r="B5" t="s">
        <v>5</v>
      </c>
      <c r="C5" t="s">
        <v>5</v>
      </c>
      <c r="D5" t="s">
        <v>5</v>
      </c>
      <c r="E5" t="s">
        <v>5</v>
      </c>
      <c r="F5" t="s">
        <v>5</v>
      </c>
      <c r="H5" t="s">
        <v>9</v>
      </c>
      <c r="I5">
        <f>VLOOKUP(H5,$A$1:F$161,I$2,0)</f>
        <v>92.16</v>
      </c>
      <c r="J5">
        <f>VLOOKUP(H5,$A$1:F$161,J$2,0)</f>
        <v>92.16</v>
      </c>
      <c r="K5">
        <f>VLOOKUP(H5,$A$1:F$161,K$2,0)</f>
        <v>92.16</v>
      </c>
      <c r="L5">
        <f>VLOOKUP(H5,$A$1:F$161,L$2,0)</f>
        <v>63.11</v>
      </c>
      <c r="M5">
        <f>VLOOKUP(H5,$A$1:F$161,M$2,0)</f>
        <v>63.11</v>
      </c>
    </row>
    <row r="6" spans="1:13" x14ac:dyDescent="0.25">
      <c r="H6" t="s">
        <v>10</v>
      </c>
      <c r="I6">
        <f>VLOOKUP(H6,$A$1:F$161,I$2,0)</f>
        <v>15027.92</v>
      </c>
      <c r="J6">
        <f>VLOOKUP(H6,$A$1:F$161,J$2,0)</f>
        <v>14420.49</v>
      </c>
      <c r="K6">
        <f>VLOOKUP(H6,$A$1:F$161,K$2,0)</f>
        <v>13700.84</v>
      </c>
      <c r="L6">
        <f>VLOOKUP(H6,$A$1:F$161,L$2,0)</f>
        <v>7246.72</v>
      </c>
      <c r="M6">
        <f>VLOOKUP(H6,$A$1:F$161,M$2,0)</f>
        <v>6968.49</v>
      </c>
    </row>
    <row r="7" spans="1:13" ht="24" customHeight="1" x14ac:dyDescent="0.25">
      <c r="A7" t="s">
        <v>6</v>
      </c>
      <c r="H7" t="s">
        <v>11</v>
      </c>
      <c r="I7">
        <f>VLOOKUP(H7,$A$1:F$161,I$2,0)</f>
        <v>15049.78</v>
      </c>
      <c r="J7">
        <f>VLOOKUP(H7,$A$1:F$161,J$2,0)</f>
        <v>14442.35</v>
      </c>
      <c r="K7">
        <f>VLOOKUP(H7,$A$1:F$161,K$2,0)</f>
        <v>13722.7</v>
      </c>
      <c r="L7">
        <f>VLOOKUP(H7,$A$1:F$161,L$2,0)</f>
        <v>7268.58</v>
      </c>
      <c r="M7">
        <f>VLOOKUP(H7,$A$1:F$161,M$2,0)</f>
        <v>6968.49</v>
      </c>
    </row>
    <row r="8" spans="1:13" ht="24" customHeight="1" x14ac:dyDescent="0.25">
      <c r="A8" t="s">
        <v>7</v>
      </c>
      <c r="H8" t="s">
        <v>12</v>
      </c>
      <c r="I8">
        <f>VLOOKUP(H8,$A$1:F$161,I$2,0)</f>
        <v>15141.94</v>
      </c>
      <c r="J8">
        <f>VLOOKUP(H8,$A$1:F$161,J$2,0)</f>
        <v>14534.51</v>
      </c>
      <c r="K8">
        <f>VLOOKUP(H8,$A$1:F$161,K$2,0)</f>
        <v>13814.86</v>
      </c>
      <c r="L8">
        <f>VLOOKUP(H8,$A$1:F$161,L$2,0)</f>
        <v>7331.69</v>
      </c>
      <c r="M8">
        <f>VLOOKUP(H8,$A$1:F$161,M$2,0)</f>
        <v>7031.6</v>
      </c>
    </row>
    <row r="9" spans="1:13" x14ac:dyDescent="0.25">
      <c r="A9" t="s">
        <v>8</v>
      </c>
      <c r="B9">
        <v>92.16</v>
      </c>
      <c r="C9">
        <v>92.16</v>
      </c>
      <c r="D9">
        <v>92.16</v>
      </c>
      <c r="E9">
        <v>63.11</v>
      </c>
      <c r="F9">
        <v>63.11</v>
      </c>
      <c r="H9" t="s">
        <v>14</v>
      </c>
      <c r="I9">
        <f>VLOOKUP(H9,$A$1:F$161,I$2,0)</f>
        <v>241.87</v>
      </c>
      <c r="J9">
        <f>VLOOKUP(H9,$A$1:F$161,J$2,0)</f>
        <v>287.54000000000002</v>
      </c>
      <c r="K9">
        <f>VLOOKUP(H9,$A$1:F$161,K$2,0)</f>
        <v>794.67</v>
      </c>
      <c r="L9">
        <f>VLOOKUP(H9,$A$1:F$161,L$2,0)</f>
        <v>787.24</v>
      </c>
      <c r="M9">
        <f>VLOOKUP(H9,$A$1:F$161,M$2,0)</f>
        <v>655.99</v>
      </c>
    </row>
    <row r="10" spans="1:13" x14ac:dyDescent="0.25">
      <c r="A10" t="s">
        <v>9</v>
      </c>
      <c r="B10">
        <v>92.16</v>
      </c>
      <c r="C10">
        <v>92.16</v>
      </c>
      <c r="D10">
        <v>92.16</v>
      </c>
      <c r="E10">
        <v>63.11</v>
      </c>
      <c r="F10">
        <v>63.11</v>
      </c>
      <c r="H10" t="s">
        <v>16</v>
      </c>
      <c r="I10">
        <f>VLOOKUP(H10,$A$1:F$161,I$2,0)</f>
        <v>457.54</v>
      </c>
      <c r="J10">
        <f>VLOOKUP(H10,$A$1:F$161,J$2,0)</f>
        <v>484.21</v>
      </c>
      <c r="K10">
        <f>VLOOKUP(H10,$A$1:F$161,K$2,0)</f>
        <v>322.75</v>
      </c>
      <c r="L10">
        <f>VLOOKUP(H10,$A$1:F$161,L$2,0)</f>
        <v>24.51</v>
      </c>
      <c r="M10">
        <f>VLOOKUP(H10,$A$1:F$161,M$2,0)</f>
        <v>23.34</v>
      </c>
    </row>
    <row r="11" spans="1:13" x14ac:dyDescent="0.25">
      <c r="A11" t="s">
        <v>109</v>
      </c>
      <c r="B11">
        <v>21.86</v>
      </c>
      <c r="C11">
        <v>21.86</v>
      </c>
      <c r="D11">
        <v>21.86</v>
      </c>
      <c r="E11">
        <v>21.86</v>
      </c>
      <c r="F11">
        <v>0</v>
      </c>
      <c r="H11" t="s">
        <v>17</v>
      </c>
      <c r="I11">
        <f>VLOOKUP(H11,$A$1:F$161,I$2,0)</f>
        <v>175.59</v>
      </c>
      <c r="J11">
        <f>VLOOKUP(H11,$A$1:F$161,J$2,0)</f>
        <v>192.46</v>
      </c>
      <c r="K11">
        <f>VLOOKUP(H11,$A$1:F$161,K$2,0)</f>
        <v>183.22</v>
      </c>
      <c r="L11">
        <f>VLOOKUP(H11,$A$1:F$161,L$2,0)</f>
        <v>152.21</v>
      </c>
      <c r="M11">
        <f>VLOOKUP(H11,$A$1:F$161,M$2,0)</f>
        <v>144.22</v>
      </c>
    </row>
    <row r="12" spans="1:13" x14ac:dyDescent="0.25">
      <c r="A12" t="s">
        <v>10</v>
      </c>
      <c r="B12">
        <v>15027.92</v>
      </c>
      <c r="C12">
        <v>14420.49</v>
      </c>
      <c r="D12">
        <v>13700.84</v>
      </c>
      <c r="E12">
        <v>7246.72</v>
      </c>
      <c r="F12">
        <v>6968.49</v>
      </c>
      <c r="H12" t="s">
        <v>18</v>
      </c>
      <c r="I12">
        <f>VLOOKUP(H12,$A$1:F$161,I$2,0)</f>
        <v>1651.41</v>
      </c>
      <c r="J12">
        <f>VLOOKUP(H12,$A$1:F$161,J$2,0)</f>
        <v>1534.37</v>
      </c>
      <c r="K12">
        <f>VLOOKUP(H12,$A$1:F$161,K$2,0)</f>
        <v>1616.67</v>
      </c>
      <c r="L12">
        <f>VLOOKUP(H12,$A$1:F$161,L$2,0)</f>
        <v>1109.4100000000001</v>
      </c>
      <c r="M12">
        <f>VLOOKUP(H12,$A$1:F$161,M$2,0)</f>
        <v>955</v>
      </c>
    </row>
    <row r="13" spans="1:13" x14ac:dyDescent="0.25">
      <c r="A13" t="s">
        <v>11</v>
      </c>
      <c r="B13">
        <v>15049.78</v>
      </c>
      <c r="C13">
        <v>14442.35</v>
      </c>
      <c r="D13">
        <v>13722.7</v>
      </c>
      <c r="E13">
        <v>7268.58</v>
      </c>
      <c r="F13">
        <v>6968.49</v>
      </c>
      <c r="H13" t="s">
        <v>19</v>
      </c>
      <c r="I13">
        <f>VLOOKUP(H13,$A$1:F$161,I$2,0)</f>
        <v>0</v>
      </c>
      <c r="J13">
        <f>VLOOKUP(H13,$A$1:F$161,J$2,0)</f>
        <v>0</v>
      </c>
      <c r="K13">
        <f>VLOOKUP(H13,$A$1:F$161,K$2,0)</f>
        <v>0</v>
      </c>
      <c r="L13">
        <f>VLOOKUP(H13,$A$1:F$161,L$2,0)</f>
        <v>0</v>
      </c>
      <c r="M13">
        <f>VLOOKUP(H13,$A$1:F$161,M$2,0)</f>
        <v>0</v>
      </c>
    </row>
    <row r="14" spans="1:13" x14ac:dyDescent="0.25">
      <c r="A14" t="s">
        <v>12</v>
      </c>
      <c r="B14">
        <v>15141.94</v>
      </c>
      <c r="C14">
        <v>14534.51</v>
      </c>
      <c r="D14">
        <v>13814.86</v>
      </c>
      <c r="E14">
        <v>7331.69</v>
      </c>
      <c r="F14">
        <v>7031.6</v>
      </c>
      <c r="H14" t="s">
        <v>21</v>
      </c>
      <c r="I14">
        <f>VLOOKUP(H14,$A$1:F$161,I$2,0)</f>
        <v>1915.85</v>
      </c>
      <c r="J14">
        <f>VLOOKUP(H14,$A$1:F$161,J$2,0)</f>
        <v>1625.47</v>
      </c>
      <c r="K14">
        <f>VLOOKUP(H14,$A$1:F$161,K$2,0)</f>
        <v>943.99</v>
      </c>
      <c r="L14">
        <f>VLOOKUP(H14,$A$1:F$161,L$2,0)</f>
        <v>664.9</v>
      </c>
      <c r="M14">
        <f>VLOOKUP(H14,$A$1:F$161,M$2,0)</f>
        <v>705.73</v>
      </c>
    </row>
    <row r="15" spans="1:13" x14ac:dyDescent="0.25">
      <c r="A15" t="s">
        <v>116</v>
      </c>
      <c r="B15">
        <v>1151.6199999999999</v>
      </c>
      <c r="C15">
        <v>1092.53</v>
      </c>
      <c r="D15">
        <v>1092.47</v>
      </c>
      <c r="E15">
        <v>1027.68</v>
      </c>
      <c r="F15">
        <v>1009.04</v>
      </c>
      <c r="H15" t="s">
        <v>22</v>
      </c>
      <c r="I15">
        <f>VLOOKUP(H15,$A$1:F$161,I$2,0)</f>
        <v>414.84</v>
      </c>
      <c r="J15">
        <f>VLOOKUP(H15,$A$1:F$161,J$2,0)</f>
        <v>934.22</v>
      </c>
      <c r="K15">
        <f>VLOOKUP(H15,$A$1:F$161,K$2,0)</f>
        <v>554.39</v>
      </c>
      <c r="L15">
        <f>VLOOKUP(H15,$A$1:F$161,L$2,0)</f>
        <v>425.87</v>
      </c>
      <c r="M15">
        <f>VLOOKUP(H15,$A$1:F$161,M$2,0)</f>
        <v>391.85</v>
      </c>
    </row>
    <row r="16" spans="1:13" ht="24" customHeight="1" x14ac:dyDescent="0.25">
      <c r="A16" t="s">
        <v>13</v>
      </c>
      <c r="H16" t="s">
        <v>23</v>
      </c>
      <c r="I16">
        <f>VLOOKUP(H16,$A$1:F$161,I$2,0)</f>
        <v>73.209999999999994</v>
      </c>
      <c r="J16">
        <f>VLOOKUP(H16,$A$1:F$161,J$2,0)</f>
        <v>101.71</v>
      </c>
      <c r="K16">
        <f>VLOOKUP(H16,$A$1:F$161,K$2,0)</f>
        <v>92.41</v>
      </c>
      <c r="L16">
        <f>VLOOKUP(H16,$A$1:F$161,L$2,0)</f>
        <v>49.51</v>
      </c>
      <c r="M16">
        <f>VLOOKUP(H16,$A$1:F$161,M$2,0)</f>
        <v>98.8</v>
      </c>
    </row>
    <row r="17" spans="1:13" x14ac:dyDescent="0.25">
      <c r="A17" t="s">
        <v>14</v>
      </c>
      <c r="B17">
        <v>241.87</v>
      </c>
      <c r="C17">
        <v>287.54000000000002</v>
      </c>
      <c r="D17">
        <v>794.67</v>
      </c>
      <c r="E17">
        <v>787.24</v>
      </c>
      <c r="F17">
        <v>655.99</v>
      </c>
      <c r="H17" t="s">
        <v>24</v>
      </c>
      <c r="I17">
        <f>VLOOKUP(H17,$A$1:F$161,I$2,0)</f>
        <v>3172.62</v>
      </c>
      <c r="J17">
        <f>VLOOKUP(H17,$A$1:F$161,J$2,0)</f>
        <v>3094.46</v>
      </c>
      <c r="K17">
        <f>VLOOKUP(H17,$A$1:F$161,K$2,0)</f>
        <v>1978.6</v>
      </c>
      <c r="L17">
        <f>VLOOKUP(H17,$A$1:F$161,L$2,0)</f>
        <v>1469.94</v>
      </c>
      <c r="M17">
        <f>VLOOKUP(H17,$A$1:F$161,M$2,0)</f>
        <v>1596.57</v>
      </c>
    </row>
    <row r="18" spans="1:13" x14ac:dyDescent="0.25">
      <c r="A18" t="s">
        <v>15</v>
      </c>
      <c r="B18">
        <v>776.41</v>
      </c>
      <c r="C18">
        <v>570.16</v>
      </c>
      <c r="D18">
        <v>316.02999999999997</v>
      </c>
      <c r="E18">
        <v>145.44999999999999</v>
      </c>
      <c r="F18">
        <v>131.44999999999999</v>
      </c>
      <c r="H18" t="s">
        <v>25</v>
      </c>
      <c r="I18">
        <f>VLOOKUP(H18,$A$1:F$161,I$2,0)</f>
        <v>21117.59</v>
      </c>
      <c r="J18">
        <f>VLOOKUP(H18,$A$1:F$161,J$2,0)</f>
        <v>20255.87</v>
      </c>
      <c r="K18">
        <f>VLOOKUP(H18,$A$1:F$161,K$2,0)</f>
        <v>18502.599999999999</v>
      </c>
      <c r="L18">
        <f>VLOOKUP(H18,$A$1:F$161,L$2,0)</f>
        <v>10938.72</v>
      </c>
      <c r="M18">
        <f>VLOOKUP(H18,$A$1:F$161,M$2,0)</f>
        <v>10592.21</v>
      </c>
    </row>
    <row r="19" spans="1:13" x14ac:dyDescent="0.25">
      <c r="A19" t="s">
        <v>16</v>
      </c>
      <c r="B19">
        <v>457.54</v>
      </c>
      <c r="C19">
        <v>484.21</v>
      </c>
      <c r="D19">
        <v>322.75</v>
      </c>
      <c r="E19">
        <v>24.51</v>
      </c>
      <c r="F19">
        <v>23.34</v>
      </c>
      <c r="H19" t="s">
        <v>26</v>
      </c>
      <c r="I19">
        <f>VLOOKUP(H19,$A$1:F$161,I$2,0)</f>
        <v>0</v>
      </c>
      <c r="J19">
        <f>VLOOKUP(H19,$A$1:F$161,J$2,0)</f>
        <v>0</v>
      </c>
      <c r="K19">
        <f>VLOOKUP(H19,$A$1:F$161,K$2,0)</f>
        <v>0</v>
      </c>
      <c r="L19">
        <f>VLOOKUP(H19,$A$1:F$161,L$2,0)</f>
        <v>0</v>
      </c>
      <c r="M19">
        <f>VLOOKUP(H19,$A$1:F$161,M$2,0)</f>
        <v>0</v>
      </c>
    </row>
    <row r="20" spans="1:13" x14ac:dyDescent="0.25">
      <c r="A20" t="s">
        <v>17</v>
      </c>
      <c r="B20">
        <v>175.59</v>
      </c>
      <c r="C20">
        <v>192.46</v>
      </c>
      <c r="D20">
        <v>183.22</v>
      </c>
      <c r="E20">
        <v>152.21</v>
      </c>
      <c r="F20">
        <v>144.22</v>
      </c>
      <c r="H20" t="s">
        <v>27</v>
      </c>
      <c r="I20">
        <f>VLOOKUP(H20,$A$1:F$161,I$2,0)</f>
        <v>0</v>
      </c>
      <c r="J20">
        <f>VLOOKUP(H20,$A$1:F$161,J$2,0)</f>
        <v>0</v>
      </c>
      <c r="K20">
        <f>VLOOKUP(H20,$A$1:F$161,K$2,0)</f>
        <v>0</v>
      </c>
      <c r="L20">
        <f>VLOOKUP(H20,$A$1:F$161,L$2,0)</f>
        <v>0</v>
      </c>
      <c r="M20">
        <f>VLOOKUP(H20,$A$1:F$161,M$2,0)</f>
        <v>0</v>
      </c>
    </row>
    <row r="21" spans="1:13" x14ac:dyDescent="0.25">
      <c r="A21" t="s">
        <v>18</v>
      </c>
      <c r="B21">
        <v>1651.41</v>
      </c>
      <c r="C21">
        <v>1534.37</v>
      </c>
      <c r="D21">
        <v>1616.67</v>
      </c>
      <c r="E21">
        <v>1109.4100000000001</v>
      </c>
      <c r="F21">
        <v>955</v>
      </c>
      <c r="H21" t="s">
        <v>28</v>
      </c>
      <c r="I21">
        <f>VLOOKUP(H21,$A$1:F$161,I$2,0)</f>
        <v>2090.84</v>
      </c>
      <c r="J21">
        <f>VLOOKUP(H21,$A$1:F$161,J$2,0)</f>
        <v>1642.25</v>
      </c>
      <c r="K21">
        <f>VLOOKUP(H21,$A$1:F$161,K$2,0)</f>
        <v>1551</v>
      </c>
      <c r="L21">
        <f>VLOOKUP(H21,$A$1:F$161,L$2,0)</f>
        <v>860.4</v>
      </c>
      <c r="M21">
        <f>VLOOKUP(H21,$A$1:F$161,M$2,0)</f>
        <v>790.04</v>
      </c>
    </row>
    <row r="22" spans="1:13" ht="15" customHeight="1" x14ac:dyDescent="0.25">
      <c r="A22" t="s">
        <v>19</v>
      </c>
      <c r="H22" t="s">
        <v>29</v>
      </c>
      <c r="I22">
        <f>VLOOKUP(H22,$A$1:F$161,I$2,0)</f>
        <v>209.44</v>
      </c>
      <c r="J22">
        <f>VLOOKUP(H22,$A$1:F$161,J$2,0)</f>
        <v>93.17</v>
      </c>
      <c r="K22">
        <f>VLOOKUP(H22,$A$1:F$161,K$2,0)</f>
        <v>87.56</v>
      </c>
      <c r="L22">
        <f>VLOOKUP(H22,$A$1:F$161,L$2,0)</f>
        <v>413.3</v>
      </c>
      <c r="M22">
        <f>VLOOKUP(H22,$A$1:F$161,M$2,0)</f>
        <v>129.52000000000001</v>
      </c>
    </row>
    <row r="23" spans="1:13" x14ac:dyDescent="0.25">
      <c r="A23" t="s">
        <v>20</v>
      </c>
      <c r="B23">
        <v>768.72</v>
      </c>
      <c r="C23">
        <v>433.06</v>
      </c>
      <c r="D23">
        <v>387.81</v>
      </c>
      <c r="E23">
        <v>329.66</v>
      </c>
      <c r="F23">
        <v>400.19</v>
      </c>
      <c r="H23" t="s">
        <v>30</v>
      </c>
      <c r="I23">
        <f>VLOOKUP(H23,$A$1:F$161,I$2,0)</f>
        <v>5092.21</v>
      </c>
      <c r="J23">
        <f>VLOOKUP(H23,$A$1:F$161,J$2,0)</f>
        <v>4539.41</v>
      </c>
      <c r="K23">
        <f>VLOOKUP(H23,$A$1:F$161,K$2,0)</f>
        <v>4417.5600000000004</v>
      </c>
      <c r="L23">
        <f>VLOOKUP(H23,$A$1:F$161,L$2,0)</f>
        <v>1552.65</v>
      </c>
      <c r="M23">
        <f>VLOOKUP(H23,$A$1:F$161,M$2,0)</f>
        <v>1209.8399999999999</v>
      </c>
    </row>
    <row r="24" spans="1:13" x14ac:dyDescent="0.25">
      <c r="A24" t="s">
        <v>21</v>
      </c>
      <c r="B24">
        <v>1915.85</v>
      </c>
      <c r="C24">
        <v>1625.47</v>
      </c>
      <c r="D24">
        <v>943.99</v>
      </c>
      <c r="E24">
        <v>664.9</v>
      </c>
      <c r="F24">
        <v>705.73</v>
      </c>
      <c r="H24" t="s">
        <v>32</v>
      </c>
      <c r="I24">
        <f>VLOOKUP(H24,$A$1:F$161,I$2,0)</f>
        <v>42.72</v>
      </c>
      <c r="J24">
        <f>VLOOKUP(H24,$A$1:F$161,J$2,0)</f>
        <v>38.049999999999997</v>
      </c>
      <c r="K24">
        <f>VLOOKUP(H24,$A$1:F$161,K$2,0)</f>
        <v>29.56</v>
      </c>
      <c r="L24">
        <f>VLOOKUP(H24,$A$1:F$161,L$2,0)</f>
        <v>58.04</v>
      </c>
      <c r="M24">
        <f>VLOOKUP(H24,$A$1:F$161,M$2,0)</f>
        <v>131.77000000000001</v>
      </c>
    </row>
    <row r="25" spans="1:13" x14ac:dyDescent="0.25">
      <c r="A25" t="s">
        <v>22</v>
      </c>
      <c r="B25">
        <v>414.84</v>
      </c>
      <c r="C25">
        <v>934.22</v>
      </c>
      <c r="D25">
        <v>554.39</v>
      </c>
      <c r="E25">
        <v>425.87</v>
      </c>
      <c r="F25">
        <v>391.85</v>
      </c>
      <c r="H25" t="s">
        <v>33</v>
      </c>
      <c r="I25">
        <f>VLOOKUP(H25,$A$1:F$161,I$2,0)</f>
        <v>14.01</v>
      </c>
      <c r="J25">
        <f>VLOOKUP(H25,$A$1:F$161,J$2,0)</f>
        <v>21.87</v>
      </c>
      <c r="K25">
        <f>VLOOKUP(H25,$A$1:F$161,K$2,0)</f>
        <v>22.5</v>
      </c>
      <c r="L25">
        <f>VLOOKUP(H25,$A$1:F$161,L$2,0)</f>
        <v>17.09</v>
      </c>
      <c r="M25">
        <f>VLOOKUP(H25,$A$1:F$161,M$2,0)</f>
        <v>21.02</v>
      </c>
    </row>
    <row r="26" spans="1:13" x14ac:dyDescent="0.25">
      <c r="A26" t="s">
        <v>23</v>
      </c>
      <c r="B26">
        <v>73.209999999999994</v>
      </c>
      <c r="C26">
        <v>101.71</v>
      </c>
      <c r="D26">
        <v>92.41</v>
      </c>
      <c r="E26">
        <v>49.51</v>
      </c>
      <c r="F26">
        <v>98.8</v>
      </c>
      <c r="H26" t="s">
        <v>34</v>
      </c>
      <c r="I26">
        <f>VLOOKUP(H26,$A$1:F$161,I$2,0)</f>
        <v>479.61</v>
      </c>
      <c r="J26">
        <f>VLOOKUP(H26,$A$1:F$161,J$2,0)</f>
        <v>528.61</v>
      </c>
      <c r="K26">
        <f>VLOOKUP(H26,$A$1:F$161,K$2,0)</f>
        <v>527.79</v>
      </c>
      <c r="L26">
        <f>VLOOKUP(H26,$A$1:F$161,L$2,0)</f>
        <v>373.4</v>
      </c>
      <c r="M26">
        <f>VLOOKUP(H26,$A$1:F$161,M$2,0)</f>
        <v>378.27</v>
      </c>
    </row>
    <row r="27" spans="1:13" x14ac:dyDescent="0.25">
      <c r="A27" t="s">
        <v>24</v>
      </c>
      <c r="B27">
        <v>3172.62</v>
      </c>
      <c r="C27">
        <v>3094.46</v>
      </c>
      <c r="D27">
        <v>1978.6</v>
      </c>
      <c r="E27">
        <v>1469.94</v>
      </c>
      <c r="F27">
        <v>1596.57</v>
      </c>
      <c r="H27" t="s">
        <v>35</v>
      </c>
      <c r="I27">
        <f>VLOOKUP(H27,$A$1:F$161,I$2,0)</f>
        <v>13981.91</v>
      </c>
      <c r="J27">
        <f>VLOOKUP(H27,$A$1:F$161,J$2,0)</f>
        <v>13207.24</v>
      </c>
      <c r="K27">
        <f>VLOOKUP(H27,$A$1:F$161,K$2,0)</f>
        <v>12820.54</v>
      </c>
      <c r="L27">
        <f>VLOOKUP(H27,$A$1:F$161,L$2,0)</f>
        <v>6390.75</v>
      </c>
      <c r="M27">
        <f>VLOOKUP(H27,$A$1:F$161,M$2,0)</f>
        <v>6057.2</v>
      </c>
    </row>
    <row r="28" spans="1:13" x14ac:dyDescent="0.25">
      <c r="A28" t="s">
        <v>25</v>
      </c>
      <c r="B28">
        <v>21117.59</v>
      </c>
      <c r="C28">
        <v>20255.87</v>
      </c>
      <c r="D28">
        <v>18502.599999999999</v>
      </c>
      <c r="E28">
        <v>10938.72</v>
      </c>
      <c r="F28">
        <v>10592.21</v>
      </c>
      <c r="H28" t="s">
        <v>36</v>
      </c>
      <c r="I28">
        <f>VLOOKUP(H28,$A$1:F$161,I$2,0)</f>
        <v>0</v>
      </c>
      <c r="J28">
        <f>VLOOKUP(H28,$A$1:F$161,J$2,0)</f>
        <v>0</v>
      </c>
      <c r="K28">
        <f>VLOOKUP(H28,$A$1:F$161,K$2,0)</f>
        <v>0</v>
      </c>
      <c r="L28">
        <f>VLOOKUP(H28,$A$1:F$161,L$2,0)</f>
        <v>0</v>
      </c>
      <c r="M28">
        <f>VLOOKUP(H28,$A$1:F$161,M$2,0)</f>
        <v>0</v>
      </c>
    </row>
    <row r="29" spans="1:13" x14ac:dyDescent="0.25">
      <c r="A29" t="s">
        <v>26</v>
      </c>
      <c r="H29" t="s">
        <v>38</v>
      </c>
      <c r="I29">
        <f>VLOOKUP(H29,$A$1:F$161,I$2,0)</f>
        <v>2266.5100000000002</v>
      </c>
      <c r="J29">
        <f>VLOOKUP(H29,$A$1:F$161,J$2,0)</f>
        <v>2249.16</v>
      </c>
      <c r="K29">
        <f>VLOOKUP(H29,$A$1:F$161,K$2,0)</f>
        <v>1712.03</v>
      </c>
      <c r="L29">
        <f>VLOOKUP(H29,$A$1:F$161,L$2,0)</f>
        <v>1609.86</v>
      </c>
      <c r="M29">
        <f>VLOOKUP(H29,$A$1:F$161,M$2,0)</f>
        <v>1448.31</v>
      </c>
    </row>
    <row r="30" spans="1:13" ht="24" customHeight="1" x14ac:dyDescent="0.25">
      <c r="A30" t="s">
        <v>27</v>
      </c>
      <c r="H30" t="s">
        <v>39</v>
      </c>
      <c r="I30">
        <f>VLOOKUP(H30,$A$1:F$161,I$2,0)</f>
        <v>835.15</v>
      </c>
      <c r="J30">
        <f>VLOOKUP(H30,$A$1:F$161,J$2,0)</f>
        <v>761.32</v>
      </c>
      <c r="K30">
        <f>VLOOKUP(H30,$A$1:F$161,K$2,0)</f>
        <v>922.41</v>
      </c>
      <c r="L30">
        <f>VLOOKUP(H30,$A$1:F$161,L$2,0)</f>
        <v>680.55</v>
      </c>
      <c r="M30">
        <f>VLOOKUP(H30,$A$1:F$161,M$2,0)</f>
        <v>648.28</v>
      </c>
    </row>
    <row r="31" spans="1:13" x14ac:dyDescent="0.25">
      <c r="A31" t="s">
        <v>28</v>
      </c>
      <c r="B31">
        <v>2090.84</v>
      </c>
      <c r="C31">
        <v>1642.25</v>
      </c>
      <c r="D31">
        <v>1551</v>
      </c>
      <c r="E31">
        <v>860.4</v>
      </c>
      <c r="F31">
        <v>790.04</v>
      </c>
      <c r="H31" t="s">
        <v>40</v>
      </c>
      <c r="I31">
        <f>VLOOKUP(H31,$A$1:F$161,I$2,0)</f>
        <v>2599.89</v>
      </c>
      <c r="J31">
        <f>VLOOKUP(H31,$A$1:F$161,J$2,0)</f>
        <v>3074.88</v>
      </c>
      <c r="K31">
        <f>VLOOKUP(H31,$A$1:F$161,K$2,0)</f>
        <v>1621.46</v>
      </c>
      <c r="L31">
        <f>VLOOKUP(H31,$A$1:F$161,L$2,0)</f>
        <v>1033.6099999999999</v>
      </c>
      <c r="M31">
        <f>VLOOKUP(H31,$A$1:F$161,M$2,0)</f>
        <v>1238.1400000000001</v>
      </c>
    </row>
    <row r="32" spans="1:13" x14ac:dyDescent="0.25">
      <c r="A32" t="s">
        <v>106</v>
      </c>
      <c r="B32">
        <v>2754.4</v>
      </c>
      <c r="C32">
        <v>2784.31</v>
      </c>
      <c r="D32">
        <v>2771.21</v>
      </c>
      <c r="E32">
        <v>267.83999999999997</v>
      </c>
      <c r="F32">
        <v>284.64</v>
      </c>
      <c r="H32" t="s">
        <v>41</v>
      </c>
      <c r="I32">
        <f>VLOOKUP(H32,$A$1:F$161,I$2,0)</f>
        <v>659.94</v>
      </c>
      <c r="J32">
        <f>VLOOKUP(H32,$A$1:F$161,J$2,0)</f>
        <v>185.12</v>
      </c>
      <c r="K32">
        <f>VLOOKUP(H32,$A$1:F$161,K$2,0)</f>
        <v>116.54</v>
      </c>
      <c r="L32">
        <f>VLOOKUP(H32,$A$1:F$161,L$2,0)</f>
        <v>245.01</v>
      </c>
      <c r="M32">
        <f>VLOOKUP(H32,$A$1:F$161,M$2,0)</f>
        <v>272.25</v>
      </c>
    </row>
    <row r="33" spans="1:13" x14ac:dyDescent="0.25">
      <c r="A33" t="s">
        <v>29</v>
      </c>
      <c r="B33">
        <v>209.44</v>
      </c>
      <c r="C33">
        <v>93.17</v>
      </c>
      <c r="D33">
        <v>87.56</v>
      </c>
      <c r="E33">
        <v>413.3</v>
      </c>
      <c r="F33">
        <v>129.52000000000001</v>
      </c>
      <c r="H33" t="s">
        <v>42</v>
      </c>
      <c r="I33">
        <f>VLOOKUP(H33,$A$1:F$161,I$2,0)</f>
        <v>576.16</v>
      </c>
      <c r="J33">
        <f>VLOOKUP(H33,$A$1:F$161,J$2,0)</f>
        <v>454.99</v>
      </c>
      <c r="K33">
        <f>VLOOKUP(H33,$A$1:F$161,K$2,0)</f>
        <v>476.07</v>
      </c>
      <c r="L33">
        <f>VLOOKUP(H33,$A$1:F$161,L$2,0)</f>
        <v>395.78</v>
      </c>
      <c r="M33">
        <f>VLOOKUP(H33,$A$1:F$161,M$2,0)</f>
        <v>359.5</v>
      </c>
    </row>
    <row r="34" spans="1:13" x14ac:dyDescent="0.25">
      <c r="A34" t="s">
        <v>120</v>
      </c>
      <c r="B34">
        <v>37.53</v>
      </c>
      <c r="C34">
        <v>19.68</v>
      </c>
      <c r="D34">
        <v>7.79</v>
      </c>
      <c r="E34">
        <v>11.11</v>
      </c>
      <c r="F34">
        <v>5.64</v>
      </c>
      <c r="H34" t="s">
        <v>43</v>
      </c>
      <c r="I34">
        <f>VLOOKUP(H34,$A$1:F$161,I$2,0)</f>
        <v>7135.68</v>
      </c>
      <c r="J34">
        <f>VLOOKUP(H34,$A$1:F$161,J$2,0)</f>
        <v>7048.63</v>
      </c>
      <c r="K34">
        <f>VLOOKUP(H34,$A$1:F$161,K$2,0)</f>
        <v>5682.06</v>
      </c>
      <c r="L34">
        <f>VLOOKUP(H34,$A$1:F$161,L$2,0)</f>
        <v>4547.97</v>
      </c>
      <c r="M34">
        <f>VLOOKUP(H34,$A$1:F$161,M$2,0)</f>
        <v>4535.01</v>
      </c>
    </row>
    <row r="35" spans="1:13" x14ac:dyDescent="0.25">
      <c r="A35" t="s">
        <v>30</v>
      </c>
      <c r="B35">
        <v>5092.21</v>
      </c>
      <c r="C35">
        <v>4539.41</v>
      </c>
      <c r="D35">
        <v>4417.5600000000004</v>
      </c>
      <c r="E35">
        <v>1552.65</v>
      </c>
      <c r="F35">
        <v>1209.8399999999999</v>
      </c>
      <c r="H35" t="s">
        <v>44</v>
      </c>
      <c r="I35">
        <f>VLOOKUP(H35,$A$1:F$161,I$2,0)</f>
        <v>21117.59</v>
      </c>
      <c r="J35">
        <f>VLOOKUP(H35,$A$1:F$161,J$2,0)</f>
        <v>20255.87</v>
      </c>
      <c r="K35">
        <f>VLOOKUP(H35,$A$1:F$161,K$2,0)</f>
        <v>18502.599999999999</v>
      </c>
      <c r="L35">
        <f>VLOOKUP(H35,$A$1:F$161,L$2,0)</f>
        <v>10938.72</v>
      </c>
      <c r="M35">
        <f>VLOOKUP(H35,$A$1:F$161,M$2,0)</f>
        <v>10592.21</v>
      </c>
    </row>
    <row r="36" spans="1:13" x14ac:dyDescent="0.25">
      <c r="A36" t="s">
        <v>31</v>
      </c>
      <c r="B36">
        <v>599.25</v>
      </c>
      <c r="C36">
        <v>482.73</v>
      </c>
      <c r="D36">
        <v>489.3</v>
      </c>
      <c r="E36">
        <v>604.5</v>
      </c>
      <c r="F36">
        <v>592.79999999999995</v>
      </c>
      <c r="H36" t="s">
        <v>45</v>
      </c>
      <c r="I36">
        <f>VLOOKUP(H36,$A$1:F$161,I$2,0)</f>
        <v>0</v>
      </c>
      <c r="J36">
        <f>VLOOKUP(H36,$A$1:F$161,J$2,0)</f>
        <v>0</v>
      </c>
      <c r="K36">
        <f>VLOOKUP(H36,$A$1:F$161,K$2,0)</f>
        <v>0</v>
      </c>
      <c r="L36">
        <f>VLOOKUP(H36,$A$1:F$161,L$2,0)</f>
        <v>0</v>
      </c>
      <c r="M36">
        <f>VLOOKUP(H36,$A$1:F$161,M$2,0)</f>
        <v>0</v>
      </c>
    </row>
    <row r="37" spans="1:13" x14ac:dyDescent="0.25">
      <c r="A37" t="s">
        <v>32</v>
      </c>
      <c r="B37">
        <v>42.72</v>
      </c>
      <c r="C37">
        <v>38.049999999999997</v>
      </c>
      <c r="D37">
        <v>29.56</v>
      </c>
      <c r="E37">
        <v>58.04</v>
      </c>
      <c r="F37">
        <v>131.77000000000001</v>
      </c>
      <c r="H37" t="s">
        <v>46</v>
      </c>
      <c r="I37">
        <f>VLOOKUP(H37,$A$1:F$161,I$2,0)</f>
        <v>0</v>
      </c>
      <c r="J37">
        <f>VLOOKUP(H37,$A$1:F$161,J$2,0)</f>
        <v>0</v>
      </c>
      <c r="K37">
        <f>VLOOKUP(H37,$A$1:F$161,K$2,0)</f>
        <v>0</v>
      </c>
      <c r="L37">
        <f>VLOOKUP(H37,$A$1:F$161,L$2,0)</f>
        <v>0</v>
      </c>
      <c r="M37">
        <f>VLOOKUP(H37,$A$1:F$161,M$2,0)</f>
        <v>0</v>
      </c>
    </row>
    <row r="38" spans="1:13" x14ac:dyDescent="0.25">
      <c r="A38" t="s">
        <v>33</v>
      </c>
      <c r="B38">
        <v>14.01</v>
      </c>
      <c r="C38">
        <v>21.87</v>
      </c>
      <c r="D38">
        <v>22.5</v>
      </c>
      <c r="E38">
        <v>17.09</v>
      </c>
      <c r="F38">
        <v>21.02</v>
      </c>
      <c r="H38" t="s">
        <v>47</v>
      </c>
      <c r="I38">
        <f>VLOOKUP(H38,$A$1:F$161,I$2,0)</f>
        <v>456.53</v>
      </c>
      <c r="J38">
        <f>VLOOKUP(H38,$A$1:F$161,J$2,0)</f>
        <v>366.46</v>
      </c>
      <c r="K38">
        <f>VLOOKUP(H38,$A$1:F$161,K$2,0)</f>
        <v>162.1</v>
      </c>
      <c r="L38">
        <f>VLOOKUP(H38,$A$1:F$161,L$2,0)</f>
        <v>85.24</v>
      </c>
      <c r="M38">
        <f>VLOOKUP(H38,$A$1:F$161,M$2,0)</f>
        <v>176.54</v>
      </c>
    </row>
    <row r="39" spans="1:13" x14ac:dyDescent="0.25">
      <c r="A39" t="s">
        <v>34</v>
      </c>
      <c r="B39">
        <v>479.61</v>
      </c>
      <c r="C39">
        <v>528.61</v>
      </c>
      <c r="D39">
        <v>527.79</v>
      </c>
      <c r="E39">
        <v>373.4</v>
      </c>
      <c r="F39">
        <v>378.27</v>
      </c>
      <c r="H39" t="s">
        <v>62</v>
      </c>
      <c r="I39">
        <f>VLOOKUP(H39,$A$1:F$161,I$2,0)</f>
        <v>198.03</v>
      </c>
      <c r="J39">
        <f>VLOOKUP(H39,$A$1:F$161,J$2,0)</f>
        <v>323.16000000000003</v>
      </c>
      <c r="K39">
        <f>VLOOKUP(H39,$A$1:F$161,K$2,0)</f>
        <v>833.55</v>
      </c>
      <c r="L39">
        <f>VLOOKUP(H39,$A$1:F$161,L$2,0)</f>
        <v>583.16</v>
      </c>
      <c r="M39">
        <f>VLOOKUP(H39,$A$1:F$161,M$2,0)</f>
        <v>568.53</v>
      </c>
    </row>
    <row r="40" spans="1:13" x14ac:dyDescent="0.25">
      <c r="A40" t="s">
        <v>35</v>
      </c>
      <c r="B40">
        <v>13981.91</v>
      </c>
      <c r="C40">
        <v>13207.24</v>
      </c>
      <c r="D40">
        <v>12820.54</v>
      </c>
      <c r="E40">
        <v>6390.75</v>
      </c>
      <c r="F40">
        <v>6057.2</v>
      </c>
      <c r="H40" t="s">
        <v>63</v>
      </c>
      <c r="I40" t="e">
        <f>VLOOKUP(H40,$A$1:F$161,I$2,0)</f>
        <v>#N/A</v>
      </c>
      <c r="J40" t="e">
        <f>VLOOKUP(H40,$A$1:F$161,J$2,0)</f>
        <v>#N/A</v>
      </c>
      <c r="K40" t="e">
        <f>VLOOKUP(H40,$A$1:F$161,K$2,0)</f>
        <v>#N/A</v>
      </c>
      <c r="L40" t="e">
        <f>VLOOKUP(H40,$A$1:F$161,L$2,0)</f>
        <v>#N/A</v>
      </c>
      <c r="M40" t="e">
        <f>VLOOKUP(H40,$A$1:F$161,M$2,0)</f>
        <v>#N/A</v>
      </c>
    </row>
    <row r="41" spans="1:13" ht="15" customHeight="1" x14ac:dyDescent="0.25">
      <c r="A41" t="s">
        <v>36</v>
      </c>
      <c r="H41" t="s">
        <v>64</v>
      </c>
      <c r="I41">
        <f>VLOOKUP(H41,$A$1:F$161,I$2,0)</f>
        <v>198.03</v>
      </c>
      <c r="J41">
        <f>VLOOKUP(H41,$A$1:F$161,J$2,0)</f>
        <v>323.16000000000003</v>
      </c>
      <c r="K41">
        <f>VLOOKUP(H41,$A$1:F$161,K$2,0)</f>
        <v>833.55</v>
      </c>
      <c r="L41">
        <f>VLOOKUP(H41,$A$1:F$161,L$2,0)</f>
        <v>583.16</v>
      </c>
      <c r="M41">
        <f>VLOOKUP(H41,$A$1:F$161,M$2,0)</f>
        <v>568.53</v>
      </c>
    </row>
    <row r="42" spans="1:13" x14ac:dyDescent="0.25">
      <c r="A42" t="s">
        <v>37</v>
      </c>
      <c r="B42">
        <v>198.03</v>
      </c>
      <c r="C42">
        <v>323.16000000000003</v>
      </c>
      <c r="D42">
        <v>833.55</v>
      </c>
      <c r="E42">
        <v>583.16</v>
      </c>
      <c r="F42">
        <v>568.53</v>
      </c>
      <c r="H42" t="s">
        <v>66</v>
      </c>
      <c r="I42" t="e">
        <f>VLOOKUP(H42,$A$1:F$161,I$2,0)</f>
        <v>#N/A</v>
      </c>
      <c r="J42" t="e">
        <f>VLOOKUP(H42,$A$1:F$161,J$2,0)</f>
        <v>#N/A</v>
      </c>
      <c r="K42" t="e">
        <f>VLOOKUP(H42,$A$1:F$161,K$2,0)</f>
        <v>#N/A</v>
      </c>
      <c r="L42" t="e">
        <f>VLOOKUP(H42,$A$1:F$161,L$2,0)</f>
        <v>#N/A</v>
      </c>
      <c r="M42" t="e">
        <f>VLOOKUP(H42,$A$1:F$161,M$2,0)</f>
        <v>#N/A</v>
      </c>
    </row>
    <row r="43" spans="1:13" x14ac:dyDescent="0.25">
      <c r="A43" t="s">
        <v>38</v>
      </c>
      <c r="B43">
        <v>2266.5100000000002</v>
      </c>
      <c r="C43">
        <v>2249.16</v>
      </c>
      <c r="D43">
        <v>1712.03</v>
      </c>
      <c r="E43">
        <v>1609.86</v>
      </c>
      <c r="F43">
        <v>1448.31</v>
      </c>
      <c r="H43" t="s">
        <v>68</v>
      </c>
      <c r="I43">
        <f>VLOOKUP(H43,$A$1:F$161,I$2,0)</f>
        <v>12347.01</v>
      </c>
      <c r="J43">
        <f>VLOOKUP(H43,$A$1:F$161,J$2,0)</f>
        <v>11535.45</v>
      </c>
      <c r="K43">
        <f>VLOOKUP(H43,$A$1:F$161,K$2,0)</f>
        <v>9547.4500000000007</v>
      </c>
      <c r="L43">
        <f>VLOOKUP(H43,$A$1:F$161,L$2,0)</f>
        <v>7157.23</v>
      </c>
      <c r="M43">
        <f>VLOOKUP(H43,$A$1:F$161,M$2,0)</f>
        <v>6708.52</v>
      </c>
    </row>
    <row r="44" spans="1:13" x14ac:dyDescent="0.25">
      <c r="A44" t="s">
        <v>39</v>
      </c>
      <c r="B44">
        <v>835.15</v>
      </c>
      <c r="C44">
        <v>761.32</v>
      </c>
      <c r="D44">
        <v>922.41</v>
      </c>
      <c r="E44">
        <v>680.55</v>
      </c>
      <c r="F44">
        <v>648.28</v>
      </c>
      <c r="H44" t="s">
        <v>70</v>
      </c>
      <c r="I44">
        <f>VLOOKUP(H44,$A$1:F$161,I$2,0)</f>
        <v>12347.01</v>
      </c>
      <c r="J44">
        <f>VLOOKUP(H44,$A$1:F$161,J$2,0)</f>
        <v>11535.45</v>
      </c>
      <c r="K44">
        <f>VLOOKUP(H44,$A$1:F$161,K$2,0)</f>
        <v>9547.4500000000007</v>
      </c>
      <c r="L44">
        <f>VLOOKUP(H44,$A$1:F$161,L$2,0)</f>
        <v>7157.23</v>
      </c>
      <c r="M44">
        <f>VLOOKUP(H44,$A$1:F$161,M$2,0)</f>
        <v>6708.52</v>
      </c>
    </row>
    <row r="45" spans="1:13" x14ac:dyDescent="0.25">
      <c r="A45" t="s">
        <v>40</v>
      </c>
      <c r="B45">
        <v>2599.89</v>
      </c>
      <c r="C45">
        <v>3074.88</v>
      </c>
      <c r="D45">
        <v>1621.46</v>
      </c>
      <c r="E45">
        <v>1033.6099999999999</v>
      </c>
      <c r="F45">
        <v>1238.1400000000001</v>
      </c>
      <c r="H45" t="s">
        <v>71</v>
      </c>
      <c r="I45">
        <f>VLOOKUP(H45,$A$1:F$161,I$2,0)</f>
        <v>78.36</v>
      </c>
      <c r="J45">
        <f>VLOOKUP(H45,$A$1:F$161,J$2,0)</f>
        <v>66.58</v>
      </c>
      <c r="K45">
        <f>VLOOKUP(H45,$A$1:F$161,K$2,0)</f>
        <v>89.97</v>
      </c>
      <c r="L45">
        <f>VLOOKUP(H45,$A$1:F$161,L$2,0)</f>
        <v>94.27</v>
      </c>
      <c r="M45">
        <f>VLOOKUP(H45,$A$1:F$161,M$2,0)</f>
        <v>106.83</v>
      </c>
    </row>
    <row r="46" spans="1:13" x14ac:dyDescent="0.25">
      <c r="A46" t="s">
        <v>41</v>
      </c>
      <c r="B46">
        <v>659.94</v>
      </c>
      <c r="C46">
        <v>185.12</v>
      </c>
      <c r="D46">
        <v>116.54</v>
      </c>
      <c r="E46">
        <v>245.01</v>
      </c>
      <c r="F46">
        <v>272.25</v>
      </c>
      <c r="H46" t="s">
        <v>72</v>
      </c>
      <c r="I46">
        <f>VLOOKUP(H46,$A$1:F$161,I$2,0)</f>
        <v>12425.37</v>
      </c>
      <c r="J46">
        <f>VLOOKUP(H46,$A$1:F$161,J$2,0)</f>
        <v>11602.03</v>
      </c>
      <c r="K46">
        <f>VLOOKUP(H46,$A$1:F$161,K$2,0)</f>
        <v>9637.42</v>
      </c>
      <c r="L46">
        <f>VLOOKUP(H46,$A$1:F$161,L$2,0)</f>
        <v>7251.5</v>
      </c>
      <c r="M46">
        <f>VLOOKUP(H46,$A$1:F$161,M$2,0)</f>
        <v>6815.35</v>
      </c>
    </row>
    <row r="47" spans="1:13" x14ac:dyDescent="0.25">
      <c r="A47" t="s">
        <v>42</v>
      </c>
      <c r="B47">
        <v>576.16</v>
      </c>
      <c r="C47">
        <v>454.99</v>
      </c>
      <c r="D47">
        <v>476.07</v>
      </c>
      <c r="E47">
        <v>395.78</v>
      </c>
      <c r="F47">
        <v>359.5</v>
      </c>
      <c r="H47" t="s">
        <v>73</v>
      </c>
      <c r="I47">
        <f>VLOOKUP(H47,$A$1:F$161,I$2,0)</f>
        <v>140.06</v>
      </c>
      <c r="J47">
        <f>VLOOKUP(H47,$A$1:F$161,J$2,0)</f>
        <v>121.38</v>
      </c>
      <c r="K47">
        <f>VLOOKUP(H47,$A$1:F$161,K$2,0)</f>
        <v>111.59</v>
      </c>
      <c r="L47">
        <f>VLOOKUP(H47,$A$1:F$161,L$2,0)</f>
        <v>157.13</v>
      </c>
      <c r="M47">
        <f>VLOOKUP(H47,$A$1:F$161,M$2,0)</f>
        <v>94.15</v>
      </c>
    </row>
    <row r="48" spans="1:13" x14ac:dyDescent="0.25">
      <c r="A48" t="s">
        <v>43</v>
      </c>
      <c r="B48">
        <v>7135.68</v>
      </c>
      <c r="C48">
        <v>7048.63</v>
      </c>
      <c r="D48">
        <v>5682.06</v>
      </c>
      <c r="E48">
        <v>4547.97</v>
      </c>
      <c r="F48">
        <v>4535.01</v>
      </c>
      <c r="H48" t="s">
        <v>74</v>
      </c>
      <c r="I48">
        <f>VLOOKUP(H48,$A$1:F$161,I$2,0)</f>
        <v>12565.43</v>
      </c>
      <c r="J48">
        <f>VLOOKUP(H48,$A$1:F$161,J$2,0)</f>
        <v>11723.41</v>
      </c>
      <c r="K48">
        <f>VLOOKUP(H48,$A$1:F$161,K$2,0)</f>
        <v>9749.01</v>
      </c>
      <c r="L48">
        <f>VLOOKUP(H48,$A$1:F$161,L$2,0)</f>
        <v>7408.63</v>
      </c>
      <c r="M48">
        <f>VLOOKUP(H48,$A$1:F$161,M$2,0)</f>
        <v>6909.5</v>
      </c>
    </row>
    <row r="49" spans="1:13" x14ac:dyDescent="0.25">
      <c r="A49" t="s">
        <v>44</v>
      </c>
      <c r="B49">
        <v>21117.59</v>
      </c>
      <c r="C49">
        <v>20255.87</v>
      </c>
      <c r="D49">
        <v>18502.599999999999</v>
      </c>
      <c r="E49">
        <v>10938.72</v>
      </c>
      <c r="F49">
        <v>10592.21</v>
      </c>
      <c r="H49" t="s">
        <v>75</v>
      </c>
      <c r="I49">
        <f>VLOOKUP(H49,$A$1:F$161,I$2,0)</f>
        <v>0</v>
      </c>
      <c r="J49">
        <f>VLOOKUP(H49,$A$1:F$161,J$2,0)</f>
        <v>0</v>
      </c>
      <c r="K49">
        <f>VLOOKUP(H49,$A$1:F$161,K$2,0)</f>
        <v>0</v>
      </c>
      <c r="L49">
        <f>VLOOKUP(H49,$A$1:F$161,L$2,0)</f>
        <v>0</v>
      </c>
      <c r="M49">
        <f>VLOOKUP(H49,$A$1:F$161,M$2,0)</f>
        <v>0</v>
      </c>
    </row>
    <row r="50" spans="1:13" ht="24" customHeight="1" x14ac:dyDescent="0.25">
      <c r="A50" t="s">
        <v>45</v>
      </c>
      <c r="H50" t="s">
        <v>76</v>
      </c>
      <c r="I50">
        <f>VLOOKUP(H50,$A$1:F$161,I$2,0)</f>
        <v>4908.3599999999997</v>
      </c>
      <c r="J50">
        <f>VLOOKUP(H50,$A$1:F$161,J$2,0)</f>
        <v>4937.45</v>
      </c>
      <c r="K50">
        <f>VLOOKUP(H50,$A$1:F$161,K$2,0)</f>
        <v>3606.66</v>
      </c>
      <c r="L50">
        <f>VLOOKUP(H50,$A$1:F$161,L$2,0)</f>
        <v>3294.18</v>
      </c>
      <c r="M50">
        <f>VLOOKUP(H50,$A$1:F$161,M$2,0)</f>
        <v>3203.22</v>
      </c>
    </row>
    <row r="51" spans="1:13" ht="36" customHeight="1" x14ac:dyDescent="0.25">
      <c r="A51" t="s">
        <v>46</v>
      </c>
      <c r="H51" t="s">
        <v>77</v>
      </c>
      <c r="I51">
        <f>VLOOKUP(H51,$A$1:F$161,I$2,0)</f>
        <v>2215.39</v>
      </c>
      <c r="J51">
        <f>VLOOKUP(H51,$A$1:F$161,J$2,0)</f>
        <v>2114.4</v>
      </c>
      <c r="K51">
        <f>VLOOKUP(H51,$A$1:F$161,K$2,0)</f>
        <v>1796.24</v>
      </c>
      <c r="L51">
        <f>VLOOKUP(H51,$A$1:F$161,L$2,0)</f>
        <v>727.87</v>
      </c>
      <c r="M51">
        <f>VLOOKUP(H51,$A$1:F$161,M$2,0)</f>
        <v>542.89</v>
      </c>
    </row>
    <row r="52" spans="1:13" x14ac:dyDescent="0.25">
      <c r="A52" t="s">
        <v>47</v>
      </c>
      <c r="B52">
        <v>456.53</v>
      </c>
      <c r="C52">
        <v>366.46</v>
      </c>
      <c r="D52">
        <v>162.1</v>
      </c>
      <c r="E52">
        <v>85.24</v>
      </c>
      <c r="F52">
        <v>176.54</v>
      </c>
      <c r="H52" t="s">
        <v>78</v>
      </c>
      <c r="I52">
        <f>VLOOKUP(H52,$A$1:F$161,I$2,0)</f>
        <v>-39.78</v>
      </c>
      <c r="J52">
        <f>VLOOKUP(H52,$A$1:F$161,J$2,0)</f>
        <v>-149.54</v>
      </c>
      <c r="K52">
        <f>VLOOKUP(H52,$A$1:F$161,K$2,0)</f>
        <v>7.78</v>
      </c>
      <c r="L52">
        <f>VLOOKUP(H52,$A$1:F$161,L$2,0)</f>
        <v>-14.41</v>
      </c>
      <c r="M52">
        <f>VLOOKUP(H52,$A$1:F$161,M$2,0)</f>
        <v>-46.8</v>
      </c>
    </row>
    <row r="53" spans="1:13" ht="15" customHeight="1" x14ac:dyDescent="0.25">
      <c r="A53" t="s">
        <v>57</v>
      </c>
      <c r="H53" t="s">
        <v>79</v>
      </c>
      <c r="I53">
        <f>VLOOKUP(H53,$A$1:F$161,I$2,0)</f>
        <v>1048</v>
      </c>
      <c r="J53">
        <f>VLOOKUP(H53,$A$1:F$161,J$2,0)</f>
        <v>970.23</v>
      </c>
      <c r="K53">
        <f>VLOOKUP(H53,$A$1:F$161,K$2,0)</f>
        <v>884.8</v>
      </c>
      <c r="L53">
        <f>VLOOKUP(H53,$A$1:F$161,L$2,0)</f>
        <v>806.3</v>
      </c>
      <c r="M53">
        <f>VLOOKUP(H53,$A$1:F$161,M$2,0)</f>
        <v>821.37</v>
      </c>
    </row>
    <row r="54" spans="1:13" x14ac:dyDescent="0.25">
      <c r="A54" t="s">
        <v>58</v>
      </c>
      <c r="B54">
        <v>33.18</v>
      </c>
      <c r="C54">
        <v>33.18</v>
      </c>
      <c r="D54">
        <v>33.18</v>
      </c>
      <c r="E54">
        <v>33.18</v>
      </c>
      <c r="F54">
        <v>33.18</v>
      </c>
      <c r="H54" t="s">
        <v>80</v>
      </c>
      <c r="I54">
        <f>VLOOKUP(H54,$A$1:F$161,I$2,0)</f>
        <v>72.78</v>
      </c>
      <c r="J54">
        <f>VLOOKUP(H54,$A$1:F$161,J$2,0)</f>
        <v>68.69</v>
      </c>
      <c r="K54">
        <f>VLOOKUP(H54,$A$1:F$161,K$2,0)</f>
        <v>77.86</v>
      </c>
      <c r="L54">
        <f>VLOOKUP(H54,$A$1:F$161,L$2,0)</f>
        <v>52.47</v>
      </c>
      <c r="M54">
        <f>VLOOKUP(H54,$A$1:F$161,M$2,0)</f>
        <v>42.76</v>
      </c>
    </row>
    <row r="55" spans="1:13" ht="24" customHeight="1" x14ac:dyDescent="0.25">
      <c r="A55" t="s">
        <v>59</v>
      </c>
      <c r="H55" t="s">
        <v>81</v>
      </c>
      <c r="I55" t="e">
        <f>VLOOKUP(H55,$A$1:F$161,I$2,0)</f>
        <v>#N/A</v>
      </c>
      <c r="J55" t="e">
        <f>VLOOKUP(H55,$A$1:F$161,J$2,0)</f>
        <v>#N/A</v>
      </c>
      <c r="K55" t="e">
        <f>VLOOKUP(H55,$A$1:F$161,K$2,0)</f>
        <v>#N/A</v>
      </c>
      <c r="L55" t="e">
        <f>VLOOKUP(H55,$A$1:F$161,L$2,0)</f>
        <v>#N/A</v>
      </c>
      <c r="M55" t="e">
        <f>VLOOKUP(H55,$A$1:F$161,M$2,0)</f>
        <v>#N/A</v>
      </c>
    </row>
    <row r="56" spans="1:13" x14ac:dyDescent="0.25">
      <c r="A56" t="s">
        <v>60</v>
      </c>
      <c r="B56">
        <v>19.920000000000002</v>
      </c>
      <c r="C56">
        <v>15.22</v>
      </c>
      <c r="D56">
        <v>0</v>
      </c>
      <c r="E56">
        <v>0</v>
      </c>
      <c r="F56">
        <v>0</v>
      </c>
      <c r="H56" t="s">
        <v>82</v>
      </c>
      <c r="I56">
        <f>VLOOKUP(H56,$A$1:F$161,I$2,0)</f>
        <v>278.01</v>
      </c>
      <c r="J56">
        <f>VLOOKUP(H56,$A$1:F$161,J$2,0)</f>
        <v>254.74</v>
      </c>
      <c r="K56">
        <f>VLOOKUP(H56,$A$1:F$161,K$2,0)</f>
        <v>241.71</v>
      </c>
      <c r="L56">
        <f>VLOOKUP(H56,$A$1:F$161,L$2,0)</f>
        <v>122.57</v>
      </c>
      <c r="M56">
        <f>VLOOKUP(H56,$A$1:F$161,M$2,0)</f>
        <v>116.04</v>
      </c>
    </row>
    <row r="57" spans="1:13" x14ac:dyDescent="0.25">
      <c r="A57" t="s">
        <v>61</v>
      </c>
      <c r="B57">
        <v>345.02</v>
      </c>
      <c r="C57">
        <v>260.24</v>
      </c>
      <c r="D57">
        <v>251.38</v>
      </c>
      <c r="E57">
        <v>253.73</v>
      </c>
      <c r="F57">
        <v>259.66000000000003</v>
      </c>
      <c r="H57" t="s">
        <v>83</v>
      </c>
      <c r="I57">
        <f>VLOOKUP(H57,$A$1:F$161,I$2,0)</f>
        <v>2385.7800000000002</v>
      </c>
      <c r="J57">
        <f>VLOOKUP(H57,$A$1:F$161,J$2,0)</f>
        <v>2064.25</v>
      </c>
      <c r="K57">
        <f>VLOOKUP(H57,$A$1:F$161,K$2,0)</f>
        <v>1938.72</v>
      </c>
      <c r="L57">
        <f>VLOOKUP(H57,$A$1:F$161,L$2,0)</f>
        <v>1553.44</v>
      </c>
      <c r="M57">
        <f>VLOOKUP(H57,$A$1:F$161,M$2,0)</f>
        <v>1365.37</v>
      </c>
    </row>
    <row r="58" spans="1:13" ht="24" customHeight="1" x14ac:dyDescent="0.25">
      <c r="A58" t="s">
        <v>62</v>
      </c>
      <c r="H58" t="s">
        <v>84</v>
      </c>
      <c r="I58">
        <f>VLOOKUP(H58,$A$1:F$161,I$2,0)</f>
        <v>11057.38</v>
      </c>
      <c r="J58">
        <f>VLOOKUP(H58,$A$1:F$161,J$2,0)</f>
        <v>10381.700000000001</v>
      </c>
      <c r="K58">
        <f>VLOOKUP(H58,$A$1:F$161,K$2,0)</f>
        <v>8664.84</v>
      </c>
      <c r="L58">
        <f>VLOOKUP(H58,$A$1:F$161,L$2,0)</f>
        <v>6640.63</v>
      </c>
      <c r="M58">
        <f>VLOOKUP(H58,$A$1:F$161,M$2,0)</f>
        <v>6135.24</v>
      </c>
    </row>
    <row r="59" spans="1:13" x14ac:dyDescent="0.25">
      <c r="A59" t="s">
        <v>64</v>
      </c>
      <c r="B59">
        <v>198.03</v>
      </c>
      <c r="C59">
        <v>323.16000000000003</v>
      </c>
      <c r="D59">
        <v>833.55</v>
      </c>
      <c r="E59">
        <v>583.16</v>
      </c>
      <c r="F59">
        <v>568.53</v>
      </c>
      <c r="H59" t="s">
        <v>85</v>
      </c>
      <c r="I59">
        <f>VLOOKUP(H59,$A$1:F$161,I$2,0)</f>
        <v>1508.05</v>
      </c>
      <c r="J59">
        <f>VLOOKUP(H59,$A$1:F$161,J$2,0)</f>
        <v>1341.71</v>
      </c>
      <c r="K59">
        <f>VLOOKUP(H59,$A$1:F$161,K$2,0)</f>
        <v>1084.17</v>
      </c>
      <c r="L59">
        <f>VLOOKUP(H59,$A$1:F$161,L$2,0)</f>
        <v>768</v>
      </c>
      <c r="M59">
        <f>VLOOKUP(H59,$A$1:F$161,M$2,0)</f>
        <v>774.26</v>
      </c>
    </row>
    <row r="60" spans="1:13" x14ac:dyDescent="0.25">
      <c r="H60" t="s">
        <v>87</v>
      </c>
      <c r="I60">
        <f>VLOOKUP(H60,$A$1:F$161,I$2,0)</f>
        <v>1455.99</v>
      </c>
      <c r="J60">
        <f>VLOOKUP(H60,$A$1:F$161,J$2,0)</f>
        <v>1311.06</v>
      </c>
      <c r="K60">
        <f>VLOOKUP(H60,$A$1:F$161,K$2,0)</f>
        <v>809.38</v>
      </c>
      <c r="L60">
        <f>VLOOKUP(H60,$A$1:F$161,L$2,0)</f>
        <v>734.71</v>
      </c>
      <c r="M60">
        <f>VLOOKUP(H60,$A$1:F$161,M$2,0)</f>
        <v>753.13</v>
      </c>
    </row>
    <row r="61" spans="1:13" x14ac:dyDescent="0.25">
      <c r="H61" t="s">
        <v>88</v>
      </c>
      <c r="I61">
        <f>VLOOKUP(H61,$A$1:F$161,I$2,0)</f>
        <v>0</v>
      </c>
      <c r="J61">
        <f>VLOOKUP(H61,$A$1:F$161,J$2,0)</f>
        <v>0</v>
      </c>
      <c r="K61">
        <f>VLOOKUP(H61,$A$1:F$161,K$2,0)</f>
        <v>0</v>
      </c>
      <c r="L61">
        <f>VLOOKUP(H61,$A$1:F$161,L$2,0)</f>
        <v>0</v>
      </c>
      <c r="M61">
        <f>VLOOKUP(H61,$A$1:F$161,M$2,0)</f>
        <v>0</v>
      </c>
    </row>
    <row r="62" spans="1:13" x14ac:dyDescent="0.25">
      <c r="H62" t="s">
        <v>89</v>
      </c>
      <c r="I62">
        <f>VLOOKUP(H62,$A$1:F$161,I$2,0)</f>
        <v>220.24</v>
      </c>
      <c r="J62">
        <f>VLOOKUP(H62,$A$1:F$161,J$2,0)</f>
        <v>98.16</v>
      </c>
      <c r="K62">
        <f>VLOOKUP(H62,$A$1:F$161,K$2,0)</f>
        <v>89.05</v>
      </c>
      <c r="L62">
        <f>VLOOKUP(H62,$A$1:F$161,L$2,0)</f>
        <v>256.02999999999997</v>
      </c>
      <c r="M62">
        <f>VLOOKUP(H62,$A$1:F$161,M$2,0)</f>
        <v>273.38</v>
      </c>
    </row>
    <row r="63" spans="1:13" ht="15" customHeight="1" x14ac:dyDescent="0.25">
      <c r="A63" t="s">
        <v>65</v>
      </c>
      <c r="H63" t="s">
        <v>90</v>
      </c>
      <c r="I63">
        <f>VLOOKUP(H63,$A$1:F$161,I$2,0)</f>
        <v>156.80000000000001</v>
      </c>
      <c r="J63">
        <f>VLOOKUP(H63,$A$1:F$161,J$2,0)</f>
        <v>219.11</v>
      </c>
      <c r="K63">
        <f>VLOOKUP(H63,$A$1:F$161,K$2,0)</f>
        <v>185.14</v>
      </c>
      <c r="L63">
        <f>VLOOKUP(H63,$A$1:F$161,L$2,0)</f>
        <v>4.8499999999999996</v>
      </c>
      <c r="M63">
        <f>VLOOKUP(H63,$A$1:F$161,M$2,0)</f>
        <v>-87.51</v>
      </c>
    </row>
    <row r="64" spans="1:13" x14ac:dyDescent="0.25">
      <c r="H64" t="s">
        <v>112</v>
      </c>
      <c r="I64" t="e">
        <f>VLOOKUP(H64,$A$1:F$161,I$2,0)</f>
        <v>#N/A</v>
      </c>
      <c r="J64" t="e">
        <f>VLOOKUP(H64,$A$1:F$161,J$2,0)</f>
        <v>#N/A</v>
      </c>
      <c r="K64" t="e">
        <f>VLOOKUP(H64,$A$1:F$161,K$2,0)</f>
        <v>#N/A</v>
      </c>
      <c r="L64" t="e">
        <f>VLOOKUP(H64,$A$1:F$161,L$2,0)</f>
        <v>#N/A</v>
      </c>
      <c r="M64" t="e">
        <f>VLOOKUP(H64,$A$1:F$161,M$2,0)</f>
        <v>#N/A</v>
      </c>
    </row>
    <row r="65" spans="8:13" x14ac:dyDescent="0.25">
      <c r="H65" t="s">
        <v>91</v>
      </c>
      <c r="I65">
        <f>VLOOKUP(H65,$A$1:F$161,I$2,0)</f>
        <v>377.04</v>
      </c>
      <c r="J65">
        <f>VLOOKUP(H65,$A$1:F$161,J$2,0)</f>
        <v>317.27</v>
      </c>
      <c r="K65">
        <f>VLOOKUP(H65,$A$1:F$161,K$2,0)</f>
        <v>274.19</v>
      </c>
      <c r="L65">
        <f>VLOOKUP(H65,$A$1:F$161,L$2,0)</f>
        <v>260.88</v>
      </c>
      <c r="M65">
        <f>VLOOKUP(H65,$A$1:F$161,M$2,0)</f>
        <v>185.87</v>
      </c>
    </row>
    <row r="66" spans="8:13" x14ac:dyDescent="0.25">
      <c r="H66" t="s">
        <v>92</v>
      </c>
      <c r="I66">
        <f>VLOOKUP(H66,$A$1:F$161,I$2,0)</f>
        <v>1078.95</v>
      </c>
      <c r="J66">
        <f>VLOOKUP(H66,$A$1:F$161,J$2,0)</f>
        <v>993.79</v>
      </c>
      <c r="K66">
        <f>VLOOKUP(H66,$A$1:F$161,K$2,0)</f>
        <v>535.19000000000005</v>
      </c>
      <c r="L66">
        <f>VLOOKUP(H66,$A$1:F$161,L$2,0)</f>
        <v>473.83</v>
      </c>
      <c r="M66">
        <f>VLOOKUP(H66,$A$1:F$161,M$2,0)</f>
        <v>567.26</v>
      </c>
    </row>
    <row r="67" spans="8:13" x14ac:dyDescent="0.25">
      <c r="H67" t="s">
        <v>93</v>
      </c>
      <c r="I67">
        <f>VLOOKUP(H67,$A$1:F$161,I$2,0)</f>
        <v>1078.95</v>
      </c>
      <c r="J67">
        <f>VLOOKUP(H67,$A$1:F$161,J$2,0)</f>
        <v>993.79</v>
      </c>
      <c r="K67">
        <f>VLOOKUP(H67,$A$1:F$161,K$2,0)</f>
        <v>535.19000000000005</v>
      </c>
      <c r="L67">
        <f>VLOOKUP(H67,$A$1:F$161,L$2,0)</f>
        <v>473.83</v>
      </c>
      <c r="M67">
        <f>VLOOKUP(H67,$A$1:F$161,M$2,0)</f>
        <v>567.26</v>
      </c>
    </row>
    <row r="68" spans="8:13" x14ac:dyDescent="0.25">
      <c r="H68" t="s">
        <v>94</v>
      </c>
      <c r="I68">
        <f>VLOOKUP(H68,$A$1:F$161,I$2,0)</f>
        <v>1078.95</v>
      </c>
      <c r="J68">
        <f>VLOOKUP(H68,$A$1:F$161,J$2,0)</f>
        <v>993.79</v>
      </c>
      <c r="K68">
        <f>VLOOKUP(H68,$A$1:F$161,K$2,0)</f>
        <v>535.19000000000005</v>
      </c>
      <c r="L68">
        <f>VLOOKUP(H68,$A$1:F$161,L$2,0)</f>
        <v>473.83</v>
      </c>
      <c r="M68">
        <f>VLOOKUP(H68,$A$1:F$161,M$2,0)</f>
        <v>567.26</v>
      </c>
    </row>
    <row r="69" spans="8:13" x14ac:dyDescent="0.25">
      <c r="H69" t="s">
        <v>101</v>
      </c>
      <c r="I69">
        <f>VLOOKUP(H69,$A$1:F$161,I$2,0)</f>
        <v>373.23</v>
      </c>
      <c r="J69">
        <f>VLOOKUP(H69,$A$1:F$161,J$2,0)</f>
        <v>248.82</v>
      </c>
      <c r="K69">
        <f>VLOOKUP(H69,$A$1:F$161,K$2,0)</f>
        <v>189.43</v>
      </c>
      <c r="L69">
        <f>VLOOKUP(H69,$A$1:F$161,L$2,0)</f>
        <v>178.68</v>
      </c>
      <c r="M69">
        <f>VLOOKUP(H69,$A$1:F$161,M$2,0)</f>
        <v>157.77000000000001</v>
      </c>
    </row>
    <row r="70" spans="8:13" x14ac:dyDescent="0.25">
      <c r="H70" t="s">
        <v>102</v>
      </c>
      <c r="I70">
        <f>VLOOKUP(H70,$A$1:F$161,I$2,0)</f>
        <v>0</v>
      </c>
      <c r="J70">
        <f>VLOOKUP(H70,$A$1:F$161,J$2,0)</f>
        <v>0</v>
      </c>
      <c r="K70">
        <f>VLOOKUP(H70,$A$1:F$161,K$2,0)</f>
        <v>0</v>
      </c>
      <c r="L70">
        <f>VLOOKUP(H70,$A$1:F$161,L$2,0)</f>
        <v>0</v>
      </c>
      <c r="M70">
        <f>VLOOKUP(H70,$A$1:F$161,M$2,0)</f>
        <v>14.9</v>
      </c>
    </row>
    <row r="71" spans="8:13" x14ac:dyDescent="0.25">
      <c r="H71" t="s">
        <v>103</v>
      </c>
      <c r="I71" t="e">
        <f>VLOOKUP(H71,$A$1:F$161,I$2,0)</f>
        <v>#N/A</v>
      </c>
      <c r="J71" t="e">
        <f>VLOOKUP(H71,$A$1:F$161,J$2,0)</f>
        <v>#N/A</v>
      </c>
      <c r="K71" t="e">
        <f>VLOOKUP(H71,$A$1:F$161,K$2,0)</f>
        <v>#N/A</v>
      </c>
      <c r="L71" t="e">
        <f>VLOOKUP(H71,$A$1:F$161,L$2,0)</f>
        <v>#N/A</v>
      </c>
      <c r="M71" t="e">
        <f>VLOOKUP(H71,$A$1:F$161,M$2,0)</f>
        <v>#N/A</v>
      </c>
    </row>
    <row r="90" spans="1:6" x14ac:dyDescent="0.25">
      <c r="A90" t="s">
        <v>168</v>
      </c>
      <c r="B90" t="s">
        <v>1</v>
      </c>
    </row>
    <row r="91" spans="1:6" x14ac:dyDescent="0.25">
      <c r="A91" t="s">
        <v>110</v>
      </c>
      <c r="B91" t="s">
        <v>3</v>
      </c>
    </row>
    <row r="92" spans="1:6" x14ac:dyDescent="0.25">
      <c r="B92" t="s">
        <v>105</v>
      </c>
      <c r="C92">
        <v>44256</v>
      </c>
      <c r="D92">
        <v>43891</v>
      </c>
      <c r="E92">
        <v>43525</v>
      </c>
      <c r="F92">
        <v>43160</v>
      </c>
    </row>
    <row r="94" spans="1:6" x14ac:dyDescent="0.25">
      <c r="B94" t="s">
        <v>5</v>
      </c>
      <c r="C94" t="s">
        <v>5</v>
      </c>
      <c r="D94" t="s">
        <v>5</v>
      </c>
      <c r="E94" t="s">
        <v>5</v>
      </c>
      <c r="F94" t="s">
        <v>5</v>
      </c>
    </row>
    <row r="96" spans="1:6" x14ac:dyDescent="0.25">
      <c r="A96" t="s">
        <v>67</v>
      </c>
    </row>
    <row r="97" spans="1:6" x14ac:dyDescent="0.25">
      <c r="A97" t="s">
        <v>68</v>
      </c>
      <c r="B97">
        <v>12347.01</v>
      </c>
      <c r="C97">
        <v>11535.45</v>
      </c>
      <c r="D97">
        <v>9547.4500000000007</v>
      </c>
      <c r="E97">
        <v>7157.23</v>
      </c>
      <c r="F97">
        <v>6708.52</v>
      </c>
    </row>
    <row r="98" spans="1:6" x14ac:dyDescent="0.25">
      <c r="A98" t="s">
        <v>70</v>
      </c>
      <c r="B98">
        <v>12347.01</v>
      </c>
      <c r="C98">
        <v>11535.45</v>
      </c>
      <c r="D98">
        <v>9547.4500000000007</v>
      </c>
      <c r="E98">
        <v>7157.23</v>
      </c>
      <c r="F98">
        <v>6708.52</v>
      </c>
    </row>
    <row r="99" spans="1:6" x14ac:dyDescent="0.25">
      <c r="A99" t="s">
        <v>71</v>
      </c>
      <c r="B99">
        <v>78.36</v>
      </c>
      <c r="C99">
        <v>66.58</v>
      </c>
      <c r="D99">
        <v>89.97</v>
      </c>
      <c r="E99">
        <v>94.27</v>
      </c>
      <c r="F99">
        <v>106.83</v>
      </c>
    </row>
    <row r="100" spans="1:6" x14ac:dyDescent="0.25">
      <c r="A100" t="s">
        <v>72</v>
      </c>
      <c r="B100">
        <v>12425.37</v>
      </c>
      <c r="C100">
        <v>11602.03</v>
      </c>
      <c r="D100">
        <v>9637.42</v>
      </c>
      <c r="E100">
        <v>7251.5</v>
      </c>
      <c r="F100">
        <v>6815.35</v>
      </c>
    </row>
    <row r="101" spans="1:6" x14ac:dyDescent="0.25">
      <c r="A101" t="s">
        <v>73</v>
      </c>
      <c r="B101">
        <v>140.06</v>
      </c>
      <c r="C101">
        <v>121.38</v>
      </c>
      <c r="D101">
        <v>111.59</v>
      </c>
      <c r="E101">
        <v>157.13</v>
      </c>
      <c r="F101">
        <v>94.15</v>
      </c>
    </row>
    <row r="102" spans="1:6" x14ac:dyDescent="0.25">
      <c r="A102" t="s">
        <v>74</v>
      </c>
      <c r="B102">
        <v>12565.43</v>
      </c>
      <c r="C102">
        <v>11723.41</v>
      </c>
      <c r="D102">
        <v>9749.01</v>
      </c>
      <c r="E102">
        <v>7408.63</v>
      </c>
      <c r="F102">
        <v>6909.5</v>
      </c>
    </row>
    <row r="103" spans="1:6" ht="15" customHeight="1" x14ac:dyDescent="0.25">
      <c r="A103" t="s">
        <v>75</v>
      </c>
    </row>
    <row r="104" spans="1:6" x14ac:dyDescent="0.25">
      <c r="A104" t="s">
        <v>76</v>
      </c>
      <c r="B104">
        <v>4908.3599999999997</v>
      </c>
      <c r="C104">
        <v>4937.45</v>
      </c>
      <c r="D104">
        <v>3606.66</v>
      </c>
      <c r="E104">
        <v>3294.18</v>
      </c>
      <c r="F104">
        <v>3203.22</v>
      </c>
    </row>
    <row r="105" spans="1:6" x14ac:dyDescent="0.25">
      <c r="A105" t="s">
        <v>77</v>
      </c>
      <c r="B105">
        <v>2215.39</v>
      </c>
      <c r="C105">
        <v>2114.4</v>
      </c>
      <c r="D105">
        <v>1796.24</v>
      </c>
      <c r="E105">
        <v>727.87</v>
      </c>
      <c r="F105">
        <v>542.89</v>
      </c>
    </row>
    <row r="106" spans="1:6" x14ac:dyDescent="0.25">
      <c r="A106" t="s">
        <v>111</v>
      </c>
      <c r="B106">
        <v>188.84</v>
      </c>
      <c r="C106">
        <v>121.48</v>
      </c>
      <c r="D106">
        <v>111.07</v>
      </c>
      <c r="E106">
        <v>98.21</v>
      </c>
      <c r="F106">
        <v>90.39</v>
      </c>
    </row>
    <row r="107" spans="1:6" x14ac:dyDescent="0.25">
      <c r="A107" t="s">
        <v>78</v>
      </c>
      <c r="B107">
        <v>-39.78</v>
      </c>
      <c r="C107">
        <v>-149.54</v>
      </c>
      <c r="D107">
        <v>7.78</v>
      </c>
      <c r="E107">
        <v>-14.41</v>
      </c>
      <c r="F107">
        <v>-46.8</v>
      </c>
    </row>
    <row r="108" spans="1:6" x14ac:dyDescent="0.25">
      <c r="A108" t="s">
        <v>79</v>
      </c>
      <c r="B108">
        <v>1048</v>
      </c>
      <c r="C108">
        <v>970.23</v>
      </c>
      <c r="D108">
        <v>884.8</v>
      </c>
      <c r="E108">
        <v>806.3</v>
      </c>
      <c r="F108">
        <v>821.37</v>
      </c>
    </row>
    <row r="109" spans="1:6" x14ac:dyDescent="0.25">
      <c r="A109" t="s">
        <v>80</v>
      </c>
      <c r="B109">
        <v>72.78</v>
      </c>
      <c r="C109">
        <v>68.69</v>
      </c>
      <c r="D109">
        <v>77.86</v>
      </c>
      <c r="E109">
        <v>52.47</v>
      </c>
      <c r="F109">
        <v>42.76</v>
      </c>
    </row>
    <row r="110" spans="1:6" x14ac:dyDescent="0.25">
      <c r="A110" t="s">
        <v>82</v>
      </c>
      <c r="B110">
        <v>278.01</v>
      </c>
      <c r="C110">
        <v>254.74</v>
      </c>
      <c r="D110">
        <v>241.71</v>
      </c>
      <c r="E110">
        <v>122.57</v>
      </c>
      <c r="F110">
        <v>116.04</v>
      </c>
    </row>
    <row r="111" spans="1:6" x14ac:dyDescent="0.25">
      <c r="A111" t="s">
        <v>83</v>
      </c>
      <c r="B111">
        <v>2385.7800000000002</v>
      </c>
      <c r="C111">
        <v>2064.25</v>
      </c>
      <c r="D111">
        <v>1938.72</v>
      </c>
      <c r="E111">
        <v>1553.44</v>
      </c>
      <c r="F111">
        <v>1365.37</v>
      </c>
    </row>
    <row r="112" spans="1:6" x14ac:dyDescent="0.25">
      <c r="A112" t="s">
        <v>84</v>
      </c>
      <c r="B112">
        <v>11057.38</v>
      </c>
      <c r="C112">
        <v>10381.700000000001</v>
      </c>
      <c r="D112">
        <v>8664.84</v>
      </c>
      <c r="E112">
        <v>6640.63</v>
      </c>
      <c r="F112">
        <v>6135.24</v>
      </c>
    </row>
    <row r="113" spans="1:6" x14ac:dyDescent="0.25">
      <c r="A113" t="s">
        <v>85</v>
      </c>
      <c r="B113">
        <v>1508.05</v>
      </c>
      <c r="C113">
        <v>1341.71</v>
      </c>
      <c r="D113">
        <v>1084.17</v>
      </c>
      <c r="E113">
        <v>768</v>
      </c>
      <c r="F113">
        <v>774.26</v>
      </c>
    </row>
    <row r="114" spans="1:6" x14ac:dyDescent="0.25">
      <c r="A114" t="s">
        <v>86</v>
      </c>
      <c r="B114">
        <v>-52.06</v>
      </c>
      <c r="C114">
        <v>-30.65</v>
      </c>
      <c r="D114">
        <v>-274.79000000000002</v>
      </c>
      <c r="E114">
        <v>-33.29</v>
      </c>
      <c r="F114">
        <v>-21.13</v>
      </c>
    </row>
    <row r="115" spans="1:6" x14ac:dyDescent="0.25">
      <c r="A115" t="s">
        <v>87</v>
      </c>
      <c r="B115">
        <v>1455.99</v>
      </c>
      <c r="C115">
        <v>1311.06</v>
      </c>
      <c r="D115">
        <v>809.38</v>
      </c>
      <c r="E115">
        <v>734.71</v>
      </c>
      <c r="F115">
        <v>753.13</v>
      </c>
    </row>
    <row r="116" spans="1:6" ht="24" customHeight="1" x14ac:dyDescent="0.25">
      <c r="A116" t="s">
        <v>88</v>
      </c>
    </row>
    <row r="117" spans="1:6" x14ac:dyDescent="0.25">
      <c r="A117" t="s">
        <v>89</v>
      </c>
      <c r="B117">
        <v>220.24</v>
      </c>
      <c r="C117">
        <v>98.16</v>
      </c>
      <c r="D117">
        <v>89.05</v>
      </c>
      <c r="E117">
        <v>256.02999999999997</v>
      </c>
      <c r="F117">
        <v>273.38</v>
      </c>
    </row>
    <row r="118" spans="1:6" x14ac:dyDescent="0.25">
      <c r="A118" t="s">
        <v>90</v>
      </c>
      <c r="B118">
        <v>156.80000000000001</v>
      </c>
      <c r="C118">
        <v>219.11</v>
      </c>
      <c r="D118">
        <v>185.14</v>
      </c>
      <c r="E118">
        <v>4.8499999999999996</v>
      </c>
      <c r="F118">
        <v>-87.51</v>
      </c>
    </row>
    <row r="119" spans="1:6" x14ac:dyDescent="0.25">
      <c r="A119" t="s">
        <v>91</v>
      </c>
      <c r="B119">
        <v>377.04</v>
      </c>
      <c r="C119">
        <v>317.27</v>
      </c>
      <c r="D119">
        <v>274.19</v>
      </c>
      <c r="E119">
        <v>260.88</v>
      </c>
      <c r="F119">
        <v>185.87</v>
      </c>
    </row>
    <row r="120" spans="1:6" x14ac:dyDescent="0.25">
      <c r="A120" t="s">
        <v>92</v>
      </c>
      <c r="B120">
        <v>1078.95</v>
      </c>
      <c r="C120">
        <v>993.79</v>
      </c>
      <c r="D120">
        <v>535.19000000000005</v>
      </c>
      <c r="E120">
        <v>473.83</v>
      </c>
      <c r="F120">
        <v>567.26</v>
      </c>
    </row>
    <row r="121" spans="1:6" x14ac:dyDescent="0.25">
      <c r="A121" t="s">
        <v>93</v>
      </c>
      <c r="B121">
        <v>1078.95</v>
      </c>
      <c r="C121">
        <v>993.79</v>
      </c>
      <c r="D121">
        <v>535.19000000000005</v>
      </c>
      <c r="E121">
        <v>473.83</v>
      </c>
      <c r="F121">
        <v>567.26</v>
      </c>
    </row>
    <row r="122" spans="1:6" x14ac:dyDescent="0.25">
      <c r="A122" t="s">
        <v>94</v>
      </c>
      <c r="B122">
        <v>1078.95</v>
      </c>
      <c r="C122">
        <v>993.79</v>
      </c>
      <c r="D122">
        <v>535.19000000000005</v>
      </c>
      <c r="E122">
        <v>473.83</v>
      </c>
      <c r="F122">
        <v>567.26</v>
      </c>
    </row>
    <row r="123" spans="1:6" x14ac:dyDescent="0.25">
      <c r="A123" t="s">
        <v>116</v>
      </c>
      <c r="B123">
        <v>-79.38</v>
      </c>
      <c r="C123">
        <v>-73.77</v>
      </c>
      <c r="D123">
        <v>-0.35</v>
      </c>
      <c r="E123">
        <v>-48.79</v>
      </c>
      <c r="F123">
        <v>-60.94</v>
      </c>
    </row>
    <row r="124" spans="1:6" x14ac:dyDescent="0.25">
      <c r="A124" t="s">
        <v>130</v>
      </c>
      <c r="B124">
        <v>-63.79</v>
      </c>
      <c r="C124">
        <v>-63.33</v>
      </c>
      <c r="D124">
        <v>-75.08</v>
      </c>
      <c r="E124">
        <v>-16.850000000000001</v>
      </c>
      <c r="F124">
        <v>-10.76</v>
      </c>
    </row>
    <row r="125" spans="1:6" x14ac:dyDescent="0.25">
      <c r="A125" t="s">
        <v>113</v>
      </c>
      <c r="B125">
        <v>935.78</v>
      </c>
      <c r="C125">
        <v>856.69</v>
      </c>
      <c r="D125">
        <v>459.76</v>
      </c>
      <c r="E125">
        <v>408.19</v>
      </c>
      <c r="F125">
        <v>495.56</v>
      </c>
    </row>
    <row r="126" spans="1:6" ht="24" customHeight="1" x14ac:dyDescent="0.25">
      <c r="A126" t="s">
        <v>45</v>
      </c>
    </row>
    <row r="127" spans="1:6" ht="24" customHeight="1" x14ac:dyDescent="0.25">
      <c r="A127" t="s">
        <v>95</v>
      </c>
    </row>
    <row r="128" spans="1:6" x14ac:dyDescent="0.25">
      <c r="A128" t="s">
        <v>96</v>
      </c>
      <c r="B128">
        <v>10</v>
      </c>
      <c r="C128">
        <v>9</v>
      </c>
      <c r="D128">
        <v>5</v>
      </c>
      <c r="E128">
        <v>6</v>
      </c>
      <c r="F128">
        <v>8</v>
      </c>
    </row>
    <row r="129" spans="1:6" x14ac:dyDescent="0.25">
      <c r="A129" t="s">
        <v>97</v>
      </c>
      <c r="B129">
        <v>10</v>
      </c>
      <c r="C129">
        <v>9</v>
      </c>
      <c r="D129">
        <v>5</v>
      </c>
      <c r="E129">
        <v>6</v>
      </c>
      <c r="F129">
        <v>8</v>
      </c>
    </row>
    <row r="130" spans="1:6" ht="36" customHeight="1" x14ac:dyDescent="0.25">
      <c r="A130" t="s">
        <v>100</v>
      </c>
    </row>
    <row r="131" spans="1:6" x14ac:dyDescent="0.25">
      <c r="A131" t="s">
        <v>101</v>
      </c>
      <c r="B131">
        <v>373.23</v>
      </c>
      <c r="C131">
        <v>248.82</v>
      </c>
      <c r="D131">
        <v>189.43</v>
      </c>
      <c r="E131">
        <v>178.68</v>
      </c>
      <c r="F131">
        <v>157.77000000000001</v>
      </c>
    </row>
    <row r="132" spans="1:6" x14ac:dyDescent="0.25">
      <c r="A132" t="s">
        <v>102</v>
      </c>
      <c r="B132">
        <v>0</v>
      </c>
      <c r="C132">
        <v>0</v>
      </c>
      <c r="D132">
        <v>0</v>
      </c>
      <c r="E132">
        <v>0</v>
      </c>
      <c r="F132">
        <v>14.9</v>
      </c>
    </row>
    <row r="136" spans="1:6" ht="15" customHeight="1" x14ac:dyDescent="0.25">
      <c r="A136" t="s">
        <v>65</v>
      </c>
    </row>
  </sheetData>
  <hyperlinks>
    <hyperlink ref="B1" r:id="rId1" display="javascript:void(0);" xr:uid="{AAB02C1E-F848-47B0-82E7-CF19D4AC7E8B}"/>
    <hyperlink ref="B90" r:id="rId2" display="javascript:void(0);" xr:uid="{3B937BF0-9AB9-444B-9D5B-18E00F01CA55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master</vt:lpstr>
      <vt:lpstr>nestle</vt:lpstr>
      <vt:lpstr>heritage</vt:lpstr>
      <vt:lpstr>guj ambuja</vt:lpstr>
      <vt:lpstr>KOHINOOR</vt:lpstr>
      <vt:lpstr>GRM</vt:lpstr>
      <vt:lpstr>RELAXO</vt:lpstr>
      <vt:lpstr>BATA</vt:lpstr>
      <vt:lpstr>MIRZA</vt:lpstr>
      <vt:lpstr>HUL</vt:lpstr>
      <vt:lpstr>DABUR</vt:lpstr>
      <vt:lpstr>GODREJ</vt:lpstr>
      <vt:lpstr>MARICO</vt:lpstr>
      <vt:lpstr>PGHH</vt:lpstr>
      <vt:lpstr>COLGATE</vt:lpstr>
      <vt:lpstr>GILLETE</vt:lpstr>
      <vt:lpstr>SHEELA</vt:lpstr>
      <vt:lpstr>VIP</vt:lpstr>
      <vt:lpstr>BAJAJ CONSUMER</vt:lpstr>
      <vt:lpstr>PATHANJALI</vt:lpstr>
      <vt:lpstr>VARUN</vt:lpstr>
      <vt:lpstr>TITAN</vt:lpstr>
      <vt:lpstr>BRITANNIA</vt:lpstr>
      <vt:lpstr>JUBILIANT</vt:lpstr>
      <vt:lpstr>HATSON</vt:lpstr>
      <vt:lpstr>LT FOODS</vt:lpstr>
      <vt:lpstr>TASTY</vt:lpstr>
      <vt:lpstr>KSE</vt:lpstr>
      <vt:lpstr>MILK FOOD</vt:lpstr>
      <vt:lpstr>LOTUS</vt:lpstr>
      <vt:lpstr>AVANTI</vt:lpstr>
      <vt:lpstr>ASIAN PAINTS</vt:lpstr>
      <vt:lpstr>BERGER</vt:lpstr>
      <vt:lpstr>UNITEDSPIRITS</vt:lpstr>
      <vt:lpstr>TTK</vt:lpstr>
      <vt:lpstr>3 M</vt:lpstr>
      <vt:lpstr>TATACONSUMER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LALITH ACHOTH</dc:creator>
  <cp:lastModifiedBy>LALITH ACHOTH</cp:lastModifiedBy>
  <dcterms:created xsi:type="dcterms:W3CDTF">2023-01-16T05:14:00Z</dcterms:created>
  <dcterms:modified xsi:type="dcterms:W3CDTF">2023-06-30T21:32:52Z</dcterms:modified>
</cp:coreProperties>
</file>